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comments1.xml" ContentType="application/vnd.openxmlformats-officedocument.spreadsheetml.comments+xml"/>
  <Override PartName="/xl/drawings/drawing11.xml" ContentType="application/vnd.openxmlformats-officedocument.drawing+xml"/>
  <Override PartName="/xl/drawings/drawing12.xml" ContentType="application/vnd.openxmlformats-officedocument.drawing+xml"/>
  <Override PartName="/xl/comments2.xml" ContentType="application/vnd.openxmlformats-officedocument.spreadsheetml.comments+xml"/>
  <Override PartName="/xl/drawings/drawing13.xml" ContentType="application/vnd.openxmlformats-officedocument.drawing+xml"/>
  <Override PartName="/xl/comments3.xml" ContentType="application/vnd.openxmlformats-officedocument.spreadsheetml.comments+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comments4.xml" ContentType="application/vnd.openxmlformats-officedocument.spreadsheetml.comments+xml"/>
  <Override PartName="/xl/drawings/drawing18.xml" ContentType="application/vnd.openxmlformats-officedocument.drawing+xml"/>
  <Override PartName="/xl/drawings/drawing19.xml" ContentType="application/vnd.openxmlformats-officedocument.drawing+xml"/>
  <Override PartName="/xl/comments5.xml" ContentType="application/vnd.openxmlformats-officedocument.spreadsheetml.comments+xml"/>
  <Override PartName="/xl/drawings/drawing20.xml" ContentType="application/vnd.openxmlformats-officedocument.drawing+xml"/>
  <Override PartName="/xl/comments6.xml" ContentType="application/vnd.openxmlformats-officedocument.spreadsheetml.comments+xml"/>
  <Override PartName="/xl/drawings/drawing21.xml" ContentType="application/vnd.openxmlformats-officedocument.drawing+xml"/>
  <Override PartName="/xl/comments7.xml" ContentType="application/vnd.openxmlformats-officedocument.spreadsheetml.comments+xml"/>
  <Override PartName="/xl/drawings/drawing22.xml" ContentType="application/vnd.openxmlformats-officedocument.drawing+xml"/>
  <Override PartName="/xl/comments8.xml" ContentType="application/vnd.openxmlformats-officedocument.spreadsheetml.comments+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comments9.xml" ContentType="application/vnd.openxmlformats-officedocument.spreadsheetml.comments+xml"/>
  <Override PartName="/xl/drawings/drawing27.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mc:AlternateContent xmlns:mc="http://schemas.openxmlformats.org/markup-compatibility/2006">
    <mc:Choice Requires="x15">
      <x15ac:absPath xmlns:x15ac="http://schemas.microsoft.com/office/spreadsheetml/2010/11/ac" url="C:\Users\abdoulaye.loum\Desktop\CARTOGRAPHIE DES RISQUES\"/>
    </mc:Choice>
  </mc:AlternateContent>
  <xr:revisionPtr revIDLastSave="0" documentId="13_ncr:1_{7D9C67C3-F9CD-4771-99DF-CAA36679796D}" xr6:coauthVersionLast="47" xr6:coauthVersionMax="47" xr10:uidLastSave="{00000000-0000-0000-0000-000000000000}"/>
  <bookViews>
    <workbookView xWindow="-110" yWindow="-110" windowWidth="19420" windowHeight="11500" tabRatio="877" firstSheet="23" activeTab="27" xr2:uid="{00000000-000D-0000-FFFF-FFFF00000000}"/>
  </bookViews>
  <sheets>
    <sheet name="Matrice RISQUES (2)" sheetId="11" state="hidden" r:id="rId1"/>
    <sheet name="Synthèse Exceptions &amp; risqu (2" sheetId="12" state="hidden" r:id="rId2"/>
    <sheet name="DASHBOARD" sheetId="45" r:id="rId3"/>
    <sheet name="HOME" sheetId="44" r:id="rId4"/>
    <sheet name="Définition &amp; Objectifs" sheetId="30" r:id="rId5"/>
    <sheet name="Préambule" sheetId="26" r:id="rId6"/>
    <sheet name="Principes" sheetId="27" r:id="rId7"/>
    <sheet name="Echelle P &amp; G" sheetId="6" r:id="rId8"/>
    <sheet name="Echelle de contrôle" sheetId="29" r:id="rId9"/>
    <sheet name="Matrice RISQUES" sheetId="35" r:id="rId10"/>
    <sheet name="Constats Détaillés" sheetId="8" state="hidden" r:id="rId11"/>
    <sheet name="DMCC" sheetId="25" r:id="rId12"/>
    <sheet name="AGENCES" sheetId="14" r:id="rId13"/>
    <sheet name="Feuil2" sheetId="40" state="hidden" r:id="rId14"/>
    <sheet name="RESSOURCES HUMAINES" sheetId="21" r:id="rId15"/>
    <sheet name="OPERATIONS" sheetId="17" r:id="rId16"/>
    <sheet name="CREDIT" sheetId="15" r:id="rId17"/>
    <sheet name="FINANCES &amp; REPORTING" sheetId="18" r:id="rId18"/>
    <sheet name="IT " sheetId="38" r:id="rId19"/>
    <sheet name="RECOUVREMENT" sheetId="31" r:id="rId20"/>
    <sheet name="PRODUITS DIGITAUX" sheetId="32" r:id="rId21"/>
    <sheet name="GOUV &amp; CONTRÔLE INTERNE" sheetId="19" r:id="rId22"/>
    <sheet name="JURIDIQUE &amp; CONTENTIEUX" sheetId="20" r:id="rId23"/>
    <sheet name="ACHATS &amp; LOGISTIQUE" sheetId="22" r:id="rId24"/>
    <sheet name="CONFORMITE" sheetId="36" r:id="rId25"/>
    <sheet name="PLUS GROS RISQUES" sheetId="46" r:id="rId26"/>
    <sheet name="INNOVATION ET PARTENARIAT" sheetId="47" r:id="rId27"/>
    <sheet name="CARTOGRAPHIE RISQUES RESIDUELS" sheetId="23" r:id="rId28"/>
    <sheet name="CARTOGRAPHIE RISQUES BRUTS" sheetId="5" r:id="rId29"/>
    <sheet name="GRAND COMPTE" sheetId="48" r:id="rId30"/>
    <sheet name="FAMILLE DE RISQUE PAR METIER" sheetId="49" r:id="rId31"/>
    <sheet name="LEXIQUE FAMILLE RISQUE" sheetId="42" r:id="rId32"/>
    <sheet name="LEGENDE" sheetId="33" state="hidden" r:id="rId33"/>
  </sheets>
  <definedNames>
    <definedName name="_xlnm._FilterDatabase" localSheetId="23" hidden="1">'ACHATS &amp; LOGISTIQUE'!#REF!</definedName>
    <definedName name="_xlnm._FilterDatabase" localSheetId="12" hidden="1">AGENCES!#REF!</definedName>
    <definedName name="_xlnm._FilterDatabase" localSheetId="24" hidden="1">CONFORMITE!#REF!</definedName>
    <definedName name="_xlnm._FilterDatabase" localSheetId="16" hidden="1">CREDIT!$A$1:$R$38</definedName>
    <definedName name="_xlnm._FilterDatabase" localSheetId="11" hidden="1">DMCC!$A$1:$R$23</definedName>
    <definedName name="_xlnm._FilterDatabase" localSheetId="17" hidden="1">'FINANCES &amp; REPORTING'!#REF!</definedName>
    <definedName name="_xlnm._FilterDatabase" localSheetId="21" hidden="1">'GOUV &amp; CONTRÔLE INTERNE'!$A$4:$S$25</definedName>
    <definedName name="_xlnm._FilterDatabase" localSheetId="18" hidden="1">'IT '!#REF!</definedName>
    <definedName name="_xlnm._FilterDatabase" localSheetId="22" hidden="1">'JURIDIQUE &amp; CONTENTIEUX'!#REF!</definedName>
    <definedName name="_xlnm._FilterDatabase" localSheetId="15" hidden="1">OPERATIONS!#REF!</definedName>
    <definedName name="_xlnm._FilterDatabase" localSheetId="20" hidden="1">'PRODUITS DIGITAUX'!#REF!</definedName>
    <definedName name="_xlnm._FilterDatabase" localSheetId="19" hidden="1">RECOUVREMENT!#REF!</definedName>
    <definedName name="_xlnm._FilterDatabase" localSheetId="14" hidden="1">'RESSOURCES HUMAINES'!#REF!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29" i="48" l="1"/>
  <c r="R29" i="48"/>
  <c r="R9" i="48"/>
  <c r="R10" i="48"/>
  <c r="R6" i="20"/>
  <c r="Q6" i="20"/>
  <c r="P6" i="20"/>
  <c r="Q18" i="19"/>
  <c r="Q19" i="19"/>
  <c r="R18" i="19"/>
  <c r="R19" i="19"/>
  <c r="R22" i="32"/>
  <c r="R23" i="32"/>
  <c r="Q22" i="32"/>
  <c r="Q23" i="32"/>
  <c r="R6" i="32"/>
  <c r="R7" i="32"/>
  <c r="R8" i="32"/>
  <c r="R9" i="32"/>
  <c r="R10" i="32"/>
  <c r="R11" i="32"/>
  <c r="Q6" i="32"/>
  <c r="Q7" i="32"/>
  <c r="Q8" i="32"/>
  <c r="Q9" i="32"/>
  <c r="Q10" i="32"/>
  <c r="Q11" i="32"/>
  <c r="R9" i="15"/>
  <c r="Q9" i="15"/>
  <c r="Q23" i="17"/>
  <c r="Q24" i="17"/>
  <c r="R23" i="17"/>
  <c r="R24" i="17"/>
  <c r="R11" i="21"/>
  <c r="R12" i="21"/>
  <c r="R13" i="21"/>
  <c r="R14" i="21"/>
  <c r="Q11" i="21"/>
  <c r="Q12" i="21"/>
  <c r="Q13" i="21"/>
  <c r="Q14" i="21"/>
  <c r="R9" i="14"/>
  <c r="R10" i="14"/>
  <c r="R11" i="14"/>
  <c r="Q9" i="14"/>
  <c r="Q10" i="14"/>
  <c r="Q11" i="14"/>
  <c r="J33" i="14"/>
  <c r="Q33" i="14"/>
  <c r="R33" i="14" s="1"/>
  <c r="R40" i="14" s="1"/>
  <c r="P33" i="14"/>
  <c r="Q40" i="14"/>
  <c r="P40" i="14"/>
  <c r="O40" i="14"/>
  <c r="R23" i="25"/>
  <c r="P23" i="25"/>
  <c r="O23" i="25"/>
  <c r="Q23" i="25"/>
  <c r="I27" i="5"/>
  <c r="H27" i="5"/>
  <c r="G27" i="5"/>
  <c r="H26" i="5"/>
  <c r="H25" i="5"/>
  <c r="G25" i="5"/>
  <c r="H24" i="5"/>
  <c r="I24" i="5" s="1"/>
  <c r="G24" i="5"/>
  <c r="H23" i="5"/>
  <c r="I23" i="5" s="1"/>
  <c r="G23" i="5"/>
  <c r="H22" i="5"/>
  <c r="G22" i="5"/>
  <c r="I22" i="5" s="1"/>
  <c r="G20" i="5"/>
  <c r="I20" i="5" s="1"/>
  <c r="H19" i="5"/>
  <c r="G19" i="5"/>
  <c r="H18" i="5"/>
  <c r="G18" i="5"/>
  <c r="H17" i="5"/>
  <c r="I16" i="5"/>
  <c r="H16" i="5"/>
  <c r="G16" i="5"/>
  <c r="I15" i="5"/>
  <c r="H15" i="5"/>
  <c r="G15" i="5"/>
  <c r="I18" i="5"/>
  <c r="I21" i="5"/>
  <c r="I13" i="5"/>
  <c r="H13" i="5"/>
  <c r="G13" i="5"/>
  <c r="I23" i="25"/>
  <c r="H23" i="25"/>
  <c r="F13" i="5"/>
  <c r="G61" i="46"/>
  <c r="G60" i="46"/>
  <c r="G58" i="46"/>
  <c r="G57" i="46"/>
  <c r="G56" i="46"/>
  <c r="G55" i="46"/>
  <c r="G54" i="46"/>
  <c r="G53" i="46"/>
  <c r="G52" i="46"/>
  <c r="G51" i="46"/>
  <c r="G50" i="46"/>
  <c r="G49" i="46"/>
  <c r="G48" i="46"/>
  <c r="G47" i="46"/>
  <c r="G46" i="46"/>
  <c r="G45" i="46"/>
  <c r="G44" i="46"/>
  <c r="G43" i="46"/>
  <c r="G42" i="46"/>
  <c r="G41" i="46"/>
  <c r="G40" i="46"/>
  <c r="G39" i="46"/>
  <c r="G38" i="46"/>
  <c r="G37" i="46"/>
  <c r="G36" i="46"/>
  <c r="G35" i="46"/>
  <c r="G34" i="46"/>
  <c r="G33" i="46"/>
  <c r="G32" i="46"/>
  <c r="G31" i="46"/>
  <c r="G30" i="46"/>
  <c r="G29" i="46"/>
  <c r="G28" i="46"/>
  <c r="G27" i="46"/>
  <c r="G26" i="46"/>
  <c r="G25" i="46"/>
  <c r="G24" i="46"/>
  <c r="G23" i="46"/>
  <c r="G22" i="46"/>
  <c r="G21" i="46"/>
  <c r="G20" i="46"/>
  <c r="G19" i="46"/>
  <c r="G18" i="46"/>
  <c r="G17" i="46"/>
  <c r="G16" i="46"/>
  <c r="G15" i="46"/>
  <c r="G14" i="46"/>
  <c r="G13" i="46"/>
  <c r="G12" i="46"/>
  <c r="G11" i="46"/>
  <c r="G10" i="46"/>
  <c r="G9" i="46"/>
  <c r="G8" i="46"/>
  <c r="G7" i="46"/>
  <c r="G6" i="46"/>
  <c r="G5" i="46"/>
  <c r="J17" i="49"/>
  <c r="K17" i="49"/>
  <c r="L17" i="49"/>
  <c r="M17" i="49"/>
  <c r="N2" i="49"/>
  <c r="N3" i="49"/>
  <c r="N4" i="49"/>
  <c r="N5" i="49"/>
  <c r="N7" i="49"/>
  <c r="N8" i="49"/>
  <c r="N9" i="49"/>
  <c r="N10" i="49"/>
  <c r="N11" i="49"/>
  <c r="N12" i="49"/>
  <c r="N13" i="49"/>
  <c r="N14" i="49"/>
  <c r="N15" i="49"/>
  <c r="N16" i="49"/>
  <c r="F16" i="49"/>
  <c r="E16" i="49"/>
  <c r="D16" i="49"/>
  <c r="C16" i="49"/>
  <c r="G16" i="49"/>
  <c r="H16" i="49"/>
  <c r="I16" i="49"/>
  <c r="J16" i="49"/>
  <c r="K16" i="49"/>
  <c r="L16" i="49"/>
  <c r="M16" i="49"/>
  <c r="M15" i="49"/>
  <c r="L15" i="49"/>
  <c r="K15" i="49"/>
  <c r="J15" i="49"/>
  <c r="M3" i="49"/>
  <c r="M4" i="49"/>
  <c r="M5" i="49"/>
  <c r="M6" i="49"/>
  <c r="M7" i="49"/>
  <c r="M8" i="49"/>
  <c r="M9" i="49"/>
  <c r="M10" i="49"/>
  <c r="M11" i="49"/>
  <c r="M12" i="49"/>
  <c r="M13" i="49"/>
  <c r="M14" i="49"/>
  <c r="L3" i="49"/>
  <c r="L4" i="49"/>
  <c r="L5" i="49"/>
  <c r="L6" i="49"/>
  <c r="L7" i="49"/>
  <c r="L8" i="49"/>
  <c r="L9" i="49"/>
  <c r="L10" i="49"/>
  <c r="L11" i="49"/>
  <c r="L12" i="49"/>
  <c r="L13" i="49"/>
  <c r="L14" i="49"/>
  <c r="K3" i="49"/>
  <c r="K4" i="49"/>
  <c r="K5" i="49"/>
  <c r="K6" i="49"/>
  <c r="K7" i="49"/>
  <c r="K8" i="49"/>
  <c r="K9" i="49"/>
  <c r="K10" i="49"/>
  <c r="K11" i="49"/>
  <c r="K12" i="49"/>
  <c r="K13" i="49"/>
  <c r="K14" i="49"/>
  <c r="J3" i="49"/>
  <c r="J4" i="49"/>
  <c r="J5" i="49"/>
  <c r="J6" i="49"/>
  <c r="J7" i="49"/>
  <c r="J8" i="49"/>
  <c r="J9" i="49"/>
  <c r="J10" i="49"/>
  <c r="J11" i="49"/>
  <c r="J12" i="49"/>
  <c r="J13" i="49"/>
  <c r="J14" i="49"/>
  <c r="J2" i="49"/>
  <c r="K2" i="49"/>
  <c r="L2" i="49"/>
  <c r="M2" i="49"/>
  <c r="I15" i="49"/>
  <c r="H15" i="49"/>
  <c r="G15" i="49"/>
  <c r="F15" i="49"/>
  <c r="E15" i="49"/>
  <c r="D15" i="49"/>
  <c r="C15" i="49"/>
  <c r="D14" i="49"/>
  <c r="E14" i="49"/>
  <c r="F14" i="49"/>
  <c r="G14" i="49"/>
  <c r="H14" i="49"/>
  <c r="I14" i="49"/>
  <c r="G31" i="47"/>
  <c r="I25" i="5" l="1"/>
  <c r="I19" i="5"/>
  <c r="C14" i="49"/>
  <c r="I13" i="49"/>
  <c r="H13" i="49"/>
  <c r="G13" i="49"/>
  <c r="F13" i="49"/>
  <c r="E13" i="49"/>
  <c r="D13" i="49"/>
  <c r="C13" i="49"/>
  <c r="I12" i="49"/>
  <c r="H12" i="49"/>
  <c r="G12" i="49"/>
  <c r="F12" i="49"/>
  <c r="E12" i="49"/>
  <c r="D12" i="49"/>
  <c r="C12" i="49"/>
  <c r="I11" i="49"/>
  <c r="H11" i="49"/>
  <c r="G11" i="49"/>
  <c r="F11" i="49"/>
  <c r="E11" i="49"/>
  <c r="C11" i="49"/>
  <c r="I10" i="49"/>
  <c r="H10" i="49"/>
  <c r="G10" i="49"/>
  <c r="F10" i="49"/>
  <c r="E10" i="49"/>
  <c r="D10" i="49"/>
  <c r="C10" i="49"/>
  <c r="I8" i="49"/>
  <c r="H8" i="49"/>
  <c r="G8" i="49"/>
  <c r="F8" i="49"/>
  <c r="E8" i="49"/>
  <c r="D8" i="49"/>
  <c r="C8" i="49"/>
  <c r="I7" i="49"/>
  <c r="H7" i="49"/>
  <c r="G7" i="49"/>
  <c r="F7" i="49"/>
  <c r="E7" i="49"/>
  <c r="D7" i="49"/>
  <c r="C7" i="49"/>
  <c r="G35" i="18"/>
  <c r="G36" i="18"/>
  <c r="G37" i="18"/>
  <c r="G38" i="18"/>
  <c r="G34" i="18"/>
  <c r="I5" i="49"/>
  <c r="H5" i="49"/>
  <c r="G5" i="49"/>
  <c r="F5" i="49"/>
  <c r="E5" i="49"/>
  <c r="D5" i="49"/>
  <c r="C5" i="49"/>
  <c r="I4" i="49"/>
  <c r="H4" i="49"/>
  <c r="G4" i="49"/>
  <c r="F4" i="49"/>
  <c r="E4" i="49"/>
  <c r="C4" i="49"/>
  <c r="I3" i="49"/>
  <c r="H3" i="49"/>
  <c r="G3" i="49"/>
  <c r="F3" i="49"/>
  <c r="F2" i="49"/>
  <c r="E3" i="49"/>
  <c r="D3" i="49"/>
  <c r="C3" i="49"/>
  <c r="I2" i="49"/>
  <c r="H2" i="49"/>
  <c r="G2" i="49"/>
  <c r="E2" i="49"/>
  <c r="D2" i="49"/>
  <c r="C2" i="49"/>
  <c r="D11" i="49"/>
  <c r="G43" i="14"/>
  <c r="G27" i="25"/>
  <c r="G25" i="25"/>
  <c r="J29" i="48" l="1"/>
  <c r="P29" i="48"/>
  <c r="Q10" i="48"/>
  <c r="Q9" i="48"/>
  <c r="Q6" i="47"/>
  <c r="Q7" i="47"/>
  <c r="Q8" i="47"/>
  <c r="Q9" i="47"/>
  <c r="Q10" i="47"/>
  <c r="Q11" i="47"/>
  <c r="Q12" i="47"/>
  <c r="Q13" i="47"/>
  <c r="Q14" i="47"/>
  <c r="Q15" i="47"/>
  <c r="Q16" i="47"/>
  <c r="Q17" i="47"/>
  <c r="Q18" i="47"/>
  <c r="Q19" i="47"/>
  <c r="Q20" i="47"/>
  <c r="Q21" i="47"/>
  <c r="Q22" i="47"/>
  <c r="Q23" i="47"/>
  <c r="Q24" i="47"/>
  <c r="Q25" i="47"/>
  <c r="Q26" i="47"/>
  <c r="Q27" i="47"/>
  <c r="Q5" i="47"/>
  <c r="J16" i="36"/>
  <c r="Q16" i="36"/>
  <c r="Q8" i="36"/>
  <c r="R8" i="36" s="1"/>
  <c r="Q7" i="36"/>
  <c r="R7" i="36" s="1"/>
  <c r="J7" i="36"/>
  <c r="J8" i="36"/>
  <c r="Q6" i="36"/>
  <c r="R6" i="36" s="1"/>
  <c r="J6" i="36"/>
  <c r="R6" i="22"/>
  <c r="Q6" i="22"/>
  <c r="J6" i="22"/>
  <c r="Q18" i="20"/>
  <c r="R18" i="20"/>
  <c r="J18" i="20"/>
  <c r="P18" i="20"/>
  <c r="Q17" i="20"/>
  <c r="R17" i="20"/>
  <c r="J17" i="20"/>
  <c r="P17" i="20"/>
  <c r="Q16" i="20"/>
  <c r="R16" i="20"/>
  <c r="J16" i="20"/>
  <c r="P16" i="20"/>
  <c r="J26" i="18"/>
  <c r="J27" i="18"/>
  <c r="P26" i="18"/>
  <c r="Q17" i="18"/>
  <c r="R17" i="18" s="1"/>
  <c r="J17" i="18"/>
  <c r="Q5" i="18"/>
  <c r="Q6" i="18"/>
  <c r="R6" i="18" s="1"/>
  <c r="Q7" i="18"/>
  <c r="R7" i="18" s="1"/>
  <c r="R5" i="18"/>
  <c r="J5" i="18"/>
  <c r="J6" i="18"/>
  <c r="J7" i="18"/>
  <c r="Q10" i="15"/>
  <c r="R10" i="15"/>
  <c r="Q8" i="15"/>
  <c r="R8" i="15" s="1"/>
  <c r="J8" i="15"/>
  <c r="J9" i="15"/>
  <c r="J10" i="15"/>
  <c r="J5" i="25"/>
  <c r="P5" i="25"/>
  <c r="Q5" i="25"/>
  <c r="J6" i="25"/>
  <c r="P6" i="25"/>
  <c r="Q6" i="25"/>
  <c r="J7" i="25"/>
  <c r="P7" i="25"/>
  <c r="Q7" i="25"/>
  <c r="J8" i="25"/>
  <c r="P8" i="25"/>
  <c r="R8" i="25" s="1"/>
  <c r="Q8" i="25"/>
  <c r="J9" i="25"/>
  <c r="P9" i="25"/>
  <c r="Q9" i="25"/>
  <c r="R9" i="25" s="1"/>
  <c r="J10" i="25"/>
  <c r="P10" i="25"/>
  <c r="Q10" i="25"/>
  <c r="J11" i="25"/>
  <c r="P11" i="25"/>
  <c r="Q11" i="25"/>
  <c r="J12" i="25"/>
  <c r="J13" i="25"/>
  <c r="J14" i="25"/>
  <c r="J15" i="25"/>
  <c r="P15" i="25"/>
  <c r="Q15" i="25"/>
  <c r="J16" i="25"/>
  <c r="P16" i="25"/>
  <c r="Q16" i="25"/>
  <c r="J17" i="25"/>
  <c r="P17" i="25"/>
  <c r="Q17" i="25"/>
  <c r="J21" i="25"/>
  <c r="P21" i="25"/>
  <c r="Q21" i="25"/>
  <c r="J22" i="25"/>
  <c r="P22" i="25"/>
  <c r="Q22" i="25"/>
  <c r="R22" i="25"/>
  <c r="R21" i="25" l="1"/>
  <c r="R11" i="25"/>
  <c r="R16" i="25"/>
  <c r="R6" i="25"/>
  <c r="R15" i="25"/>
  <c r="R7" i="25"/>
  <c r="R10" i="25"/>
  <c r="R17" i="25"/>
  <c r="R5" i="25"/>
  <c r="G49" i="14"/>
  <c r="G48" i="14"/>
  <c r="G47" i="14"/>
  <c r="G46" i="14"/>
  <c r="G45" i="14"/>
  <c r="G44" i="14"/>
  <c r="I40" i="14"/>
  <c r="H14" i="5" s="1"/>
  <c r="H40" i="14"/>
  <c r="Q39" i="14"/>
  <c r="P39" i="14"/>
  <c r="J39" i="14"/>
  <c r="Q38" i="14"/>
  <c r="P38" i="14"/>
  <c r="J38" i="14"/>
  <c r="Q37" i="14"/>
  <c r="P37" i="14"/>
  <c r="J37" i="14"/>
  <c r="Q36" i="14"/>
  <c r="P36" i="14"/>
  <c r="R36" i="14" s="1"/>
  <c r="J36" i="14"/>
  <c r="Q35" i="14"/>
  <c r="P35" i="14"/>
  <c r="J35" i="14"/>
  <c r="Q34" i="14"/>
  <c r="P34" i="14"/>
  <c r="J34" i="14"/>
  <c r="Q32" i="14"/>
  <c r="P32" i="14"/>
  <c r="R32" i="14" s="1"/>
  <c r="J32" i="14"/>
  <c r="Q31" i="14"/>
  <c r="P31" i="14"/>
  <c r="J31" i="14"/>
  <c r="Q30" i="14"/>
  <c r="P30" i="14"/>
  <c r="J30" i="14"/>
  <c r="Q29" i="14"/>
  <c r="P29" i="14"/>
  <c r="J29" i="14"/>
  <c r="Q28" i="14"/>
  <c r="P28" i="14"/>
  <c r="R28" i="14" s="1"/>
  <c r="J28" i="14"/>
  <c r="Q27" i="14"/>
  <c r="P27" i="14"/>
  <c r="R27" i="14" s="1"/>
  <c r="J27" i="14"/>
  <c r="Q26" i="14"/>
  <c r="P26" i="14"/>
  <c r="J26" i="14"/>
  <c r="Q25" i="14"/>
  <c r="P25" i="14"/>
  <c r="J25" i="14"/>
  <c r="Q24" i="14"/>
  <c r="P24" i="14"/>
  <c r="R24" i="14" s="1"/>
  <c r="J24" i="14"/>
  <c r="Q23" i="14"/>
  <c r="P23" i="14"/>
  <c r="R23" i="14" s="1"/>
  <c r="J23" i="14"/>
  <c r="Q22" i="14"/>
  <c r="P22" i="14"/>
  <c r="J22" i="14"/>
  <c r="Q21" i="14"/>
  <c r="P21" i="14"/>
  <c r="J21" i="14"/>
  <c r="Q20" i="14"/>
  <c r="P20" i="14"/>
  <c r="J20" i="14"/>
  <c r="Q19" i="14"/>
  <c r="P19" i="14"/>
  <c r="R19" i="14" s="1"/>
  <c r="J19" i="14"/>
  <c r="Q18" i="14"/>
  <c r="P18" i="14"/>
  <c r="J18" i="14"/>
  <c r="Q17" i="14"/>
  <c r="P17" i="14"/>
  <c r="J17" i="14"/>
  <c r="Q16" i="14"/>
  <c r="P16" i="14"/>
  <c r="R16" i="14" s="1"/>
  <c r="J16" i="14"/>
  <c r="Q15" i="14"/>
  <c r="P15" i="14"/>
  <c r="R15" i="14" s="1"/>
  <c r="J15" i="14"/>
  <c r="Q14" i="14"/>
  <c r="P14" i="14"/>
  <c r="J14" i="14"/>
  <c r="Q13" i="14"/>
  <c r="P13" i="14"/>
  <c r="J13" i="14"/>
  <c r="Q12" i="14"/>
  <c r="P12" i="14"/>
  <c r="R12" i="14" s="1"/>
  <c r="J12" i="14"/>
  <c r="Q8" i="14"/>
  <c r="P8" i="14"/>
  <c r="R8" i="14" s="1"/>
  <c r="J8" i="14"/>
  <c r="Q7" i="14"/>
  <c r="P7" i="14"/>
  <c r="J7" i="14"/>
  <c r="Q6" i="14"/>
  <c r="P6" i="14"/>
  <c r="J6" i="14"/>
  <c r="Q5" i="14"/>
  <c r="P5" i="14"/>
  <c r="R5" i="14" s="1"/>
  <c r="J5" i="14"/>
  <c r="J40" i="14" l="1"/>
  <c r="I14" i="5" s="1"/>
  <c r="G14" i="5"/>
  <c r="R14" i="14"/>
  <c r="R18" i="14"/>
  <c r="R22" i="14"/>
  <c r="R26" i="14"/>
  <c r="R30" i="14"/>
  <c r="R35" i="14"/>
  <c r="R13" i="14"/>
  <c r="R17" i="14"/>
  <c r="R21" i="14"/>
  <c r="R29" i="14"/>
  <c r="R34" i="14"/>
  <c r="R38" i="14"/>
  <c r="R37" i="14"/>
  <c r="R7" i="14"/>
  <c r="R25" i="14"/>
  <c r="R31" i="14"/>
  <c r="R39" i="14"/>
  <c r="R6" i="14"/>
  <c r="R20" i="14"/>
  <c r="G34" i="36"/>
  <c r="G33" i="36"/>
  <c r="G32" i="36"/>
  <c r="G31" i="36"/>
  <c r="G30" i="36"/>
  <c r="G29" i="36"/>
  <c r="G28" i="36"/>
  <c r="O25" i="36"/>
  <c r="I25" i="36"/>
  <c r="H25" i="36"/>
  <c r="Q23" i="36"/>
  <c r="P23" i="36"/>
  <c r="J23" i="36"/>
  <c r="Q22" i="36"/>
  <c r="P22" i="36"/>
  <c r="R22" i="36" s="1"/>
  <c r="J22" i="36"/>
  <c r="Q21" i="36"/>
  <c r="P21" i="36"/>
  <c r="J21" i="36"/>
  <c r="Q20" i="36"/>
  <c r="P20" i="36"/>
  <c r="R20" i="36" s="1"/>
  <c r="J20" i="36"/>
  <c r="Q19" i="36"/>
  <c r="P19" i="36"/>
  <c r="J19" i="36"/>
  <c r="Q18" i="36"/>
  <c r="P18" i="36"/>
  <c r="R18" i="36" s="1"/>
  <c r="J18" i="36"/>
  <c r="Q17" i="36"/>
  <c r="P17" i="36"/>
  <c r="J17" i="36"/>
  <c r="Q15" i="36"/>
  <c r="P15" i="36"/>
  <c r="J15" i="36"/>
  <c r="Q14" i="36"/>
  <c r="P14" i="36"/>
  <c r="J14" i="36"/>
  <c r="Q13" i="36"/>
  <c r="P13" i="36"/>
  <c r="R13" i="36" s="1"/>
  <c r="J13" i="36"/>
  <c r="Q12" i="36"/>
  <c r="R12" i="36" s="1"/>
  <c r="J12" i="36"/>
  <c r="Q11" i="36"/>
  <c r="R11" i="36" s="1"/>
  <c r="J11" i="36"/>
  <c r="Q10" i="36"/>
  <c r="R10" i="36" s="1"/>
  <c r="J10" i="36"/>
  <c r="Q9" i="36"/>
  <c r="R9" i="36" s="1"/>
  <c r="J9" i="36"/>
  <c r="Q5" i="36"/>
  <c r="P5" i="36"/>
  <c r="R5" i="36" s="1"/>
  <c r="J5" i="36"/>
  <c r="R17" i="36" l="1"/>
  <c r="R14" i="36"/>
  <c r="R21" i="36"/>
  <c r="J25" i="36"/>
  <c r="Q25" i="36"/>
  <c r="R15" i="36"/>
  <c r="R19" i="36"/>
  <c r="R23" i="36"/>
  <c r="P25" i="36"/>
  <c r="G41" i="48"/>
  <c r="G40" i="48"/>
  <c r="G39" i="48"/>
  <c r="G38" i="48"/>
  <c r="G37" i="48"/>
  <c r="G36" i="48"/>
  <c r="G35" i="48"/>
  <c r="O32" i="48"/>
  <c r="I32" i="48"/>
  <c r="H32" i="48"/>
  <c r="Q31" i="48"/>
  <c r="P31" i="48"/>
  <c r="J31" i="48"/>
  <c r="Q30" i="48"/>
  <c r="P30" i="48"/>
  <c r="J30" i="48"/>
  <c r="Q28" i="48"/>
  <c r="P28" i="48"/>
  <c r="R28" i="48" s="1"/>
  <c r="J28" i="48"/>
  <c r="Q27" i="48"/>
  <c r="P27" i="48"/>
  <c r="R27" i="48" s="1"/>
  <c r="J27" i="48"/>
  <c r="Q26" i="48"/>
  <c r="P26" i="48"/>
  <c r="J26" i="48"/>
  <c r="Q25" i="48"/>
  <c r="P25" i="48"/>
  <c r="R25" i="48" s="1"/>
  <c r="J25" i="48"/>
  <c r="Q24" i="48"/>
  <c r="P24" i="48"/>
  <c r="R24" i="48" s="1"/>
  <c r="J24" i="48"/>
  <c r="Q23" i="48"/>
  <c r="P23" i="48"/>
  <c r="J23" i="48"/>
  <c r="Q22" i="48"/>
  <c r="P22" i="48"/>
  <c r="J22" i="48"/>
  <c r="Q21" i="48"/>
  <c r="P21" i="48"/>
  <c r="J21" i="48"/>
  <c r="Q20" i="48"/>
  <c r="P20" i="48"/>
  <c r="R20" i="48" s="1"/>
  <c r="J20" i="48"/>
  <c r="Q19" i="48"/>
  <c r="P19" i="48"/>
  <c r="R19" i="48" s="1"/>
  <c r="J19" i="48"/>
  <c r="Q18" i="48"/>
  <c r="P18" i="48"/>
  <c r="J18" i="48"/>
  <c r="Q17" i="48"/>
  <c r="P17" i="48"/>
  <c r="R17" i="48" s="1"/>
  <c r="J17" i="48"/>
  <c r="Q16" i="48"/>
  <c r="P16" i="48"/>
  <c r="J16" i="48"/>
  <c r="Q15" i="48"/>
  <c r="P15" i="48"/>
  <c r="J15" i="48"/>
  <c r="Q14" i="48"/>
  <c r="P14" i="48"/>
  <c r="J14" i="48"/>
  <c r="Q13" i="48"/>
  <c r="P13" i="48"/>
  <c r="J13" i="48"/>
  <c r="Q12" i="48"/>
  <c r="P12" i="48"/>
  <c r="R12" i="48" s="1"/>
  <c r="J12" i="48"/>
  <c r="Q11" i="48"/>
  <c r="P11" i="48"/>
  <c r="R11" i="48" s="1"/>
  <c r="J11" i="48"/>
  <c r="Q8" i="48"/>
  <c r="P8" i="48"/>
  <c r="J8" i="48"/>
  <c r="Q7" i="48"/>
  <c r="P7" i="48"/>
  <c r="R7" i="48" s="1"/>
  <c r="J7" i="48"/>
  <c r="Q6" i="48"/>
  <c r="P6" i="48"/>
  <c r="R6" i="48" s="1"/>
  <c r="J6" i="48"/>
  <c r="Q5" i="48"/>
  <c r="P5" i="48"/>
  <c r="R5" i="48" s="1"/>
  <c r="J5" i="48"/>
  <c r="R31" i="48" l="1"/>
  <c r="R30" i="48"/>
  <c r="R26" i="48"/>
  <c r="R22" i="48"/>
  <c r="R21" i="48"/>
  <c r="R15" i="48"/>
  <c r="R13" i="48"/>
  <c r="J32" i="48"/>
  <c r="R23" i="48"/>
  <c r="R14" i="48"/>
  <c r="R18" i="48"/>
  <c r="R16" i="48"/>
  <c r="R25" i="36"/>
  <c r="Q32" i="48"/>
  <c r="R8" i="48"/>
  <c r="P32" i="48"/>
  <c r="R32" i="48" l="1"/>
  <c r="G41" i="47"/>
  <c r="G40" i="47"/>
  <c r="G39" i="47"/>
  <c r="G38" i="47"/>
  <c r="G37" i="47"/>
  <c r="G36" i="47"/>
  <c r="G35" i="47"/>
  <c r="G34" i="47"/>
  <c r="G33" i="47"/>
  <c r="G32" i="47"/>
  <c r="Q28" i="47"/>
  <c r="P28" i="47"/>
  <c r="O28" i="47"/>
  <c r="I28" i="47"/>
  <c r="H28" i="47"/>
  <c r="R27" i="47"/>
  <c r="J27" i="47"/>
  <c r="R26" i="47"/>
  <c r="J26" i="47"/>
  <c r="R25" i="47"/>
  <c r="J25" i="47"/>
  <c r="R24" i="47"/>
  <c r="J24" i="47"/>
  <c r="R23" i="47"/>
  <c r="J23" i="47"/>
  <c r="R22" i="47"/>
  <c r="J22" i="47"/>
  <c r="R21" i="47"/>
  <c r="J21" i="47"/>
  <c r="R20" i="47"/>
  <c r="J20" i="47"/>
  <c r="R19" i="47"/>
  <c r="J19" i="47"/>
  <c r="R18" i="47"/>
  <c r="J18" i="47"/>
  <c r="R17" i="47"/>
  <c r="J17" i="47"/>
  <c r="R16" i="47"/>
  <c r="J16" i="47"/>
  <c r="R15" i="47"/>
  <c r="J15" i="47"/>
  <c r="R14" i="47"/>
  <c r="J14" i="47"/>
  <c r="R13" i="47"/>
  <c r="J13" i="47"/>
  <c r="R12" i="47"/>
  <c r="J12" i="47"/>
  <c r="R11" i="47"/>
  <c r="J11" i="47"/>
  <c r="R10" i="47"/>
  <c r="J10" i="47"/>
  <c r="R9" i="47"/>
  <c r="J9" i="47"/>
  <c r="R8" i="47"/>
  <c r="J8" i="47"/>
  <c r="R7" i="47"/>
  <c r="J7" i="47"/>
  <c r="R6" i="47"/>
  <c r="J6" i="47"/>
  <c r="R5" i="47"/>
  <c r="J5" i="47"/>
  <c r="G31" i="22"/>
  <c r="G30" i="22"/>
  <c r="G29" i="22"/>
  <c r="G28" i="22"/>
  <c r="G27" i="22"/>
  <c r="G26" i="22"/>
  <c r="G25" i="22"/>
  <c r="O22" i="22"/>
  <c r="I22" i="22"/>
  <c r="H22" i="22"/>
  <c r="R21" i="22"/>
  <c r="Q21" i="22"/>
  <c r="P21" i="22"/>
  <c r="J21" i="22"/>
  <c r="Q20" i="22"/>
  <c r="P20" i="22"/>
  <c r="R20" i="22" s="1"/>
  <c r="J20" i="22"/>
  <c r="R19" i="22"/>
  <c r="Q19" i="22"/>
  <c r="P19" i="22"/>
  <c r="J19" i="22"/>
  <c r="Q18" i="22"/>
  <c r="P18" i="22"/>
  <c r="R18" i="22" s="1"/>
  <c r="J18" i="22"/>
  <c r="R17" i="22"/>
  <c r="Q17" i="22"/>
  <c r="P17" i="22"/>
  <c r="J17" i="22"/>
  <c r="Q16" i="22"/>
  <c r="P16" i="22"/>
  <c r="R16" i="22" s="1"/>
  <c r="J16" i="22"/>
  <c r="Q15" i="22"/>
  <c r="P15" i="22"/>
  <c r="R15" i="22" s="1"/>
  <c r="J15" i="22"/>
  <c r="Q14" i="22"/>
  <c r="P14" i="22"/>
  <c r="R14" i="22" s="1"/>
  <c r="J14" i="22"/>
  <c r="Q13" i="22"/>
  <c r="P13" i="22"/>
  <c r="R13" i="22" s="1"/>
  <c r="J13" i="22"/>
  <c r="Q12" i="22"/>
  <c r="R12" i="22" s="1"/>
  <c r="J12" i="22"/>
  <c r="Q11" i="22"/>
  <c r="R11" i="22" s="1"/>
  <c r="J11" i="22"/>
  <c r="Q10" i="22"/>
  <c r="P10" i="22"/>
  <c r="J10" i="22"/>
  <c r="Q9" i="22"/>
  <c r="P9" i="22"/>
  <c r="R9" i="22" s="1"/>
  <c r="J9" i="22"/>
  <c r="Q8" i="22"/>
  <c r="P8" i="22"/>
  <c r="R8" i="22" s="1"/>
  <c r="J8" i="22"/>
  <c r="Q7" i="22"/>
  <c r="P7" i="22"/>
  <c r="R7" i="22" s="1"/>
  <c r="J7" i="22"/>
  <c r="Q5" i="22"/>
  <c r="P5" i="22"/>
  <c r="J5" i="22"/>
  <c r="R28" i="47" l="1"/>
  <c r="Q22" i="22"/>
  <c r="J22" i="22"/>
  <c r="J28" i="47"/>
  <c r="R5" i="22"/>
  <c r="R10" i="22"/>
  <c r="P22" i="22"/>
  <c r="R22" i="22" s="1"/>
  <c r="G29" i="20"/>
  <c r="G28" i="20"/>
  <c r="G27" i="20"/>
  <c r="G26" i="20"/>
  <c r="G25" i="20"/>
  <c r="G24" i="20"/>
  <c r="G23" i="20"/>
  <c r="O20" i="20"/>
  <c r="I20" i="20"/>
  <c r="H20" i="20"/>
  <c r="Q15" i="20"/>
  <c r="P15" i="20"/>
  <c r="J15" i="20"/>
  <c r="Q14" i="20"/>
  <c r="P14" i="20"/>
  <c r="R14" i="20" s="1"/>
  <c r="J14" i="20"/>
  <c r="Q13" i="20"/>
  <c r="P13" i="20"/>
  <c r="R13" i="20" s="1"/>
  <c r="J13" i="20"/>
  <c r="Q12" i="20"/>
  <c r="P12" i="20"/>
  <c r="J12" i="20"/>
  <c r="Q11" i="20"/>
  <c r="P11" i="20"/>
  <c r="R11" i="20" s="1"/>
  <c r="J11" i="20"/>
  <c r="Q10" i="20"/>
  <c r="P10" i="20"/>
  <c r="J10" i="20"/>
  <c r="Q9" i="20"/>
  <c r="P9" i="20"/>
  <c r="R9" i="20" s="1"/>
  <c r="J9" i="20"/>
  <c r="Q8" i="20"/>
  <c r="R8" i="20" s="1"/>
  <c r="J8" i="20"/>
  <c r="Q7" i="20"/>
  <c r="P7" i="20"/>
  <c r="J7" i="20"/>
  <c r="J6" i="20"/>
  <c r="Q5" i="20"/>
  <c r="P5" i="20"/>
  <c r="R5" i="20" s="1"/>
  <c r="J5" i="20"/>
  <c r="R7" i="20" l="1"/>
  <c r="R10" i="20"/>
  <c r="J20" i="20"/>
  <c r="Q20" i="20"/>
  <c r="R12" i="20"/>
  <c r="P20" i="20"/>
  <c r="R15" i="20"/>
  <c r="R20" i="20"/>
  <c r="G35" i="32"/>
  <c r="G34" i="32"/>
  <c r="G33" i="32"/>
  <c r="G32" i="32"/>
  <c r="G31" i="32"/>
  <c r="G30" i="32"/>
  <c r="G29" i="32"/>
  <c r="O26" i="32"/>
  <c r="I26" i="32"/>
  <c r="H26" i="32"/>
  <c r="J26" i="32" s="1"/>
  <c r="Q25" i="32"/>
  <c r="P25" i="32"/>
  <c r="R25" i="32" s="1"/>
  <c r="J25" i="32"/>
  <c r="Q24" i="32"/>
  <c r="P24" i="32"/>
  <c r="J24" i="32"/>
  <c r="P23" i="32"/>
  <c r="J23" i="32"/>
  <c r="P22" i="32"/>
  <c r="J22" i="32"/>
  <c r="Q21" i="32"/>
  <c r="P21" i="32"/>
  <c r="R21" i="32" s="1"/>
  <c r="J21" i="32"/>
  <c r="Q20" i="32"/>
  <c r="P20" i="32"/>
  <c r="R20" i="32" s="1"/>
  <c r="J20" i="32"/>
  <c r="Q19" i="32"/>
  <c r="P19" i="32"/>
  <c r="R19" i="32" s="1"/>
  <c r="J19" i="32"/>
  <c r="P18" i="32"/>
  <c r="R18" i="32" s="1"/>
  <c r="J18" i="32"/>
  <c r="Q17" i="32"/>
  <c r="P17" i="32"/>
  <c r="R17" i="32" s="1"/>
  <c r="J17" i="32"/>
  <c r="Q16" i="32"/>
  <c r="P16" i="32"/>
  <c r="J16" i="32"/>
  <c r="Q15" i="32"/>
  <c r="P15" i="32"/>
  <c r="R15" i="32" s="1"/>
  <c r="J15" i="32"/>
  <c r="Q14" i="32"/>
  <c r="P14" i="32"/>
  <c r="J14" i="32"/>
  <c r="Q13" i="32"/>
  <c r="P13" i="32"/>
  <c r="R13" i="32" s="1"/>
  <c r="J13" i="32"/>
  <c r="Q12" i="32"/>
  <c r="P12" i="32"/>
  <c r="J12" i="32"/>
  <c r="P11" i="32"/>
  <c r="J11" i="32"/>
  <c r="P10" i="32"/>
  <c r="J10" i="32"/>
  <c r="P9" i="32"/>
  <c r="J9" i="32"/>
  <c r="P8" i="32"/>
  <c r="J8" i="32"/>
  <c r="P7" i="32"/>
  <c r="J7" i="32"/>
  <c r="J6" i="32"/>
  <c r="Q5" i="32"/>
  <c r="P5" i="32"/>
  <c r="R5" i="32" s="1"/>
  <c r="J5" i="32"/>
  <c r="R12" i="32" l="1"/>
  <c r="R16" i="32"/>
  <c r="R14" i="32"/>
  <c r="Q26" i="32"/>
  <c r="R24" i="32"/>
  <c r="P26" i="32"/>
  <c r="R26" i="32" l="1"/>
  <c r="G40" i="38"/>
  <c r="G39" i="38"/>
  <c r="G38" i="38"/>
  <c r="G37" i="38"/>
  <c r="G36" i="38"/>
  <c r="G35" i="38"/>
  <c r="G34" i="38"/>
  <c r="O31" i="38"/>
  <c r="I31" i="38"/>
  <c r="H31" i="38"/>
  <c r="Q30" i="38"/>
  <c r="P30" i="38"/>
  <c r="R30" i="38" s="1"/>
  <c r="J30" i="38"/>
  <c r="Q29" i="38"/>
  <c r="P29" i="38"/>
  <c r="R29" i="38" s="1"/>
  <c r="J29" i="38"/>
  <c r="R28" i="38"/>
  <c r="Q28" i="38"/>
  <c r="P28" i="38"/>
  <c r="J28" i="38"/>
  <c r="Q27" i="38"/>
  <c r="P27" i="38"/>
  <c r="R27" i="38" s="1"/>
  <c r="J27" i="38"/>
  <c r="Q26" i="38"/>
  <c r="P26" i="38"/>
  <c r="R26" i="38" s="1"/>
  <c r="J26" i="38"/>
  <c r="R25" i="38"/>
  <c r="Q25" i="38"/>
  <c r="P25" i="38"/>
  <c r="J25" i="38"/>
  <c r="Q24" i="38"/>
  <c r="P24" i="38"/>
  <c r="R24" i="38" s="1"/>
  <c r="J24" i="38"/>
  <c r="Q23" i="38"/>
  <c r="P23" i="38"/>
  <c r="R23" i="38" s="1"/>
  <c r="J23" i="38"/>
  <c r="R22" i="38"/>
  <c r="Q22" i="38"/>
  <c r="P22" i="38"/>
  <c r="J22" i="38"/>
  <c r="Q21" i="38"/>
  <c r="P21" i="38"/>
  <c r="R21" i="38" s="1"/>
  <c r="J21" i="38"/>
  <c r="Q20" i="38"/>
  <c r="P20" i="38"/>
  <c r="R20" i="38" s="1"/>
  <c r="J20" i="38"/>
  <c r="R19" i="38"/>
  <c r="Q19" i="38"/>
  <c r="P19" i="38"/>
  <c r="J19" i="38"/>
  <c r="Q18" i="38"/>
  <c r="P18" i="38"/>
  <c r="R18" i="38" s="1"/>
  <c r="J18" i="38"/>
  <c r="Q17" i="38"/>
  <c r="P17" i="38"/>
  <c r="R17" i="38" s="1"/>
  <c r="J17" i="38"/>
  <c r="R16" i="38"/>
  <c r="Q16" i="38"/>
  <c r="P16" i="38"/>
  <c r="J16" i="38"/>
  <c r="Q15" i="38"/>
  <c r="P15" i="38"/>
  <c r="R15" i="38" s="1"/>
  <c r="J15" i="38"/>
  <c r="Q14" i="38"/>
  <c r="P14" i="38"/>
  <c r="R14" i="38" s="1"/>
  <c r="J14" i="38"/>
  <c r="R13" i="38"/>
  <c r="Q13" i="38"/>
  <c r="P13" i="38"/>
  <c r="J13" i="38"/>
  <c r="Q12" i="38"/>
  <c r="P12" i="38"/>
  <c r="R12" i="38" s="1"/>
  <c r="J12" i="38"/>
  <c r="Q11" i="38"/>
  <c r="P11" i="38"/>
  <c r="R11" i="38" s="1"/>
  <c r="J11" i="38"/>
  <c r="R10" i="38"/>
  <c r="Q10" i="38"/>
  <c r="P10" i="38"/>
  <c r="J10" i="38"/>
  <c r="Q9" i="38"/>
  <c r="P9" i="38"/>
  <c r="R9" i="38" s="1"/>
  <c r="J9" i="38"/>
  <c r="Q8" i="38"/>
  <c r="P8" i="38"/>
  <c r="R8" i="38" s="1"/>
  <c r="J8" i="38"/>
  <c r="R7" i="38"/>
  <c r="Q7" i="38"/>
  <c r="P7" i="38"/>
  <c r="J7" i="38"/>
  <c r="Q6" i="38"/>
  <c r="P6" i="38"/>
  <c r="R6" i="38" s="1"/>
  <c r="J6" i="38"/>
  <c r="Q5" i="38"/>
  <c r="P5" i="38"/>
  <c r="R5" i="38" s="1"/>
  <c r="J5" i="38"/>
  <c r="J31" i="38" l="1"/>
  <c r="Q31" i="38"/>
  <c r="P31" i="38"/>
  <c r="O31" i="18"/>
  <c r="I31" i="18"/>
  <c r="H31" i="18"/>
  <c r="Q30" i="18"/>
  <c r="R30" i="18" s="1"/>
  <c r="P30" i="18"/>
  <c r="J30" i="18"/>
  <c r="Q29" i="18"/>
  <c r="P29" i="18"/>
  <c r="J29" i="18"/>
  <c r="R28" i="18"/>
  <c r="Q28" i="18"/>
  <c r="P28" i="18"/>
  <c r="J28" i="18"/>
  <c r="Q25" i="18"/>
  <c r="P25" i="18"/>
  <c r="R25" i="18" s="1"/>
  <c r="J25" i="18"/>
  <c r="Q24" i="18"/>
  <c r="R24" i="18" s="1"/>
  <c r="P24" i="18"/>
  <c r="J24" i="18"/>
  <c r="Q23" i="18"/>
  <c r="P23" i="18"/>
  <c r="R23" i="18" s="1"/>
  <c r="J23" i="18"/>
  <c r="Q22" i="18"/>
  <c r="R22" i="18" s="1"/>
  <c r="P22" i="18"/>
  <c r="J22" i="18"/>
  <c r="Q21" i="18"/>
  <c r="P21" i="18"/>
  <c r="R21" i="18" s="1"/>
  <c r="J21" i="18"/>
  <c r="R20" i="18"/>
  <c r="Q20" i="18"/>
  <c r="P20" i="18"/>
  <c r="J20" i="18"/>
  <c r="Q19" i="18"/>
  <c r="P19" i="18"/>
  <c r="R19" i="18" s="1"/>
  <c r="J19" i="18"/>
  <c r="Q18" i="18"/>
  <c r="R18" i="18" s="1"/>
  <c r="P18" i="18"/>
  <c r="J18" i="18"/>
  <c r="Q16" i="18"/>
  <c r="P16" i="18"/>
  <c r="R16" i="18" s="1"/>
  <c r="J16" i="18"/>
  <c r="Q15" i="18"/>
  <c r="R15" i="18" s="1"/>
  <c r="P15" i="18"/>
  <c r="J15" i="18"/>
  <c r="Q14" i="18"/>
  <c r="P14" i="18"/>
  <c r="R14" i="18" s="1"/>
  <c r="J14" i="18"/>
  <c r="Q13" i="18"/>
  <c r="R13" i="18" s="1"/>
  <c r="P13" i="18"/>
  <c r="J13" i="18"/>
  <c r="Q12" i="18"/>
  <c r="P12" i="18"/>
  <c r="R12" i="18" s="1"/>
  <c r="J12" i="18"/>
  <c r="Q11" i="18"/>
  <c r="P11" i="18"/>
  <c r="R11" i="18" s="1"/>
  <c r="J11" i="18"/>
  <c r="Q10" i="18"/>
  <c r="P10" i="18"/>
  <c r="R10" i="18" s="1"/>
  <c r="J10" i="18"/>
  <c r="Q9" i="18"/>
  <c r="R9" i="18" s="1"/>
  <c r="P9" i="18"/>
  <c r="J9" i="18"/>
  <c r="Q8" i="18"/>
  <c r="Q31" i="18" s="1"/>
  <c r="P8" i="18"/>
  <c r="J8" i="18"/>
  <c r="J31" i="18" l="1"/>
  <c r="R29" i="18"/>
  <c r="R8" i="18"/>
  <c r="R31" i="38"/>
  <c r="P31" i="18"/>
  <c r="R31" i="18" s="1"/>
  <c r="G47" i="15"/>
  <c r="I6" i="49" s="1"/>
  <c r="I17" i="49" s="1"/>
  <c r="G46" i="15"/>
  <c r="H6" i="49" s="1"/>
  <c r="H17" i="49" s="1"/>
  <c r="G45" i="15"/>
  <c r="G6" i="49" s="1"/>
  <c r="G17" i="49" s="1"/>
  <c r="G44" i="15"/>
  <c r="F6" i="49" s="1"/>
  <c r="F17" i="49" s="1"/>
  <c r="G43" i="15"/>
  <c r="E6" i="49" s="1"/>
  <c r="E17" i="49" s="1"/>
  <c r="G42" i="15"/>
  <c r="D6" i="49" s="1"/>
  <c r="D17" i="49" s="1"/>
  <c r="G41" i="15"/>
  <c r="C6" i="49" s="1"/>
  <c r="O38" i="15"/>
  <c r="I38" i="15"/>
  <c r="H38" i="15"/>
  <c r="G17" i="5" s="1"/>
  <c r="I17" i="5" s="1"/>
  <c r="Q37" i="15"/>
  <c r="P37" i="15"/>
  <c r="R37" i="15" s="1"/>
  <c r="J37" i="15"/>
  <c r="Q36" i="15"/>
  <c r="P36" i="15"/>
  <c r="R36" i="15" s="1"/>
  <c r="J36" i="15"/>
  <c r="Q35" i="15"/>
  <c r="P35" i="15"/>
  <c r="R35" i="15" s="1"/>
  <c r="J35" i="15"/>
  <c r="Q34" i="15"/>
  <c r="P34" i="15"/>
  <c r="R34" i="15" s="1"/>
  <c r="J34" i="15"/>
  <c r="Q33" i="15"/>
  <c r="P33" i="15"/>
  <c r="R33" i="15" s="1"/>
  <c r="J33" i="15"/>
  <c r="Q32" i="15"/>
  <c r="P32" i="15"/>
  <c r="R32" i="15" s="1"/>
  <c r="J32" i="15"/>
  <c r="Q31" i="15"/>
  <c r="P31" i="15"/>
  <c r="R31" i="15" s="1"/>
  <c r="J31" i="15"/>
  <c r="Q30" i="15"/>
  <c r="P30" i="15"/>
  <c r="R30" i="15" s="1"/>
  <c r="J30" i="15"/>
  <c r="Q29" i="15"/>
  <c r="P29" i="15"/>
  <c r="J29" i="15"/>
  <c r="Q28" i="15"/>
  <c r="P28" i="15"/>
  <c r="R28" i="15" s="1"/>
  <c r="J28" i="15"/>
  <c r="Q27" i="15"/>
  <c r="P27" i="15"/>
  <c r="R27" i="15" s="1"/>
  <c r="J27" i="15"/>
  <c r="Q26" i="15"/>
  <c r="P26" i="15"/>
  <c r="R26" i="15" s="1"/>
  <c r="J26" i="15"/>
  <c r="Q25" i="15"/>
  <c r="P25" i="15"/>
  <c r="R25" i="15" s="1"/>
  <c r="J25" i="15"/>
  <c r="Q24" i="15"/>
  <c r="P24" i="15"/>
  <c r="R24" i="15" s="1"/>
  <c r="J24" i="15"/>
  <c r="Q23" i="15"/>
  <c r="P23" i="15"/>
  <c r="R23" i="15" s="1"/>
  <c r="J23" i="15"/>
  <c r="Q22" i="15"/>
  <c r="R22" i="15" s="1"/>
  <c r="P22" i="15"/>
  <c r="J22" i="15"/>
  <c r="Q21" i="15"/>
  <c r="P21" i="15"/>
  <c r="R21" i="15" s="1"/>
  <c r="J21" i="15"/>
  <c r="Q20" i="15"/>
  <c r="P20" i="15"/>
  <c r="R20" i="15" s="1"/>
  <c r="J20" i="15"/>
  <c r="Q19" i="15"/>
  <c r="P19" i="15"/>
  <c r="R19" i="15" s="1"/>
  <c r="J19" i="15"/>
  <c r="Q18" i="15"/>
  <c r="P18" i="15"/>
  <c r="J18" i="15"/>
  <c r="Q17" i="15"/>
  <c r="P17" i="15"/>
  <c r="J17" i="15"/>
  <c r="Q16" i="15"/>
  <c r="P16" i="15"/>
  <c r="R16" i="15" s="1"/>
  <c r="J16" i="15"/>
  <c r="Q15" i="15"/>
  <c r="P15" i="15"/>
  <c r="R15" i="15" s="1"/>
  <c r="J15" i="15"/>
  <c r="Q14" i="15"/>
  <c r="P14" i="15"/>
  <c r="J14" i="15"/>
  <c r="R13" i="15"/>
  <c r="J13" i="15"/>
  <c r="Q12" i="15"/>
  <c r="P12" i="15"/>
  <c r="R12" i="15" s="1"/>
  <c r="J12" i="15"/>
  <c r="Q11" i="15"/>
  <c r="P11" i="15"/>
  <c r="R11" i="15" s="1"/>
  <c r="J11" i="15"/>
  <c r="Q7" i="15"/>
  <c r="P7" i="15"/>
  <c r="R7" i="15" s="1"/>
  <c r="J7" i="15"/>
  <c r="Q6" i="15"/>
  <c r="P6" i="15"/>
  <c r="R6" i="15" s="1"/>
  <c r="J6" i="15"/>
  <c r="Q5" i="15"/>
  <c r="P5" i="15"/>
  <c r="R5" i="15" s="1"/>
  <c r="J5" i="15"/>
  <c r="N6" i="49" l="1"/>
  <c r="C17" i="49"/>
  <c r="N17" i="49" s="1"/>
  <c r="R14" i="15"/>
  <c r="R18" i="15"/>
  <c r="J38" i="15"/>
  <c r="Q38" i="15"/>
  <c r="R17" i="15"/>
  <c r="R29" i="15"/>
  <c r="R38" i="15"/>
  <c r="P38" i="15"/>
  <c r="G41" i="17"/>
  <c r="G40" i="17"/>
  <c r="G39" i="17"/>
  <c r="G38" i="17"/>
  <c r="G37" i="17"/>
  <c r="G36" i="17"/>
  <c r="G35" i="17"/>
  <c r="O32" i="17"/>
  <c r="I32" i="17"/>
  <c r="H32" i="17"/>
  <c r="J32" i="17" s="1"/>
  <c r="Q31" i="17"/>
  <c r="P31" i="17"/>
  <c r="R31" i="17" s="1"/>
  <c r="J31" i="17"/>
  <c r="Q30" i="17"/>
  <c r="P30" i="17"/>
  <c r="R30" i="17" s="1"/>
  <c r="J30" i="17"/>
  <c r="Q29" i="17"/>
  <c r="P29" i="17"/>
  <c r="R29" i="17" s="1"/>
  <c r="J29" i="17"/>
  <c r="Q28" i="17"/>
  <c r="P28" i="17"/>
  <c r="R28" i="17" s="1"/>
  <c r="J28" i="17"/>
  <c r="Q27" i="17"/>
  <c r="P27" i="17"/>
  <c r="R27" i="17" s="1"/>
  <c r="J27" i="17"/>
  <c r="Q26" i="17"/>
  <c r="P26" i="17"/>
  <c r="R26" i="17" s="1"/>
  <c r="J26" i="17"/>
  <c r="Q25" i="17"/>
  <c r="P25" i="17"/>
  <c r="R25" i="17" s="1"/>
  <c r="J25" i="17"/>
  <c r="Q22" i="17"/>
  <c r="P22" i="17"/>
  <c r="R22" i="17" s="1"/>
  <c r="J22" i="17"/>
  <c r="Q21" i="17"/>
  <c r="P21" i="17"/>
  <c r="J21" i="17"/>
  <c r="Q20" i="17"/>
  <c r="P20" i="17"/>
  <c r="R20" i="17" s="1"/>
  <c r="J20" i="17"/>
  <c r="Q19" i="17"/>
  <c r="P19" i="17"/>
  <c r="R19" i="17" s="1"/>
  <c r="J19" i="17"/>
  <c r="Q18" i="17"/>
  <c r="P18" i="17"/>
  <c r="R18" i="17" s="1"/>
  <c r="J18" i="17"/>
  <c r="Q17" i="17"/>
  <c r="P17" i="17"/>
  <c r="R17" i="17" s="1"/>
  <c r="J17" i="17"/>
  <c r="Q16" i="17"/>
  <c r="P16" i="17"/>
  <c r="R16" i="17" s="1"/>
  <c r="J16" i="17"/>
  <c r="Q15" i="17"/>
  <c r="P15" i="17"/>
  <c r="R15" i="17" s="1"/>
  <c r="J15" i="17"/>
  <c r="Q14" i="17"/>
  <c r="P14" i="17"/>
  <c r="J14" i="17"/>
  <c r="Q13" i="17"/>
  <c r="P13" i="17"/>
  <c r="R13" i="17" s="1"/>
  <c r="J13" i="17"/>
  <c r="Q12" i="17"/>
  <c r="P12" i="17"/>
  <c r="J12" i="17"/>
  <c r="Q11" i="17"/>
  <c r="P11" i="17"/>
  <c r="R11" i="17" s="1"/>
  <c r="J11" i="17"/>
  <c r="Q10" i="17"/>
  <c r="P10" i="17"/>
  <c r="R10" i="17" s="1"/>
  <c r="J10" i="17"/>
  <c r="Q9" i="17"/>
  <c r="P9" i="17"/>
  <c r="R9" i="17" s="1"/>
  <c r="J9" i="17"/>
  <c r="Q8" i="17"/>
  <c r="P8" i="17"/>
  <c r="R8" i="17" s="1"/>
  <c r="J8" i="17"/>
  <c r="Q7" i="17"/>
  <c r="Q32" i="17" s="1"/>
  <c r="P7" i="17"/>
  <c r="R7" i="17" s="1"/>
  <c r="J7" i="17"/>
  <c r="J6" i="17"/>
  <c r="J5" i="17"/>
  <c r="R21" i="17" l="1"/>
  <c r="R12" i="17"/>
  <c r="P32" i="17"/>
  <c r="R32" i="17" s="1"/>
  <c r="R14" i="17"/>
  <c r="G45" i="21"/>
  <c r="G44" i="21"/>
  <c r="G43" i="21"/>
  <c r="G42" i="21"/>
  <c r="G41" i="21"/>
  <c r="G40" i="21"/>
  <c r="O37" i="21"/>
  <c r="I37" i="21"/>
  <c r="H37" i="21"/>
  <c r="Q35" i="21"/>
  <c r="P35" i="21"/>
  <c r="J35" i="21"/>
  <c r="Q34" i="21"/>
  <c r="P34" i="21"/>
  <c r="R34" i="21" s="1"/>
  <c r="J34" i="21"/>
  <c r="Q33" i="21"/>
  <c r="P33" i="21"/>
  <c r="J33" i="21"/>
  <c r="Q32" i="21"/>
  <c r="P32" i="21"/>
  <c r="R32" i="21" s="1"/>
  <c r="J32" i="21"/>
  <c r="Q31" i="21"/>
  <c r="P31" i="21"/>
  <c r="J31" i="21"/>
  <c r="Q30" i="21"/>
  <c r="P30" i="21"/>
  <c r="R30" i="21" s="1"/>
  <c r="J30" i="21"/>
  <c r="Q29" i="21"/>
  <c r="P29" i="21"/>
  <c r="J29" i="21"/>
  <c r="Q28" i="21"/>
  <c r="P28" i="21"/>
  <c r="R28" i="21" s="1"/>
  <c r="J28" i="21"/>
  <c r="P27" i="21"/>
  <c r="J27" i="21"/>
  <c r="Q26" i="21"/>
  <c r="P26" i="21"/>
  <c r="R26" i="21" s="1"/>
  <c r="J26" i="21"/>
  <c r="Q25" i="21"/>
  <c r="P25" i="21"/>
  <c r="R25" i="21" s="1"/>
  <c r="J25" i="21"/>
  <c r="Q24" i="21"/>
  <c r="P24" i="21"/>
  <c r="J24" i="21"/>
  <c r="Q23" i="21"/>
  <c r="P23" i="21"/>
  <c r="J23" i="21"/>
  <c r="Q22" i="21"/>
  <c r="P22" i="21"/>
  <c r="R22" i="21" s="1"/>
  <c r="J22" i="21"/>
  <c r="Q21" i="21"/>
  <c r="P21" i="21"/>
  <c r="R21" i="21" s="1"/>
  <c r="J21" i="21"/>
  <c r="Q20" i="21"/>
  <c r="P20" i="21"/>
  <c r="R20" i="21" s="1"/>
  <c r="J20" i="21"/>
  <c r="Q19" i="21"/>
  <c r="P19" i="21"/>
  <c r="J19" i="21"/>
  <c r="Q18" i="21"/>
  <c r="P18" i="21"/>
  <c r="R18" i="21" s="1"/>
  <c r="J18" i="21"/>
  <c r="Q17" i="21"/>
  <c r="P17" i="21"/>
  <c r="R17" i="21" s="1"/>
  <c r="J17" i="21"/>
  <c r="Q16" i="21"/>
  <c r="P16" i="21"/>
  <c r="R16" i="21" s="1"/>
  <c r="J16" i="21"/>
  <c r="Q15" i="21"/>
  <c r="R15" i="21" s="1"/>
  <c r="J15" i="21"/>
  <c r="J14" i="21"/>
  <c r="J13" i="21"/>
  <c r="J12" i="21"/>
  <c r="J11" i="21"/>
  <c r="Q10" i="21"/>
  <c r="P10" i="21"/>
  <c r="R10" i="21" s="1"/>
  <c r="J10" i="21"/>
  <c r="Q9" i="21"/>
  <c r="P9" i="21"/>
  <c r="R9" i="21" s="1"/>
  <c r="J9" i="21"/>
  <c r="Q8" i="21"/>
  <c r="P8" i="21"/>
  <c r="J8" i="21"/>
  <c r="Q7" i="21"/>
  <c r="P7" i="21"/>
  <c r="R7" i="21" s="1"/>
  <c r="J7" i="21"/>
  <c r="Q6" i="21"/>
  <c r="P6" i="21"/>
  <c r="R6" i="21" s="1"/>
  <c r="J6" i="21"/>
  <c r="Q5" i="21"/>
  <c r="P5" i="21"/>
  <c r="R5" i="21" s="1"/>
  <c r="J5" i="21"/>
  <c r="R8" i="21" l="1"/>
  <c r="J37" i="21"/>
  <c r="Q37" i="21"/>
  <c r="R24" i="21"/>
  <c r="R29" i="21"/>
  <c r="R33" i="21"/>
  <c r="R19" i="21"/>
  <c r="R23" i="21"/>
  <c r="R31" i="21"/>
  <c r="R35" i="21"/>
  <c r="P37" i="21"/>
  <c r="R37" i="21" s="1"/>
  <c r="G31" i="25" l="1"/>
  <c r="G30" i="25"/>
  <c r="G29" i="25"/>
  <c r="G28" i="25"/>
  <c r="G26" i="25"/>
  <c r="J23" i="25" l="1"/>
  <c r="F20" i="23" l="1"/>
  <c r="G34" i="19"/>
  <c r="G33" i="19"/>
  <c r="G32" i="19"/>
  <c r="G31" i="19"/>
  <c r="G30" i="19"/>
  <c r="G29" i="19"/>
  <c r="G28" i="19"/>
  <c r="Q6" i="19"/>
  <c r="Q7" i="19"/>
  <c r="Q8" i="19"/>
  <c r="Q9" i="19"/>
  <c r="Q10" i="19"/>
  <c r="Q11" i="19"/>
  <c r="Q12" i="19"/>
  <c r="Q13" i="19"/>
  <c r="Q14" i="19"/>
  <c r="Q15" i="19"/>
  <c r="Q16" i="19"/>
  <c r="Q17" i="19"/>
  <c r="Q20" i="19"/>
  <c r="Q21" i="19"/>
  <c r="Q22" i="19"/>
  <c r="P6" i="19"/>
  <c r="P7" i="19"/>
  <c r="P8" i="19"/>
  <c r="P9" i="19"/>
  <c r="P10" i="19"/>
  <c r="P11" i="19"/>
  <c r="P12" i="19"/>
  <c r="P13" i="19"/>
  <c r="P14" i="19"/>
  <c r="P15" i="19"/>
  <c r="P16" i="19"/>
  <c r="P17" i="19"/>
  <c r="P20" i="19"/>
  <c r="P21" i="19"/>
  <c r="P22" i="19"/>
  <c r="J8" i="19"/>
  <c r="J9" i="19"/>
  <c r="J10" i="19"/>
  <c r="J11" i="19"/>
  <c r="J12" i="19"/>
  <c r="J13" i="19"/>
  <c r="J14" i="19"/>
  <c r="J15" i="19"/>
  <c r="J16" i="19"/>
  <c r="J17" i="19"/>
  <c r="J20" i="19"/>
  <c r="J21" i="19"/>
  <c r="F25" i="23"/>
  <c r="R17" i="19" l="1"/>
  <c r="H20" i="23"/>
  <c r="R15" i="19"/>
  <c r="R9" i="19"/>
  <c r="R14" i="19"/>
  <c r="R6" i="19"/>
  <c r="R13" i="19"/>
  <c r="R12" i="19"/>
  <c r="R21" i="19"/>
  <c r="R11" i="19"/>
  <c r="R20" i="19"/>
  <c r="R16" i="19"/>
  <c r="R10" i="19"/>
  <c r="R8" i="19"/>
  <c r="R7" i="19"/>
  <c r="G20" i="23"/>
  <c r="G25" i="23"/>
  <c r="H25" i="23"/>
  <c r="I25" i="23" l="1"/>
  <c r="Q24" i="19" l="1"/>
  <c r="J24" i="19"/>
  <c r="P24" i="19"/>
  <c r="R24" i="19" l="1"/>
  <c r="P23" i="19" l="1"/>
  <c r="P5" i="19"/>
  <c r="I12" i="23"/>
  <c r="H12" i="23"/>
  <c r="G12" i="23"/>
  <c r="F12" i="23"/>
  <c r="F12" i="5"/>
  <c r="G12" i="5"/>
  <c r="H12" i="5"/>
  <c r="I12" i="5"/>
  <c r="C14" i="33" l="1"/>
  <c r="C13" i="33"/>
  <c r="C12" i="33"/>
  <c r="C11" i="33"/>
  <c r="C10" i="33"/>
  <c r="C9" i="33"/>
  <c r="C8" i="33"/>
  <c r="C7" i="33"/>
  <c r="C6" i="33"/>
  <c r="C5" i="33"/>
  <c r="C4" i="33"/>
  <c r="C3" i="33"/>
  <c r="F16" i="23" l="1"/>
  <c r="F21" i="23"/>
  <c r="F20" i="5"/>
  <c r="F19" i="23"/>
  <c r="F15" i="23"/>
  <c r="F17" i="23"/>
  <c r="F23" i="23"/>
  <c r="F24" i="23"/>
  <c r="F18" i="23"/>
  <c r="F14" i="23"/>
  <c r="F22" i="23"/>
  <c r="F13" i="23"/>
  <c r="E5" i="33" l="1"/>
  <c r="D5" i="33"/>
  <c r="G18" i="23"/>
  <c r="E8" i="33"/>
  <c r="D8" i="33"/>
  <c r="G16" i="23"/>
  <c r="G13" i="23"/>
  <c r="E3" i="33"/>
  <c r="D3" i="33"/>
  <c r="D4" i="33"/>
  <c r="E6" i="33" l="1"/>
  <c r="D6" i="33"/>
  <c r="H18" i="23"/>
  <c r="I18" i="23" s="1"/>
  <c r="F8" i="33"/>
  <c r="F3" i="33"/>
  <c r="F5" i="33"/>
  <c r="H13" i="23"/>
  <c r="I13" i="23" s="1"/>
  <c r="F6" i="33" l="1"/>
  <c r="H16" i="23"/>
  <c r="I16" i="23" s="1"/>
  <c r="G24" i="23"/>
  <c r="E14" i="33"/>
  <c r="D14" i="33"/>
  <c r="G23" i="23"/>
  <c r="F14" i="33" l="1"/>
  <c r="G22" i="23"/>
  <c r="E12" i="33"/>
  <c r="D12" i="33"/>
  <c r="P25" i="19"/>
  <c r="G21" i="23" s="1"/>
  <c r="O25" i="19"/>
  <c r="I25" i="19"/>
  <c r="E11" i="33" s="1"/>
  <c r="H25" i="19"/>
  <c r="D11" i="33" s="1"/>
  <c r="R22" i="19"/>
  <c r="Q23" i="19"/>
  <c r="R23" i="19" s="1"/>
  <c r="Q5" i="19"/>
  <c r="R5" i="19" s="1"/>
  <c r="J6" i="19"/>
  <c r="J7" i="19"/>
  <c r="J22" i="19"/>
  <c r="J23" i="19"/>
  <c r="J5" i="19"/>
  <c r="H20" i="5" l="1"/>
  <c r="F11" i="33"/>
  <c r="H24" i="23"/>
  <c r="I24" i="23" s="1"/>
  <c r="H21" i="5"/>
  <c r="F12" i="33"/>
  <c r="Q25" i="19"/>
  <c r="J25" i="19"/>
  <c r="H22" i="23" l="1"/>
  <c r="I22" i="23" s="1"/>
  <c r="R25" i="19"/>
  <c r="H21" i="23"/>
  <c r="I21" i="23" s="1"/>
  <c r="G19" i="23"/>
  <c r="E9" i="33"/>
  <c r="D9" i="33"/>
  <c r="G17" i="23"/>
  <c r="E7" i="33"/>
  <c r="D7" i="33"/>
  <c r="E10" i="33"/>
  <c r="D10" i="33"/>
  <c r="G15" i="23"/>
  <c r="G14" i="23"/>
  <c r="E4" i="33"/>
  <c r="F9" i="33" l="1"/>
  <c r="F10" i="33"/>
  <c r="F4" i="33"/>
  <c r="G26" i="23"/>
  <c r="F7" i="33"/>
  <c r="H14" i="23"/>
  <c r="I14" i="23" s="1"/>
  <c r="H15" i="23"/>
  <c r="I20" i="23"/>
  <c r="H19" i="23" l="1"/>
  <c r="I19" i="23" s="1"/>
  <c r="H17" i="23"/>
  <c r="I17" i="23" s="1"/>
  <c r="I15" i="23"/>
  <c r="G44" i="12"/>
  <c r="F44" i="12"/>
  <c r="C44" i="12"/>
  <c r="C42" i="12"/>
  <c r="G40" i="12"/>
  <c r="F40" i="12"/>
  <c r="H39" i="12"/>
  <c r="H38" i="12"/>
  <c r="H37" i="12"/>
  <c r="G36" i="12"/>
  <c r="F36" i="12"/>
  <c r="H35" i="12"/>
  <c r="H34" i="12"/>
  <c r="H33" i="12"/>
  <c r="G32" i="12"/>
  <c r="F32" i="12"/>
  <c r="H31" i="12"/>
  <c r="H30" i="12"/>
  <c r="H29" i="12"/>
  <c r="H28" i="12"/>
  <c r="G27" i="12"/>
  <c r="F27" i="12"/>
  <c r="H26" i="12"/>
  <c r="H25" i="12"/>
  <c r="G24" i="12"/>
  <c r="F24" i="12"/>
  <c r="H23" i="12"/>
  <c r="H22" i="12"/>
  <c r="H21" i="12"/>
  <c r="H20" i="12"/>
  <c r="G19" i="12"/>
  <c r="F19" i="12"/>
  <c r="H19" i="12" s="1"/>
  <c r="H18" i="12"/>
  <c r="H17" i="12"/>
  <c r="G16" i="12"/>
  <c r="F16" i="12"/>
  <c r="H15" i="12"/>
  <c r="H14" i="12"/>
  <c r="H13" i="12"/>
  <c r="H12" i="12"/>
  <c r="G11" i="12"/>
  <c r="F11" i="12"/>
  <c r="H11" i="12" s="1"/>
  <c r="H10" i="12"/>
  <c r="H9" i="12"/>
  <c r="G8" i="12"/>
  <c r="F8" i="12"/>
  <c r="H7" i="12"/>
  <c r="H6" i="12"/>
  <c r="H5" i="12"/>
  <c r="H4" i="12"/>
  <c r="H27" i="12" l="1"/>
  <c r="F42" i="12"/>
  <c r="H44" i="12"/>
  <c r="H8" i="12"/>
  <c r="H24" i="12"/>
  <c r="H40" i="12"/>
  <c r="H16" i="12"/>
  <c r="H32" i="12"/>
  <c r="H36" i="12"/>
  <c r="G42" i="12"/>
  <c r="H42" i="12" s="1"/>
  <c r="F15" i="8" l="1"/>
  <c r="G15" i="8"/>
  <c r="G82" i="8"/>
  <c r="C80" i="8"/>
  <c r="F82" i="8"/>
  <c r="G78" i="8"/>
  <c r="F78" i="8"/>
  <c r="G75" i="8"/>
  <c r="F75" i="8"/>
  <c r="G68" i="8"/>
  <c r="F68" i="8"/>
  <c r="G58" i="8"/>
  <c r="F58" i="8"/>
  <c r="G52" i="8"/>
  <c r="F52" i="8"/>
  <c r="G40" i="8"/>
  <c r="F40" i="8"/>
  <c r="G29" i="8"/>
  <c r="F29" i="8"/>
  <c r="F19" i="8"/>
  <c r="H77" i="8"/>
  <c r="H76" i="8"/>
  <c r="H74" i="8"/>
  <c r="H73" i="8"/>
  <c r="H72" i="8"/>
  <c r="H71" i="8"/>
  <c r="H70" i="8"/>
  <c r="H69" i="8"/>
  <c r="H67" i="8"/>
  <c r="H66" i="8"/>
  <c r="H65" i="8"/>
  <c r="H64" i="8"/>
  <c r="H63" i="8"/>
  <c r="H62" i="8"/>
  <c r="H61" i="8"/>
  <c r="H60" i="8"/>
  <c r="H59" i="8"/>
  <c r="H57" i="8"/>
  <c r="H56" i="8"/>
  <c r="H55" i="8"/>
  <c r="H54" i="8"/>
  <c r="H53" i="8"/>
  <c r="H51" i="8"/>
  <c r="H50" i="8"/>
  <c r="H49" i="8"/>
  <c r="H48" i="8"/>
  <c r="H47" i="8"/>
  <c r="H46" i="8"/>
  <c r="H45" i="8"/>
  <c r="H44" i="8"/>
  <c r="H43" i="8"/>
  <c r="H42" i="8"/>
  <c r="H41" i="8"/>
  <c r="H28" i="8"/>
  <c r="H27" i="8"/>
  <c r="H26" i="8"/>
  <c r="H25" i="8"/>
  <c r="H24" i="8"/>
  <c r="H23" i="8"/>
  <c r="H22" i="8"/>
  <c r="H21" i="8"/>
  <c r="H20" i="8"/>
  <c r="H39" i="8"/>
  <c r="H38" i="8"/>
  <c r="H37" i="8"/>
  <c r="H36" i="8"/>
  <c r="H35" i="8"/>
  <c r="H34" i="8"/>
  <c r="H33" i="8"/>
  <c r="H32" i="8"/>
  <c r="H31" i="8"/>
  <c r="H30" i="8"/>
  <c r="H18" i="8"/>
  <c r="H17" i="8"/>
  <c r="H16" i="8"/>
  <c r="G19" i="8"/>
  <c r="H5" i="8"/>
  <c r="H6" i="8"/>
  <c r="H7" i="8"/>
  <c r="H8" i="8"/>
  <c r="H9" i="8"/>
  <c r="H10" i="8"/>
  <c r="H11" i="8"/>
  <c r="H12" i="8"/>
  <c r="H13" i="8"/>
  <c r="H14" i="8"/>
  <c r="H4" i="8"/>
  <c r="H82" i="8" l="1"/>
  <c r="G80" i="8"/>
  <c r="F80" i="8"/>
  <c r="H75" i="8"/>
  <c r="H78" i="8"/>
  <c r="H40" i="8"/>
  <c r="H58" i="8"/>
  <c r="H68" i="8"/>
  <c r="H52" i="8"/>
  <c r="H29" i="8"/>
  <c r="H19" i="8"/>
  <c r="H15" i="8"/>
  <c r="H80" i="8" l="1"/>
  <c r="C82" i="8" l="1"/>
  <c r="H23" i="23" l="1"/>
  <c r="I23" i="23" l="1"/>
  <c r="H26" i="23"/>
  <c r="I26" i="23" s="1"/>
  <c r="E13" i="33" l="1"/>
  <c r="D13" i="33"/>
  <c r="G26" i="5" s="1"/>
  <c r="I26" i="5" l="1"/>
  <c r="F13" i="33"/>
  <c r="G40" i="18" l="1"/>
  <c r="G39" i="18"/>
</calcChain>
</file>

<file path=xl/comments1.xml><?xml version="1.0" encoding="utf-8"?>
<comments xmlns="http://schemas.openxmlformats.org/spreadsheetml/2006/main" xmlns:mc="http://schemas.openxmlformats.org/markup-compatibility/2006" xmlns:xr="http://schemas.microsoft.com/office/spreadsheetml/2014/revision" mc:Ignorable="xr">
  <authors>
    <author>Ouleymatou DIALLO</author>
  </authors>
  <commentList>
    <comment ref="A1" authorId="0" shapeId="0" xr:uid="{00000000-0006-0000-0B00-000001000000}">
      <text>
        <r>
          <rPr>
            <b/>
            <sz val="9"/>
            <color indexed="81"/>
            <rFont val="Tahoma"/>
            <charset val="1"/>
          </rPr>
          <t>Ouleymatou DIALLO:</t>
        </r>
        <r>
          <rPr>
            <sz val="9"/>
            <color indexed="81"/>
            <rFont val="Tahoma"/>
            <charset val="1"/>
          </rPr>
          <t xml:space="preserve">
Marketing communication et cx</t>
        </r>
      </text>
    </comment>
    <comment ref="L5" authorId="0" shapeId="0" xr:uid="{00000000-0006-0000-0B00-000002000000}">
      <text>
        <r>
          <rPr>
            <b/>
            <sz val="9"/>
            <color indexed="81"/>
            <rFont val="Tahoma"/>
            <charset val="1"/>
          </rPr>
          <t>Ouleymatou DIALLO:</t>
        </r>
        <r>
          <rPr>
            <sz val="9"/>
            <color indexed="81"/>
            <rFont val="Tahoma"/>
            <charset val="1"/>
          </rPr>
          <t xml:space="preserve">
Plan d'action commerciale existente</t>
        </r>
      </text>
    </comment>
    <comment ref="N5" authorId="0" shapeId="0" xr:uid="{00000000-0006-0000-0B00-000003000000}">
      <text>
        <r>
          <rPr>
            <b/>
            <sz val="9"/>
            <color indexed="81"/>
            <rFont val="Tahoma"/>
            <charset val="1"/>
          </rPr>
          <t>MARKETING ET HEAD ANIMATION</t>
        </r>
      </text>
    </comment>
    <comment ref="L6" authorId="0" shapeId="0" xr:uid="{00000000-0006-0000-0B00-000004000000}">
      <text>
        <r>
          <rPr>
            <b/>
            <sz val="9"/>
            <color indexed="81"/>
            <rFont val="Tahoma"/>
            <charset val="1"/>
          </rPr>
          <t>Ouleymatou DIALLO:</t>
        </r>
        <r>
          <rPr>
            <sz val="9"/>
            <color indexed="81"/>
            <rFont val="Tahoma"/>
            <charset val="1"/>
          </rPr>
          <t xml:space="preserve">
Il existe une plateforme de gestion des reclammations</t>
        </r>
      </text>
    </comment>
    <comment ref="N6" authorId="0" shapeId="0" xr:uid="{00000000-0006-0000-0B00-000005000000}">
      <text>
        <r>
          <rPr>
            <sz val="9"/>
            <color indexed="81"/>
            <rFont val="Tahoma"/>
            <charset val="1"/>
          </rPr>
          <t>RESPONSABLE CX</t>
        </r>
      </text>
    </comment>
    <comment ref="L7" authorId="0" shapeId="0" xr:uid="{00000000-0006-0000-0B00-000006000000}">
      <text>
        <r>
          <rPr>
            <b/>
            <sz val="9"/>
            <color indexed="81"/>
            <rFont val="Tahoma"/>
            <charset val="1"/>
          </rPr>
          <t>Ouleymatou DIALLO:</t>
        </r>
        <r>
          <rPr>
            <sz val="9"/>
            <color indexed="81"/>
            <rFont val="Tahoma"/>
            <charset val="1"/>
          </rPr>
          <t xml:space="preserve">
CORRECTION EFFECTUEE SUR DAKAR EN PROVINCE PREVUE POUR LE S2</t>
        </r>
      </text>
    </comment>
    <comment ref="N7" authorId="0" shapeId="0" xr:uid="{00000000-0006-0000-0B00-000007000000}">
      <text>
        <r>
          <rPr>
            <b/>
            <sz val="9"/>
            <color indexed="81"/>
            <rFont val="Tahoma"/>
            <charset val="1"/>
          </rPr>
          <t>Ouleymatou DIALLO:</t>
        </r>
        <r>
          <rPr>
            <sz val="9"/>
            <color indexed="81"/>
            <rFont val="Tahoma"/>
            <charset val="1"/>
          </rPr>
          <t xml:space="preserve">
comm</t>
        </r>
      </text>
    </comment>
    <comment ref="L8" authorId="0" shapeId="0" xr:uid="{00000000-0006-0000-0B00-000008000000}">
      <text>
        <r>
          <rPr>
            <b/>
            <sz val="9"/>
            <color indexed="81"/>
            <rFont val="Tahoma"/>
            <charset val="1"/>
          </rPr>
          <t>Ouleymatou DIALLO:</t>
        </r>
        <r>
          <rPr>
            <sz val="9"/>
            <color indexed="81"/>
            <rFont val="Tahoma"/>
            <charset val="1"/>
          </rPr>
          <t xml:space="preserve">
DONE</t>
        </r>
      </text>
    </comment>
    <comment ref="N8" authorId="0" shapeId="0" xr:uid="{00000000-0006-0000-0B00-000009000000}">
      <text>
        <r>
          <rPr>
            <b/>
            <sz val="9"/>
            <color indexed="81"/>
            <rFont val="Tahoma"/>
            <charset val="1"/>
          </rPr>
          <t>Ouleymatou DIALLO:</t>
        </r>
        <r>
          <rPr>
            <sz val="9"/>
            <color indexed="81"/>
            <rFont val="Tahoma"/>
            <charset val="1"/>
          </rPr>
          <t xml:space="preserve">
COMM</t>
        </r>
      </text>
    </comment>
    <comment ref="L9" authorId="0" shapeId="0" xr:uid="{00000000-0006-0000-0B00-00000A000000}">
      <text>
        <r>
          <rPr>
            <b/>
            <sz val="9"/>
            <color indexed="81"/>
            <rFont val="Tahoma"/>
            <charset val="1"/>
          </rPr>
          <t>Ouleymatou DIALLO:</t>
        </r>
        <r>
          <rPr>
            <sz val="9"/>
            <color indexed="81"/>
            <rFont val="Tahoma"/>
            <charset val="1"/>
          </rPr>
          <t xml:space="preserve">
la responsable cx dit que des formations et sensibilisations se font au niveau des agences </t>
        </r>
      </text>
    </comment>
    <comment ref="M9" authorId="0" shapeId="0" xr:uid="{00000000-0006-0000-0B00-00000B000000}">
      <text>
        <r>
          <rPr>
            <b/>
            <sz val="9"/>
            <color indexed="81"/>
            <rFont val="Tahoma"/>
            <charset val="1"/>
          </rPr>
          <t>Ouleymatou DIALLO:</t>
        </r>
        <r>
          <rPr>
            <sz val="9"/>
            <color indexed="81"/>
            <rFont val="Tahoma"/>
            <charset val="1"/>
          </rPr>
          <t xml:space="preserve">
OUTIL DE FEED BACK CLIENT MODULE DE FORMATION DISPONIBLE /SEANCE DE SENSIBILISATION MENSUEL A PARTIR DES RECLAMATIONS</t>
        </r>
      </text>
    </comment>
    <comment ref="N9" authorId="0" shapeId="0" xr:uid="{00000000-0006-0000-0B00-00000C000000}">
      <text>
        <r>
          <rPr>
            <b/>
            <sz val="9"/>
            <color indexed="81"/>
            <rFont val="Tahoma"/>
            <charset val="1"/>
          </rPr>
          <t>Ouleymatou DIALLO:</t>
        </r>
        <r>
          <rPr>
            <sz val="9"/>
            <color indexed="81"/>
            <rFont val="Tahoma"/>
            <charset val="1"/>
          </rPr>
          <t xml:space="preserve">
cx</t>
        </r>
      </text>
    </comment>
    <comment ref="L10" authorId="0" shapeId="0" xr:uid="{00000000-0006-0000-0B00-00000D000000}">
      <text>
        <r>
          <rPr>
            <b/>
            <sz val="9"/>
            <color indexed="81"/>
            <rFont val="Tahoma"/>
            <charset val="1"/>
          </rPr>
          <t>Ouleymatou DIALLO:</t>
        </r>
        <r>
          <rPr>
            <sz val="9"/>
            <color indexed="81"/>
            <rFont val="Tahoma"/>
            <charset val="1"/>
          </rPr>
          <t xml:space="preserve">
PLUSIEURS CANAUX DE COMMUNICATION
PAR RAPPORT AU SITE INTERNET PREVU SUR 2026 </t>
        </r>
      </text>
    </comment>
    <comment ref="N10" authorId="0" shapeId="0" xr:uid="{00000000-0006-0000-0B00-00000E000000}">
      <text>
        <r>
          <rPr>
            <b/>
            <sz val="9"/>
            <color indexed="81"/>
            <rFont val="Tahoma"/>
            <charset val="1"/>
          </rPr>
          <t>Ouleymatou DIALLO:</t>
        </r>
        <r>
          <rPr>
            <sz val="9"/>
            <color indexed="81"/>
            <rFont val="Tahoma"/>
            <charset val="1"/>
          </rPr>
          <t xml:space="preserve">
com et marketing</t>
        </r>
      </text>
    </comment>
    <comment ref="L11" authorId="0" shapeId="0" xr:uid="{00000000-0006-0000-0B00-000010000000}">
      <text>
        <r>
          <rPr>
            <b/>
            <sz val="9"/>
            <color indexed="81"/>
            <rFont val="Tahoma"/>
            <charset val="1"/>
          </rPr>
          <t>Ouleymatou DIALLO:</t>
        </r>
        <r>
          <rPr>
            <sz val="9"/>
            <color indexed="81"/>
            <rFont val="Tahoma"/>
            <charset val="1"/>
          </rPr>
          <t xml:space="preserve">
done</t>
        </r>
      </text>
    </comment>
    <comment ref="N11" authorId="0" shapeId="0" xr:uid="{00000000-0006-0000-0B00-000011000000}">
      <text>
        <r>
          <rPr>
            <b/>
            <sz val="9"/>
            <color indexed="81"/>
            <rFont val="Tahoma"/>
            <charset val="1"/>
          </rPr>
          <t>Ouleymatou DIALLO:</t>
        </r>
        <r>
          <rPr>
            <sz val="9"/>
            <color indexed="81"/>
            <rFont val="Tahoma"/>
            <charset val="1"/>
          </rPr>
          <t xml:space="preserve">
comm</t>
        </r>
      </text>
    </comment>
    <comment ref="L12" authorId="0" shapeId="0" xr:uid="{00000000-0006-0000-0B00-000015000000}">
      <text>
        <r>
          <rPr>
            <b/>
            <sz val="9"/>
            <color indexed="81"/>
            <rFont val="Tahoma"/>
            <charset val="1"/>
          </rPr>
          <t>Ouleymatou DIALLO:</t>
        </r>
        <r>
          <rPr>
            <sz val="9"/>
            <color indexed="81"/>
            <rFont val="Tahoma"/>
            <charset val="1"/>
          </rPr>
          <t xml:space="preserve">
dispositif existant</t>
        </r>
      </text>
    </comment>
    <comment ref="N12" authorId="0" shapeId="0" xr:uid="{00000000-0006-0000-0B00-000016000000}">
      <text>
        <r>
          <rPr>
            <b/>
            <sz val="9"/>
            <color indexed="81"/>
            <rFont val="Tahoma"/>
            <charset val="1"/>
          </rPr>
          <t>Ouleymatou DIALLO:</t>
        </r>
        <r>
          <rPr>
            <sz val="9"/>
            <color indexed="81"/>
            <rFont val="Tahoma"/>
            <charset val="1"/>
          </rPr>
          <t xml:space="preserve">
marketing</t>
        </r>
      </text>
    </comment>
    <comment ref="L13" authorId="0" shapeId="0" xr:uid="{00000000-0006-0000-0B00-000017000000}">
      <text>
        <r>
          <rPr>
            <b/>
            <sz val="9"/>
            <color indexed="81"/>
            <rFont val="Tahoma"/>
            <family val="2"/>
          </rPr>
          <t>Ouleymatou DIALLO:</t>
        </r>
        <r>
          <rPr>
            <sz val="9"/>
            <color indexed="81"/>
            <rFont val="Tahoma"/>
            <family val="2"/>
          </rPr>
          <t xml:space="preserve">
dispositif existant</t>
        </r>
      </text>
    </comment>
    <comment ref="N13" authorId="0" shapeId="0" xr:uid="{00000000-0006-0000-0B00-000018000000}">
      <text>
        <r>
          <rPr>
            <b/>
            <sz val="9"/>
            <color indexed="81"/>
            <rFont val="Tahoma"/>
            <charset val="1"/>
          </rPr>
          <t>Ouleymatou DIALLO:</t>
        </r>
        <r>
          <rPr>
            <sz val="9"/>
            <color indexed="81"/>
            <rFont val="Tahoma"/>
            <charset val="1"/>
          </rPr>
          <t xml:space="preserve">
marketing</t>
        </r>
      </text>
    </comment>
    <comment ref="E14" authorId="0" shapeId="0" xr:uid="{00000000-0006-0000-0B00-000019000000}">
      <text>
        <r>
          <rPr>
            <b/>
            <sz val="9"/>
            <color indexed="81"/>
            <rFont val="Tahoma"/>
            <charset val="1"/>
          </rPr>
          <t>Ouleymatou DIALLO:</t>
        </r>
        <r>
          <rPr>
            <sz val="9"/>
            <color indexed="81"/>
            <rFont val="Tahoma"/>
            <charset val="1"/>
          </rPr>
          <t xml:space="preserve">
COTE CLIENT INFORMER COTE STAFF FAIRE DES FORMATIONS SUR LES NOUVEAUX PRODUITS</t>
        </r>
      </text>
    </comment>
    <comment ref="L14" authorId="0" shapeId="0" xr:uid="{00000000-0006-0000-0B00-00001A000000}">
      <text>
        <r>
          <rPr>
            <b/>
            <sz val="9"/>
            <color indexed="81"/>
            <rFont val="Tahoma"/>
            <family val="2"/>
          </rPr>
          <t>Ouleymatou DIALLO:</t>
        </r>
        <r>
          <rPr>
            <sz val="9"/>
            <color indexed="81"/>
            <rFont val="Tahoma"/>
            <family val="2"/>
          </rPr>
          <t xml:space="preserve">
personnel non formé</t>
        </r>
      </text>
    </comment>
    <comment ref="L15" authorId="0" shapeId="0" xr:uid="{00000000-0006-0000-0B00-00001B000000}">
      <text>
        <r>
          <rPr>
            <b/>
            <sz val="9"/>
            <color indexed="81"/>
            <rFont val="Tahoma"/>
            <charset val="1"/>
          </rPr>
          <t>Ouleymatou DIALLO:</t>
        </r>
        <r>
          <rPr>
            <sz val="9"/>
            <color indexed="81"/>
            <rFont val="Tahoma"/>
            <charset val="1"/>
          </rPr>
          <t xml:space="preserve">
C'est un POINT du JURIDIQUE d'apres eux 
ils precisent que les noms des produits ne sont pas protegés
</t>
        </r>
      </text>
    </comment>
    <comment ref="N15" authorId="0" shapeId="0" xr:uid="{00000000-0006-0000-0B00-00001C000000}">
      <text>
        <r>
          <rPr>
            <b/>
            <sz val="9"/>
            <color indexed="81"/>
            <rFont val="Tahoma"/>
            <charset val="1"/>
          </rPr>
          <t>Ouleymatou DIALLO:</t>
        </r>
        <r>
          <rPr>
            <sz val="9"/>
            <color indexed="81"/>
            <rFont val="Tahoma"/>
            <charset val="1"/>
          </rPr>
          <t xml:space="preserve">
juridique</t>
        </r>
      </text>
    </comment>
    <comment ref="E16" authorId="0" shapeId="0" xr:uid="{00000000-0006-0000-0B00-00001D000000}">
      <text>
        <r>
          <rPr>
            <b/>
            <sz val="9"/>
            <color indexed="81"/>
            <rFont val="Tahoma"/>
            <charset val="1"/>
          </rPr>
          <t>Ouleymatou DIALLO:</t>
        </r>
        <r>
          <rPr>
            <sz val="9"/>
            <color indexed="81"/>
            <rFont val="Tahoma"/>
            <charset val="1"/>
          </rPr>
          <t xml:space="preserve">
</t>
        </r>
      </text>
    </comment>
    <comment ref="L16" authorId="0" shapeId="0" xr:uid="{00000000-0006-0000-0B00-00001E000000}">
      <text>
        <r>
          <rPr>
            <b/>
            <sz val="9"/>
            <color indexed="81"/>
            <rFont val="Tahoma"/>
            <charset val="1"/>
          </rPr>
          <t>Ouleymatou DIALLO:</t>
        </r>
        <r>
          <rPr>
            <sz val="9"/>
            <color indexed="81"/>
            <rFont val="Tahoma"/>
            <charset val="1"/>
          </rPr>
          <t xml:space="preserve">
conformité est invité lors des lancements 
tous les produits sont validés santionnés par des memos</t>
        </r>
      </text>
    </comment>
    <comment ref="N16" authorId="0" shapeId="0" xr:uid="{00000000-0006-0000-0B00-00001F000000}">
      <text>
        <r>
          <rPr>
            <b/>
            <sz val="9"/>
            <color indexed="81"/>
            <rFont val="Tahoma"/>
            <family val="2"/>
          </rPr>
          <t>Ouleymatou DIALLO:</t>
        </r>
        <r>
          <rPr>
            <sz val="9"/>
            <color indexed="81"/>
            <rFont val="Tahoma"/>
            <family val="2"/>
          </rPr>
          <t xml:space="preserve">
marketing</t>
        </r>
      </text>
    </comment>
    <comment ref="L17" authorId="0" shapeId="0" xr:uid="{00000000-0006-0000-0B00-000020000000}">
      <text>
        <r>
          <rPr>
            <b/>
            <sz val="9"/>
            <color indexed="81"/>
            <rFont val="Tahoma"/>
            <charset val="1"/>
          </rPr>
          <t xml:space="preserve">Ouleymatou DIALLO: le service Communication fait les elements de langages validées à l'avance </t>
        </r>
      </text>
    </comment>
    <comment ref="M17" authorId="0" shapeId="0" xr:uid="{00000000-0006-0000-0B00-000021000000}">
      <text>
        <r>
          <rPr>
            <b/>
            <sz val="9"/>
            <color indexed="81"/>
            <rFont val="Tahoma"/>
            <charset val="1"/>
          </rPr>
          <t>Ouleymatou DIALLO:</t>
        </r>
        <r>
          <rPr>
            <sz val="9"/>
            <color indexed="81"/>
            <rFont val="Tahoma"/>
            <charset val="1"/>
          </rPr>
          <t xml:space="preserve">
abcence de procedure</t>
        </r>
      </text>
    </comment>
    <comment ref="N17" authorId="0" shapeId="0" xr:uid="{00000000-0006-0000-0B00-000022000000}">
      <text>
        <r>
          <rPr>
            <b/>
            <sz val="9"/>
            <color indexed="81"/>
            <rFont val="Tahoma"/>
            <charset val="1"/>
          </rPr>
          <t>Ouleymatou DIALLO:</t>
        </r>
        <r>
          <rPr>
            <sz val="9"/>
            <color indexed="81"/>
            <rFont val="Tahoma"/>
            <charset val="1"/>
          </rPr>
          <t xml:space="preserve">
comm</t>
        </r>
      </text>
    </comment>
    <comment ref="L18" authorId="0" shapeId="0" xr:uid="{00000000-0006-0000-0B00-000023000000}">
      <text>
        <r>
          <rPr>
            <b/>
            <sz val="9"/>
            <color indexed="81"/>
            <rFont val="Tahoma"/>
            <charset val="1"/>
          </rPr>
          <t>Ouleymatou DIALLO:</t>
        </r>
        <r>
          <rPr>
            <sz val="9"/>
            <color indexed="81"/>
            <rFont val="Tahoma"/>
            <charset val="1"/>
          </rPr>
          <t xml:space="preserve">
Procedure existante</t>
        </r>
      </text>
    </comment>
    <comment ref="N18" authorId="0" shapeId="0" xr:uid="{00000000-0006-0000-0B00-000024000000}">
      <text>
        <r>
          <rPr>
            <b/>
            <sz val="9"/>
            <color indexed="81"/>
            <rFont val="Tahoma"/>
            <charset val="1"/>
          </rPr>
          <t>Ouleymatou DIALLO:</t>
        </r>
        <r>
          <rPr>
            <sz val="9"/>
            <color indexed="81"/>
            <rFont val="Tahoma"/>
            <charset val="1"/>
          </rPr>
          <t xml:space="preserve">
comm</t>
        </r>
      </text>
    </comment>
    <comment ref="L19" authorId="0" shapeId="0" xr:uid="{00000000-0006-0000-0B00-000025000000}">
      <text>
        <r>
          <rPr>
            <b/>
            <sz val="9"/>
            <color indexed="81"/>
            <rFont val="Tahoma"/>
            <charset val="1"/>
          </rPr>
          <t>Ouleymatou DIALLO:</t>
        </r>
        <r>
          <rPr>
            <sz val="9"/>
            <color indexed="81"/>
            <rFont val="Tahoma"/>
            <charset val="1"/>
          </rPr>
          <t xml:space="preserve">
stock gere par communication</t>
        </r>
      </text>
    </comment>
    <comment ref="N19" authorId="0" shapeId="0" xr:uid="{00000000-0006-0000-0B00-000026000000}">
      <text>
        <r>
          <rPr>
            <b/>
            <sz val="9"/>
            <color indexed="81"/>
            <rFont val="Tahoma"/>
            <family val="2"/>
          </rPr>
          <t>Ouleymatou DIALLO:</t>
        </r>
        <r>
          <rPr>
            <sz val="9"/>
            <color indexed="81"/>
            <rFont val="Tahoma"/>
            <family val="2"/>
          </rPr>
          <t xml:space="preserve">
comm</t>
        </r>
      </text>
    </comment>
    <comment ref="L20" authorId="0" shapeId="0" xr:uid="{00000000-0006-0000-0B00-000027000000}">
      <text>
        <r>
          <rPr>
            <b/>
            <sz val="9"/>
            <color indexed="81"/>
            <rFont val="Tahoma"/>
            <charset val="1"/>
          </rPr>
          <t>Ouleymatou DIALLO:</t>
        </r>
        <r>
          <rPr>
            <sz val="9"/>
            <color indexed="81"/>
            <rFont val="Tahoma"/>
            <charset val="1"/>
          </rPr>
          <t xml:space="preserve">
politique existante</t>
        </r>
      </text>
    </comment>
    <comment ref="N20" authorId="0" shapeId="0" xr:uid="{00000000-0006-0000-0B00-000028000000}">
      <text>
        <r>
          <rPr>
            <b/>
            <sz val="9"/>
            <color indexed="81"/>
            <rFont val="Tahoma"/>
            <charset val="1"/>
          </rPr>
          <t>Ouleymatou DIALLO:</t>
        </r>
        <r>
          <rPr>
            <sz val="9"/>
            <color indexed="81"/>
            <rFont val="Tahoma"/>
            <charset val="1"/>
          </rPr>
          <t xml:space="preserve">
rse</t>
        </r>
      </text>
    </comment>
    <comment ref="L21" authorId="0" shapeId="0" xr:uid="{00000000-0006-0000-0B00-000029000000}">
      <text>
        <r>
          <rPr>
            <b/>
            <sz val="9"/>
            <color indexed="81"/>
            <rFont val="Tahoma"/>
            <charset val="1"/>
          </rPr>
          <t>Ouleymatou DIALLO:</t>
        </r>
        <r>
          <rPr>
            <sz val="9"/>
            <color indexed="81"/>
            <rFont val="Tahoma"/>
            <charset val="1"/>
          </rPr>
          <t xml:space="preserve">
Les depenses effectuées ne depassent pas  le budjet preetabli</t>
        </r>
      </text>
    </comment>
    <comment ref="N21" authorId="0" shapeId="0" xr:uid="{00000000-0006-0000-0B00-00002A000000}">
      <text>
        <r>
          <rPr>
            <b/>
            <sz val="9"/>
            <color indexed="81"/>
            <rFont val="Tahoma"/>
            <charset val="1"/>
          </rPr>
          <t>Ouleymatou DIALLO:</t>
        </r>
        <r>
          <rPr>
            <sz val="9"/>
            <color indexed="81"/>
            <rFont val="Tahoma"/>
            <charset val="1"/>
          </rPr>
          <t xml:space="preserve">
comm</t>
        </r>
      </text>
    </comment>
    <comment ref="L22" authorId="0" shapeId="0" xr:uid="{00000000-0006-0000-0B00-00002B000000}">
      <text>
        <r>
          <rPr>
            <b/>
            <sz val="9"/>
            <color indexed="81"/>
            <rFont val="Tahoma"/>
            <charset val="1"/>
          </rPr>
          <t>Ouleymatou DIALLO:</t>
        </r>
        <r>
          <rPr>
            <sz val="9"/>
            <color indexed="81"/>
            <rFont val="Tahoma"/>
            <charset val="1"/>
          </rPr>
          <t xml:space="preserve">
existence de fiche de cession des droits d'image signée par l'acteur</t>
        </r>
      </text>
    </comment>
    <comment ref="N22" authorId="0" shapeId="0" xr:uid="{00000000-0006-0000-0B00-00002C000000}">
      <text>
        <r>
          <rPr>
            <b/>
            <sz val="9"/>
            <color indexed="81"/>
            <rFont val="Tahoma"/>
            <charset val="1"/>
          </rPr>
          <t>Ouleymatou DIALLO:</t>
        </r>
        <r>
          <rPr>
            <sz val="9"/>
            <color indexed="81"/>
            <rFont val="Tahoma"/>
            <charset val="1"/>
          </rPr>
          <t xml:space="preserve">
comm</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Ibrahima SAKHO</author>
  </authors>
  <commentList>
    <comment ref="E12" authorId="0" shapeId="0" xr:uid="{00000000-0006-0000-0E00-000001000000}">
      <text>
        <r>
          <rPr>
            <b/>
            <sz val="9"/>
            <color indexed="81"/>
            <rFont val="Tahoma"/>
            <charset val="1"/>
          </rPr>
          <t>:</t>
        </r>
        <r>
          <rPr>
            <sz val="9"/>
            <color indexed="81"/>
            <rFont val="Tahoma"/>
            <charset val="1"/>
          </rPr>
          <t xml:space="preserve">
faible main mise du fait que le PIC est géré par le groupe / Alternative avec l'intranet( en attente de mise en œuvre) faible main mise du fait que le PIC est géré par le groupe / Alternative avec l'intranet( en </t>
        </r>
      </text>
    </comment>
    <comment ref="E29" authorId="0" shapeId="0" xr:uid="{00000000-0006-0000-0E00-000002000000}">
      <text>
        <r>
          <rPr>
            <sz val="9"/>
            <color indexed="81"/>
            <rFont val="Tahoma"/>
            <charset val="1"/>
          </rPr>
          <t xml:space="preserve">
demande supérieure à l'offre sur les besoins de formation/ budget à gérer</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Aida NDIAYE</author>
    <author>Mariam Sékou Koné</author>
  </authors>
  <commentList>
    <comment ref="E5" authorId="0" shapeId="0" xr:uid="{00000000-0006-0000-0F00-000001000000}">
      <text>
        <r>
          <rPr>
            <b/>
            <sz val="9"/>
            <color indexed="81"/>
            <rFont val="Tahoma"/>
            <charset val="1"/>
          </rPr>
          <t>Aida NDIAYE:</t>
        </r>
        <r>
          <rPr>
            <sz val="9"/>
            <color indexed="81"/>
            <rFont val="Tahoma"/>
            <charset val="1"/>
          </rPr>
          <t xml:space="preserve">
REJET TARDIF SUR LE SORT DUN CHEQUE APRES COMPTABLILISATION /RISQUE FRAUDE /RISQUE ELEVE 
MANQUE A GAGNER SUR LE PRELEVEMENT DES FRAIS DE REMISES CHEQUES ET DE D'IMPAYE DU A LA COMPTABILISATION MANUELLE DES FRAIS 
REMISE CHEQUES POUR UN CLIENT NON DETENTEUR DE COMPTE DANS NOS LIVRES </t>
        </r>
      </text>
    </comment>
    <comment ref="E6" authorId="0" shapeId="0" xr:uid="{00000000-0006-0000-0F00-000002000000}">
      <text>
        <r>
          <rPr>
            <b/>
            <sz val="9"/>
            <color indexed="81"/>
            <rFont val="Tahoma"/>
            <charset val="1"/>
          </rPr>
          <t>Aida NDIAYE:</t>
        </r>
        <r>
          <rPr>
            <sz val="9"/>
            <color indexed="81"/>
            <rFont val="Tahoma"/>
            <charset val="1"/>
          </rPr>
          <t xml:space="preserve">
REJET TARDIF SUR LE SORT DUN CHEQUE APRES COMPTABLILISATION /RISQUE FRAUDE /RISQUE ELEVE 
MANQUE A GAGNER SUR LE PRELEVEMENT DES FRAIS DE REMISES CHEQUES ET DE D'IMPAYE DU A LA COMPTABILISATION MANUELLE DES FRAIS 
REMISE CHEQUES POUR UN CLIENT NON DETENTEUR DE COMPTE DANS NOS LIVRES </t>
        </r>
      </text>
    </comment>
    <comment ref="E7" authorId="0" shapeId="0" xr:uid="{00000000-0006-0000-0F00-000003000000}">
      <text>
        <r>
          <rPr>
            <b/>
            <sz val="9"/>
            <color indexed="81"/>
            <rFont val="Tahoma"/>
            <charset val="1"/>
          </rPr>
          <t>Aida NDIAYE:</t>
        </r>
        <r>
          <rPr>
            <sz val="9"/>
            <color indexed="81"/>
            <rFont val="Tahoma"/>
            <charset val="1"/>
          </rPr>
          <t xml:space="preserve">
REJET TARDIF SUR LE SORT DUN CHEQUE APRES COMPTABLILISATION /RISQUE FRAUDE /RISQUE ELEVE 
MANQUE A GAGNER SUR LE PRELEVEMENT DES FRAIS DE REMISES CHEQUES ET DE D'IMPAYE DU A LA COMPTABILISATION MANUELLE DES FRAIS 
REMISE CHEQUES POUR UN CLIENT NON DETENTEUR DE COMPTE DANS NOS LIVRES </t>
        </r>
      </text>
    </comment>
    <comment ref="F8" authorId="0" shapeId="0" xr:uid="{00000000-0006-0000-0F00-000004000000}">
      <text>
        <r>
          <rPr>
            <b/>
            <sz val="9"/>
            <color indexed="81"/>
            <rFont val="Tahoma"/>
            <charset val="1"/>
          </rPr>
          <t>Aida NDIAYE:</t>
        </r>
        <r>
          <rPr>
            <sz val="9"/>
            <color indexed="81"/>
            <rFont val="Tahoma"/>
            <charset val="1"/>
          </rPr>
          <t xml:space="preserve">
</t>
        </r>
      </text>
    </comment>
    <comment ref="E27" authorId="1" shapeId="0" xr:uid="{00000000-0006-0000-0F00-000007000000}">
      <text>
        <r>
          <rPr>
            <b/>
            <sz val="9"/>
            <color indexed="81"/>
            <rFont val="Tahoma"/>
            <family val="2"/>
          </rPr>
          <t>Mariam Sékou Koné:</t>
        </r>
        <r>
          <rPr>
            <sz val="9"/>
            <color indexed="81"/>
            <rFont val="Tahoma"/>
            <family val="2"/>
          </rPr>
          <t xml:space="preserve">
Ce n'est plus aux OPS</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abdoulaye DEMBELE</author>
    <author>kouame armel</author>
  </authors>
  <commentList>
    <comment ref="E5" authorId="0" shapeId="0" xr:uid="{00000000-0006-0000-1400-000001000000}">
      <text>
        <r>
          <rPr>
            <b/>
            <sz val="9"/>
            <color indexed="81"/>
            <rFont val="Tahoma"/>
            <charset val="1"/>
          </rPr>
          <t>abdoulaye DEMBELE:</t>
        </r>
        <r>
          <rPr>
            <sz val="9"/>
            <color indexed="81"/>
            <rFont val="Tahoma"/>
            <charset val="1"/>
          </rPr>
          <t xml:space="preserve">
PAS CARTE GIM UEMOA MAIS CARTE VISA
</t>
        </r>
      </text>
    </comment>
    <comment ref="E13" authorId="0" shapeId="0" xr:uid="{00000000-0006-0000-1400-000002000000}">
      <text>
        <r>
          <rPr>
            <b/>
            <sz val="9"/>
            <color indexed="81"/>
            <rFont val="Tahoma"/>
            <charset val="1"/>
          </rPr>
          <t>abdoulaye DEMBELE:</t>
        </r>
        <r>
          <rPr>
            <sz val="9"/>
            <color indexed="81"/>
            <rFont val="Tahoma"/>
            <charset val="1"/>
          </rPr>
          <t xml:space="preserve">
A voir avec la finance sur la comptabilisation
</t>
        </r>
      </text>
    </comment>
    <comment ref="L19" authorId="1" shapeId="0" xr:uid="{00000000-0006-0000-1400-000003000000}">
      <text>
        <r>
          <rPr>
            <b/>
            <sz val="9"/>
            <color indexed="81"/>
            <rFont val="Tahoma"/>
            <family val="2"/>
          </rPr>
          <t>kouame armel:</t>
        </r>
        <r>
          <rPr>
            <sz val="9"/>
            <color indexed="81"/>
            <rFont val="Tahoma"/>
            <family val="2"/>
          </rPr>
          <t xml:space="preserve">
Point revue</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Abdoulaye LOUM</author>
  </authors>
  <commentList>
    <comment ref="L5" authorId="0" shapeId="0" xr:uid="{00000000-0006-0000-1600-000001000000}">
      <text>
        <r>
          <rPr>
            <b/>
            <sz val="9"/>
            <color indexed="81"/>
            <rFont val="Tahoma"/>
            <charset val="1"/>
          </rPr>
          <t>Abdoulaye LOUM:Mis a jour du dossier avant transmission au contentieux</t>
        </r>
      </text>
    </comment>
    <comment ref="L7" authorId="0" shapeId="0" xr:uid="{00000000-0006-0000-1600-000002000000}">
      <text>
        <r>
          <rPr>
            <b/>
            <sz val="9"/>
            <color indexed="81"/>
            <rFont val="Tahoma"/>
            <charset val="1"/>
          </rPr>
          <t>Abdoulaye LOUM:</t>
        </r>
        <r>
          <rPr>
            <sz val="9"/>
            <color indexed="81"/>
            <rFont val="Tahoma"/>
            <charset val="1"/>
          </rPr>
          <t xml:space="preserve">
Formation juridique des CC ADMIN et ADMIN</t>
        </r>
      </text>
    </comment>
    <comment ref="L9" authorId="0" shapeId="0" xr:uid="{00000000-0006-0000-1600-000004000000}">
      <text>
        <r>
          <rPr>
            <b/>
            <sz val="9"/>
            <color indexed="81"/>
            <rFont val="Tahoma"/>
            <charset val="1"/>
          </rPr>
          <t>Abdoulaye LOUM:</t>
        </r>
        <r>
          <rPr>
            <sz val="9"/>
            <color indexed="81"/>
            <rFont val="Tahoma"/>
            <charset val="1"/>
          </rPr>
          <t xml:space="preserve">
Evaluer le niveau de déterioration des biens au moment de la prise de garantie. Exclure les biens vetuste
Faire eve</t>
        </r>
      </text>
    </comment>
    <comment ref="L10" authorId="0" shapeId="0" xr:uid="{00000000-0006-0000-1600-000005000000}">
      <text>
        <r>
          <rPr>
            <b/>
            <sz val="9"/>
            <color indexed="81"/>
            <rFont val="Tahoma"/>
            <family val="2"/>
          </rPr>
          <t>Abdoulaye LOUM:</t>
        </r>
        <r>
          <rPr>
            <sz val="9"/>
            <color indexed="81"/>
            <rFont val="Tahoma"/>
            <family val="2"/>
          </rPr>
          <t xml:space="preserve">
Combiner des garanties de nature differentes</t>
        </r>
      </text>
    </comment>
    <comment ref="L12" authorId="0" shapeId="0" xr:uid="{00000000-0006-0000-1600-000007000000}">
      <text>
        <r>
          <rPr>
            <b/>
            <sz val="9"/>
            <color indexed="81"/>
            <rFont val="Tahoma"/>
            <family val="2"/>
          </rPr>
          <t>Abdoulaye LOUM:
Materialiser les revues de portefeuilles avec l'huissier et l'avocat</t>
        </r>
      </text>
    </comment>
    <comment ref="L13" authorId="0" shapeId="0" xr:uid="{00000000-0006-0000-1600-000008000000}">
      <text>
        <r>
          <rPr>
            <b/>
            <sz val="9"/>
            <color indexed="81"/>
            <rFont val="Tahoma"/>
            <family val="2"/>
          </rPr>
          <t>Abdoulaye LOUM:</t>
        </r>
        <r>
          <rPr>
            <sz val="9"/>
            <color indexed="81"/>
            <rFont val="Tahoma"/>
            <family val="2"/>
          </rPr>
          <t xml:space="preserve">
rajouter TF et supprimer avant de proceder à l'opération</t>
        </r>
      </text>
    </comment>
    <comment ref="L14" authorId="0" shapeId="0" xr:uid="{00000000-0006-0000-1600-000009000000}">
      <text>
        <r>
          <rPr>
            <b/>
            <sz val="9"/>
            <color indexed="81"/>
            <rFont val="Tahoma"/>
            <charset val="1"/>
          </rPr>
          <t>Abdoulaye LOUM:</t>
        </r>
        <r>
          <rPr>
            <sz val="9"/>
            <color indexed="81"/>
            <rFont val="Tahoma"/>
            <charset val="1"/>
          </rPr>
          <t xml:space="preserve">
Contrôle de 1 er niveau sur les traitements effectués par l'assistant juridique</t>
        </r>
      </text>
    </comment>
    <comment ref="E15" authorId="0" shapeId="0" xr:uid="{00000000-0006-0000-1600-00000A000000}">
      <text>
        <r>
          <rPr>
            <b/>
            <sz val="9"/>
            <color indexed="81"/>
            <rFont val="Tahoma"/>
            <charset val="1"/>
          </rPr>
          <t>Abdoulaye
Radiation avant l'obtention d'un PV de carence</t>
        </r>
      </text>
    </comment>
    <comment ref="F15" authorId="0" shapeId="0" xr:uid="{00000000-0006-0000-1600-00000B000000}">
      <text>
        <r>
          <rPr>
            <b/>
            <sz val="9"/>
            <color indexed="81"/>
            <rFont val="Tahoma"/>
            <charset val="1"/>
          </rPr>
          <t>Abdoulaye LOUM:</t>
        </r>
        <r>
          <rPr>
            <sz val="9"/>
            <color indexed="81"/>
            <rFont val="Tahoma"/>
            <charset val="1"/>
          </rPr>
          <t xml:space="preserve">
Risque fiscal</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abdoulaye DEMBELE</author>
    <author>Mariam Sékou Koné</author>
  </authors>
  <commentList>
    <comment ref="E12" authorId="0" shapeId="0" xr:uid="{00000000-0006-0000-1700-000001000000}">
      <text>
        <r>
          <rPr>
            <b/>
            <sz val="9"/>
            <color indexed="81"/>
            <rFont val="Tahoma"/>
            <charset val="1"/>
          </rPr>
          <t>abdoulaye DEMBELE:</t>
        </r>
        <r>
          <rPr>
            <sz val="9"/>
            <color indexed="81"/>
            <rFont val="Tahoma"/>
            <charset val="1"/>
          </rPr>
          <t xml:space="preserve">
non respect à 100%
Manque de PV après de cession
</t>
        </r>
      </text>
    </comment>
    <comment ref="E13" authorId="0" shapeId="0" xr:uid="{00000000-0006-0000-1700-000002000000}">
      <text>
        <r>
          <rPr>
            <b/>
            <sz val="9"/>
            <color indexed="81"/>
            <rFont val="Tahoma"/>
            <charset val="1"/>
          </rPr>
          <t>abdoulaye DEMBELE:</t>
        </r>
        <r>
          <rPr>
            <sz val="9"/>
            <color indexed="81"/>
            <rFont val="Tahoma"/>
            <charset val="1"/>
          </rPr>
          <t xml:space="preserve">
problème demeurant fichier à mettre à jour
</t>
        </r>
      </text>
    </comment>
    <comment ref="E14" authorId="0" shapeId="0" xr:uid="{00000000-0006-0000-1700-000003000000}">
      <text>
        <r>
          <rPr>
            <b/>
            <sz val="9"/>
            <color indexed="81"/>
            <rFont val="Tahoma"/>
            <charset val="1"/>
          </rPr>
          <t>abdoulaye DEMBELE:</t>
        </r>
        <r>
          <rPr>
            <sz val="9"/>
            <color indexed="81"/>
            <rFont val="Tahoma"/>
            <charset val="1"/>
          </rPr>
          <t xml:space="preserve">
Archivage numèrique avec ODO</t>
        </r>
      </text>
    </comment>
    <comment ref="L15" authorId="1" shapeId="0" xr:uid="{00000000-0006-0000-1700-000004000000}">
      <text>
        <r>
          <rPr>
            <b/>
            <sz val="9"/>
            <color indexed="81"/>
            <rFont val="Tahoma"/>
            <family val="2"/>
          </rPr>
          <t>Mariam Sékou Koné:</t>
        </r>
        <r>
          <rPr>
            <sz val="9"/>
            <color indexed="81"/>
            <rFont val="Tahoma"/>
            <family val="2"/>
          </rPr>
          <t xml:space="preserve">
Difficile de faire un inventaire complet de toutes les immobilisations tous les 2 mois</t>
        </r>
      </text>
    </comment>
    <comment ref="E17" authorId="0" shapeId="0" xr:uid="{00000000-0006-0000-1700-000005000000}">
      <text>
        <r>
          <rPr>
            <b/>
            <sz val="9"/>
            <color indexed="81"/>
            <rFont val="Tahoma"/>
            <charset val="1"/>
          </rPr>
          <t>abdoulaye DEMBELE:</t>
        </r>
        <r>
          <rPr>
            <sz val="9"/>
            <color indexed="81"/>
            <rFont val="Tahoma"/>
            <charset val="1"/>
          </rPr>
          <t xml:space="preserve">
A vérifier demeurt toujours
</t>
        </r>
      </text>
    </comment>
    <comment ref="E19" authorId="0" shapeId="0" xr:uid="{00000000-0006-0000-1700-000006000000}">
      <text>
        <r>
          <rPr>
            <b/>
            <sz val="9"/>
            <color indexed="81"/>
            <rFont val="Tahoma"/>
            <charset val="1"/>
          </rPr>
          <t>abdoulaye DEMBELE:</t>
        </r>
        <r>
          <rPr>
            <sz val="9"/>
            <color indexed="81"/>
            <rFont val="Tahoma"/>
            <charset val="1"/>
          </rPr>
          <t xml:space="preserve">
résiliation de contrat afin de mettre à jour la sécurité
</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Mariam Sékou Koné</author>
  </authors>
  <commentList>
    <comment ref="L20" authorId="0" shapeId="0" xr:uid="{00000000-0006-0000-1800-000001000000}">
      <text>
        <r>
          <rPr>
            <b/>
            <sz val="9"/>
            <color indexed="81"/>
            <rFont val="Tahoma"/>
            <family val="2"/>
          </rPr>
          <t>Mariam Sékou Koné:</t>
        </r>
        <r>
          <rPr>
            <sz val="9"/>
            <color indexed="81"/>
            <rFont val="Tahoma"/>
            <family val="2"/>
          </rPr>
          <t xml:space="preserve">
Difficile de faire un inventaire complet de toutes les immobilisations tous les 2 mois</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Ibrahima SAKHO</author>
    <author>Aida NDIAYE</author>
    <author>abdoulaye DEMBELE</author>
    <author>Abdoulaye LOUM</author>
  </authors>
  <commentList>
    <comment ref="B7" authorId="0" shapeId="0" xr:uid="{8419D754-70D3-4EEF-914F-78A523BECB72}">
      <text>
        <r>
          <rPr>
            <sz val="9"/>
            <color indexed="81"/>
            <rFont val="Tahoma"/>
            <charset val="1"/>
          </rPr>
          <t xml:space="preserve">
demande supérieure à l'offre sur les besoins de formation/ budget à gérer</t>
        </r>
      </text>
    </comment>
    <comment ref="B11" authorId="1" shapeId="0" xr:uid="{C73DD1E8-EE75-467E-ACB5-C875D5A4B8AF}">
      <text>
        <r>
          <rPr>
            <b/>
            <sz val="9"/>
            <color indexed="81"/>
            <rFont val="Tahoma"/>
            <charset val="1"/>
          </rPr>
          <t>Aida NDIAYE:</t>
        </r>
        <r>
          <rPr>
            <sz val="9"/>
            <color indexed="81"/>
            <rFont val="Tahoma"/>
            <charset val="1"/>
          </rPr>
          <t xml:space="preserve">
REJET TARDIF SUR LE SORT DUN CHEQUE APRES COMPTABLILISATION /RISQUE FRAUDE /RISQUE ELEVE 
MANQUE A GAGNER SUR LE PRELEVEMENT DES FRAIS DE REMISES CHEQUES ET DE D'IMPAYE DU A LA COMPTABILISATION MANUELLE DES FRAIS 
REMISE CHEQUES POUR UN CLIENT NON DETENTEUR DE COMPTE DANS NOS LIVRES </t>
        </r>
      </text>
    </comment>
    <comment ref="B12" authorId="1" shapeId="0" xr:uid="{DFB031CB-4D4B-467F-A517-45CD7E15A31A}">
      <text>
        <r>
          <rPr>
            <b/>
            <sz val="9"/>
            <color indexed="81"/>
            <rFont val="Tahoma"/>
            <charset val="1"/>
          </rPr>
          <t>Aida NDIAYE:</t>
        </r>
        <r>
          <rPr>
            <sz val="9"/>
            <color indexed="81"/>
            <rFont val="Tahoma"/>
            <charset val="1"/>
          </rPr>
          <t xml:space="preserve">
REJET TARDIF SUR LE SORT DUN CHEQUE APRES COMPTABLILISATION /RISQUE FRAUDE /RISQUE ELEVE 
MANQUE A GAGNER SUR LE PRELEVEMENT DES FRAIS DE REMISES CHEQUES ET DE D'IMPAYE DU A LA COMPTABILISATION MANUELLE DES FRAIS 
REMISE CHEQUES POUR UN CLIENT NON DETENTEUR DE COMPTE DANS NOS LIVRES </t>
        </r>
      </text>
    </comment>
    <comment ref="B43" authorId="2" shapeId="0" xr:uid="{0B507B64-BAA1-444B-A1C9-DA63E1AF44CC}">
      <text>
        <r>
          <rPr>
            <b/>
            <sz val="9"/>
            <color indexed="81"/>
            <rFont val="Tahoma"/>
            <charset val="1"/>
          </rPr>
          <t>abdoulaye DEMBELE:</t>
        </r>
        <r>
          <rPr>
            <sz val="9"/>
            <color indexed="81"/>
            <rFont val="Tahoma"/>
            <charset val="1"/>
          </rPr>
          <t xml:space="preserve">
PAS CARTE GIM UEMOA MAIS CARTE VISA
</t>
        </r>
      </text>
    </comment>
    <comment ref="B54" authorId="3" shapeId="0" xr:uid="{B6F2AC8B-3F3B-4C3F-93DF-1676A09EF1DA}">
      <text>
        <r>
          <rPr>
            <b/>
            <sz val="9"/>
            <color indexed="81"/>
            <rFont val="Tahoma"/>
            <charset val="1"/>
          </rPr>
          <t>Abdoulaye
Radiation avant l'obtention d'un PV de carence</t>
        </r>
      </text>
    </comment>
    <comment ref="C54" authorId="3" shapeId="0" xr:uid="{70216046-3D1F-4EEE-B8CA-5FBDD34D6015}">
      <text>
        <r>
          <rPr>
            <b/>
            <sz val="9"/>
            <color indexed="81"/>
            <rFont val="Tahoma"/>
            <charset val="1"/>
          </rPr>
          <t>Abdoulaye LOUM:</t>
        </r>
        <r>
          <rPr>
            <sz val="9"/>
            <color indexed="81"/>
            <rFont val="Tahoma"/>
            <charset val="1"/>
          </rPr>
          <t xml:space="preserve">
Risque fiscal</t>
        </r>
      </text>
    </comment>
    <comment ref="B55" authorId="2" shapeId="0" xr:uid="{3FE8E20C-C0AD-424D-A88A-1A6BA558AD08}">
      <text>
        <r>
          <rPr>
            <b/>
            <sz val="9"/>
            <color indexed="81"/>
            <rFont val="Tahoma"/>
            <charset val="1"/>
          </rPr>
          <t>abdoulaye DEMBELE:</t>
        </r>
        <r>
          <rPr>
            <sz val="9"/>
            <color indexed="81"/>
            <rFont val="Tahoma"/>
            <charset val="1"/>
          </rPr>
          <t xml:space="preserve">
non respect à 100%
Manque de PV après de cession
</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Aida NDIAYE</author>
  </authors>
  <commentList>
    <comment ref="L5" authorId="0" shapeId="0" xr:uid="{00000000-0006-0000-1A00-000001000000}">
      <text>
        <r>
          <rPr>
            <b/>
            <sz val="9"/>
            <color indexed="81"/>
            <rFont val="Tahoma"/>
            <charset val="1"/>
          </rPr>
          <t>Aida NDIAYE:</t>
        </r>
        <r>
          <rPr>
            <sz val="9"/>
            <color indexed="81"/>
            <rFont val="Tahoma"/>
            <charset val="1"/>
          </rPr>
          <t xml:space="preserve">
Ne pas valider l'ouverture de compte dans le SI en l'absence de photo et de signature </t>
        </r>
      </text>
    </comment>
    <comment ref="M5" authorId="0" shapeId="0" xr:uid="{00000000-0006-0000-1A00-000002000000}">
      <text>
        <r>
          <rPr>
            <b/>
            <sz val="9"/>
            <color indexed="81"/>
            <rFont val="Tahoma"/>
            <charset val="1"/>
          </rPr>
          <t>Aida NDIAYE:</t>
        </r>
        <r>
          <rPr>
            <sz val="9"/>
            <color indexed="81"/>
            <rFont val="Tahoma"/>
            <charset val="1"/>
          </rPr>
          <t xml:space="preserve">
mettre un delai de regularisation de 72H 
</t>
        </r>
      </text>
    </comment>
    <comment ref="L10" authorId="0" shapeId="0" xr:uid="{00000000-0006-0000-1A00-000003000000}">
      <text>
        <r>
          <rPr>
            <b/>
            <sz val="9"/>
            <color indexed="81"/>
            <rFont val="Tahoma"/>
            <charset val="1"/>
          </rPr>
          <t>Aida NDIAYE:</t>
        </r>
        <r>
          <rPr>
            <sz val="9"/>
            <color indexed="81"/>
            <rFont val="Tahoma"/>
            <charset val="1"/>
          </rPr>
          <t xml:space="preserve">
DELAI DE REGUL 72H </t>
        </r>
      </text>
    </comment>
  </commentList>
</comments>
</file>

<file path=xl/sharedStrings.xml><?xml version="1.0" encoding="utf-8"?>
<sst xmlns="http://schemas.openxmlformats.org/spreadsheetml/2006/main" count="3304" uniqueCount="1356">
  <si>
    <t>G</t>
  </si>
  <si>
    <t>P</t>
  </si>
  <si>
    <t>gravité</t>
  </si>
  <si>
    <t>probabilité</t>
  </si>
  <si>
    <t>est égal à GxP</t>
  </si>
  <si>
    <t>RISQUES</t>
  </si>
  <si>
    <t>Planification &amp; Administration des achats</t>
  </si>
  <si>
    <t>Logistique &amp; moyens généraux</t>
  </si>
  <si>
    <t>Gestion administrative</t>
  </si>
  <si>
    <t xml:space="preserve">Gestion du parc &amp; Maintenance physique et système </t>
  </si>
  <si>
    <t>Gestion des changements Système et Réseau</t>
  </si>
  <si>
    <t>Administration des bases de données</t>
  </si>
  <si>
    <t>Sécurité logique et accès physiques des systèmes d'information</t>
  </si>
  <si>
    <t xml:space="preserve">Gestion des incidents </t>
  </si>
  <si>
    <t>Gestion administrative du personnel &amp; Affaires sociales</t>
  </si>
  <si>
    <t>Contrôle de gestion</t>
  </si>
  <si>
    <t>Arrêté &amp; clôture comptable</t>
  </si>
  <si>
    <t>Fiscalité</t>
  </si>
  <si>
    <t>Trésorerie / ALM</t>
  </si>
  <si>
    <t>Gestion du Contentieux</t>
  </si>
  <si>
    <t>Gestion des contrats et Etudes juridiques</t>
  </si>
  <si>
    <t>Gestion des garanties</t>
  </si>
  <si>
    <t>Gestion des Avis à Tiers Détenteur ou ATD</t>
  </si>
  <si>
    <t>Gestion des Saisies Attribution</t>
  </si>
  <si>
    <t>Gestion des saisies conservatoires</t>
  </si>
  <si>
    <t>Monitoring / Gestion du Portefeuille</t>
  </si>
  <si>
    <t>Gestion des impayés &amp; Pré-Contentieux</t>
  </si>
  <si>
    <t>Communication</t>
  </si>
  <si>
    <t>Marketing &amp; Produits</t>
  </si>
  <si>
    <t>Octroi de crédit</t>
  </si>
  <si>
    <t>Suivi du portefeuille</t>
  </si>
  <si>
    <t>Recouvrement</t>
  </si>
  <si>
    <t>Back office Opérations</t>
  </si>
  <si>
    <t>Administration, Achats &amp; Logistique</t>
  </si>
  <si>
    <t>Système d'information</t>
  </si>
  <si>
    <t>Ressources Humaines</t>
  </si>
  <si>
    <t>Finance &amp; reporting</t>
  </si>
  <si>
    <t>Juridique &amp; contentieux</t>
  </si>
  <si>
    <t>Exploitation</t>
  </si>
  <si>
    <t>Opérations</t>
  </si>
  <si>
    <t>Opération de caisse</t>
  </si>
  <si>
    <t>Gestion des systèmes</t>
  </si>
  <si>
    <t>Gestion des comptes et habilitations</t>
  </si>
  <si>
    <t>Probabilité</t>
  </si>
  <si>
    <t>Qualification de l'échelle</t>
  </si>
  <si>
    <t>Explication de l'échelle de probabilité</t>
  </si>
  <si>
    <t>Quasi impossible</t>
  </si>
  <si>
    <t>Ce niveau de l'échelle correspond au risque pour lesquels aucun facteur indiquant une possible survenance n'a été identifiée ni au niveau interne, ni externe</t>
  </si>
  <si>
    <t>Eventuelle / possible</t>
  </si>
  <si>
    <t>Le risque est plausible et, un ou des facteurs internes ou externes le rendent tout à fait réalisable</t>
  </si>
  <si>
    <t>Vraisemblable</t>
  </si>
  <si>
    <t>Plusieurs facteurs précis ont été identifiés au niveau interne ou externe favorisant la survenance du risque. Par exemple, une vague de démissions au niveau du support informatique doublée ou non d'une augmentation exponentielle du nombre de sollicitations par les membres rendra assez probable le risque de dégradation de la qualité du support (qualité des traitements, délai de résolution des problèmes, etc.)</t>
  </si>
  <si>
    <t>Probable</t>
  </si>
  <si>
    <t>Un nombre important de facteurs potentiels ont été identifiés au niveau interne ou externe favorisant la survenance du risque. Par exemple, une vague de démissions au niveau du support informatique + une augmentation exponentielle du nombre de sollicitations par les services + dégradation des outils de traitement + démotivation  + etc. rendra extrêmement probable le risque de dégradation de la qualité du support (qualité des interventions, délai de résolution des problèmes, etc.).
Les facteurs indiquent une survenance qui pourrait être différée.</t>
  </si>
  <si>
    <t>Hautement probable</t>
  </si>
  <si>
    <t xml:space="preserve">Ce niveau de risque correspond à l'identification de plusieurs signes confirmés qui indiquent une survenance probable et imminente </t>
  </si>
  <si>
    <t>Evènement certain</t>
  </si>
  <si>
    <t>Aucun doute sur la survenance du risque. Tout indique que le risque se réalisera de manière certaine. Toutes les conditions sont réunies pour que le risque survienne à tout moment.</t>
  </si>
  <si>
    <t>Gravité</t>
  </si>
  <si>
    <t>Explication de l'échelle de gravité</t>
  </si>
  <si>
    <t xml:space="preserve">Inoffensif (aucun impact) </t>
  </si>
  <si>
    <t>Ne présente aucune forme d'impact  sur l'activité ou les objectifs</t>
  </si>
  <si>
    <t>Faible impact</t>
  </si>
  <si>
    <t>Un niveau d'impact  sur les activités ou les objectifs stratégiques ou opérationnels est perceptible mais ne gêne pas le déroulement des opérations</t>
  </si>
  <si>
    <t>Impact sérieux sur process secondaires</t>
  </si>
  <si>
    <t>Des niveaux d'impact  circonscris à des processus (importants mais non critiques ont été notés. Il s'agit de processus non liés directement à la qualité de service</t>
  </si>
  <si>
    <t>Impact sérieux sur process métiers</t>
  </si>
  <si>
    <t>Fort impact (généralisé)</t>
  </si>
  <si>
    <t>Niveau de risque impactant de manière significative et durable l'ensemble des activités du l'entité ainsi que ses objectifs stratégiques et opérationnels</t>
  </si>
  <si>
    <t>Crise majeure / Arrêt de l'exploitation</t>
  </si>
  <si>
    <t>Niveau de risque impactant de manière absolue et durable la continuité de l'activité et autres processus critiques de l'entité</t>
  </si>
  <si>
    <t>N°</t>
  </si>
  <si>
    <t>PROCESSUS</t>
  </si>
  <si>
    <t>RATIO</t>
  </si>
  <si>
    <t>SOUS PROCESSUS</t>
  </si>
  <si>
    <t>Risques &amp; suivi du portefeuille</t>
  </si>
  <si>
    <t>Communication &amp; Marketing</t>
  </si>
  <si>
    <t>Risque Résiduel (Rb)</t>
  </si>
  <si>
    <t>GRAVITE</t>
  </si>
  <si>
    <t>PROBABILITE</t>
  </si>
  <si>
    <t>Perte / vol / et dégradation du patrimoine immobilier, mobilier et consommables</t>
  </si>
  <si>
    <t>Inadequation des systèmes de sécurité incendie et absence de plan d'évacuation des locaux</t>
  </si>
  <si>
    <t>Réalisation de dépenses non-autorisées</t>
  </si>
  <si>
    <t>Risque de pertes de pièces jusificatives des achats ou d'absence des pièces justificatives</t>
  </si>
  <si>
    <t>Indisponibilité du SI et défaillances SI (dysfonctionnement) identifiées non corrigées</t>
  </si>
  <si>
    <t>Perte de courrier (notamment des valeurs) due à une conservation ou un mode d'acheminement ou un traitement inapproprié</t>
  </si>
  <si>
    <t>Non respect de la procédure des changements, des configurations et des mises en production (Un changement consiste à modifier, créer ou supprimer un des composants de l'infrastructure du système d'information)</t>
  </si>
  <si>
    <t>Accès non autorisé et inadéquation des accès à la fonction ou poste occupé</t>
  </si>
  <si>
    <t>Absence d'inventaire physique périodique du parc informatique et de maintenance dudit parc</t>
  </si>
  <si>
    <t>Risque de corruption de la base de données</t>
  </si>
  <si>
    <t>Risque de non fonctionnement des serveurs de base de données tant au niveau de la conception des bases, des tests de validation, de la coordination des intervenants, de l'exploitation, de la protection et du contrôle d'utilisation</t>
  </si>
  <si>
    <t>Risque de perte de données d'exploitation liée à la non sauvegarde des données et pas de site de secours</t>
  </si>
  <si>
    <t>Les utilisateurs non identifiés peuvent faire des changements non autorisés dans les programmes et les données</t>
  </si>
  <si>
    <t>Transactions non autorisées par les utilisateurs dont l’accès n’a pas été authentifié</t>
  </si>
  <si>
    <t>Diagnostic des incidents non réalisé ou réalisé tardivement et Clôture d'un incident non résolu</t>
  </si>
  <si>
    <t>Absence des signatures et photos scannées des clients dans le système NAFA</t>
  </si>
  <si>
    <t>Mauvaise gestion opérationnelle des produits (Non prelevement de frais, non traitement des requetes clients)</t>
  </si>
  <si>
    <t>Gestion clientèle (ouverture de compte, Remise chèque, Gestion opérationnelle des produits)</t>
  </si>
  <si>
    <t>Dossier de demande de crédit incomplèt et/ou contenant des pièces non authentiques</t>
  </si>
  <si>
    <t>Non évaluation du portefeuille à risque (PAR) et/ou évaluation erronée à travers une sous estimation du PAR</t>
  </si>
  <si>
    <t>Non respect des limites des comités de crédits et des seniors credit officers</t>
  </si>
  <si>
    <t>Modification de la structure initiale du crédit (Rééchelonnement, restructuration, décalage d'échéance) non autorisée par les organes habilétés</t>
  </si>
  <si>
    <t>Clients non correctement identifié et localisé (clients injoignables)</t>
  </si>
  <si>
    <t xml:space="preserve">Détournement des recouvrements de créances par les agents en charge du recouvrement </t>
  </si>
  <si>
    <t>Mauvaise évaluation de la capacité de remboursement (capacité financière) du client et/ou mauvaise identification du besoin du client</t>
  </si>
  <si>
    <t>Découverts non autorisés et forçage de comptes</t>
  </si>
  <si>
    <t>Risque de contrepartie due à la méconnaissance de la situation globale du client par les analystes risques (total des engagements, cautions, absence d'analyse sectorielle, situation financière du client, etc.)</t>
  </si>
  <si>
    <t>Non respect des niveaux de PAR (30, 90, 180)</t>
  </si>
  <si>
    <t>Dossier restructuré tombé en impayé</t>
  </si>
  <si>
    <t>Non justification des écarts budgétaires et/ou mauvaise analyse desdits écarts - les entités opérationnelles (directions, services, agence et siège) ne procèdent pas à des analyses de fond mais s'inscrivent plus dans une logique de justification sans entrer dans une dynamique de plans d'actions correctifs. La non mise en œuvre des actions arrêtées en M-1 ne sont pas expliquées.</t>
  </si>
  <si>
    <t xml:space="preserve">Longs suspens de plus de 90 jours sur les comptes internes et les rapprochements bancaires </t>
  </si>
  <si>
    <t>Non justification des opérations comptabilisées dans le système par des pièces probantes</t>
  </si>
  <si>
    <t>Sanctions règlementaires du fait du non respect systématique des normes de gestion (limitation des risques, couverture des emplois, limitation des prêts aux dirigeants, limitation des risques par signature, coefficient de liquidité, constitution de la réserve générale, capitalisation,....) du dispositif prudentiel instaurées par l'Institution</t>
  </si>
  <si>
    <t>Reporting financier (groupe - bailleurs) / Règlementaire (Tutelle-DRS-BCEAO-COBAC-BCRG)</t>
  </si>
  <si>
    <t>Déséquilibre de la balance à une date d'arrêté donnée</t>
  </si>
  <si>
    <t>Non justification des soldes des comptes internes (y compris soldes bancaires) à une date d'arrêté donnée (Non établissement des proofs et/ou proofs mal établis ou proofs présentant des écarts de rapprochement non justifiés)</t>
  </si>
  <si>
    <t>Absence de calcul et de comptabilisation de la réévaluation de la position de change à la date de clôture</t>
  </si>
  <si>
    <t xml:space="preserve">Absence ou retard de déclaration/paiement des impots, taxes et redevances et/ou erreur de calcul dans la détermination des impots, taxes et redevances à payer </t>
  </si>
  <si>
    <t>Risque de liquidité de taux et de change et respect des ratios reglementaires</t>
  </si>
  <si>
    <t xml:space="preserve">Non réalisation du pointage systèmatique des tickets de caisses et de l'inventaire des espèces quotidiennement par un staff autre que le caissier lui-même. </t>
  </si>
  <si>
    <t>Dépassement de la limite d'encaisse journalière autorisée - daily overnight limit</t>
  </si>
  <si>
    <t>Conservation des fonds et transport (convoyage) des fonds</t>
  </si>
  <si>
    <t>Signature non conforme et retrait non autorisé (sans ordre de retrait dument signé conforme par le client)</t>
  </si>
  <si>
    <t>Comptabilisation d'opération dans NAFA ou les plateforme de cartes magnétiques sans support comptable probant (Pas de pièce justificatives des transactions)</t>
  </si>
  <si>
    <t xml:space="preserve">Rechargement fictif des cartes prépayées dans la plateforme </t>
  </si>
  <si>
    <t>Envois fictifs dans les plateforme de transferts d'argent</t>
  </si>
  <si>
    <t>Non établissement des états de rapprochements bancaires</t>
  </si>
  <si>
    <t>Non établissement des reconciliations des commissions de transferts d'argent et/ou non comptabilisation des commissions de transferts</t>
  </si>
  <si>
    <t>Remise Chèque rejetée par la banque du tiré avec un crédit effectif sur le compte du client bénéficiaire dans nos livres</t>
  </si>
  <si>
    <t>Non comptabilisation des fiches d'imputations comptables et/ou erreur d'imputation des fiches comptables, des mise en place de prets, des virements reçus et des remises chèques sur les comptes appropriés du bon montant déterminé</t>
  </si>
  <si>
    <t>Dossier du personnel incomplet</t>
  </si>
  <si>
    <t>Non-respect des obligations légales en matière de santé et sécurité au travail et des engagements de l’organisation</t>
  </si>
  <si>
    <t>Non détermination des provisions pour congé et retraite et/ou non comptabilisations des provisions pour congé et retraite</t>
  </si>
  <si>
    <t>Politique de rémunération et Paie</t>
  </si>
  <si>
    <t>Absence de déclarations fiscales et sociales et/ou erreur dans les déclarations fiscales et sociales liées à la paie</t>
  </si>
  <si>
    <t>Non justification des variations de la masse salariale (modifications frauduleuses des données de la paie, Erreur de calcul ou d'imputation des salaires, écart sur paiement des salaires)</t>
  </si>
  <si>
    <t>Elaboration manuel de la paie (Paie traité sur fichier Excel)</t>
  </si>
  <si>
    <t xml:space="preserve">Non-conformité règlementaire dans la détermination des salaires </t>
  </si>
  <si>
    <t>Appréciation des performance - Evaluation</t>
  </si>
  <si>
    <t>Non évaluation des staffs et/ou Critères d’évaluation non définis ou non adéquats</t>
  </si>
  <si>
    <t>Processus d'évaluation non respecté et/ou évaluation non objective</t>
  </si>
  <si>
    <t xml:space="preserve">Non utisation de tous les recours contentieux et Pilotage, suivi inapproprié de la performance reporting Recouvrement en raison d'une absence de tableaux de bord et d'indicateurs dédiés au suivi formel du recouvrement </t>
  </si>
  <si>
    <t>Modification abusive ou non autorisée des contrats de crédit par les entités opérationnelles et/ou contrat non établi ou vérifié par le juridique</t>
  </si>
  <si>
    <t>Impossibilité d'exécuter la garantie entièrement en cas de besoin : Non mise à jour des valeurs des garanties en raison d'une détérioration normale et/ou de sinistre impactant de manière significative la valeur de l'actif (incendie, dégât des eaux, etc.), mauvaise localisation du bien garanti, immeubles construits sur des titres précaires, perte d'emploi pour des particuliers salariés,  garantie pris sur des actifs non éligibles par la règlementation</t>
  </si>
  <si>
    <t>Traitement inapproprié ou hors délai des Avis à Tiers Détenteur ou ATD</t>
  </si>
  <si>
    <t>Traitement inapproprié ou hors délai des Saisies Attribution</t>
  </si>
  <si>
    <t>Traitement inapproprié ou hors délai des saisies conservatoires</t>
  </si>
  <si>
    <t>Non respect du catalogue produit et non mise à jour dudit catalogue des nouveaux produits autorisés</t>
  </si>
  <si>
    <t>Risque réputationnel et communication d'informations erronées</t>
  </si>
  <si>
    <t>Dossier d'ouverture de compte clientèle incomplet et/ou mauvaise identification du client</t>
  </si>
  <si>
    <t>EVALUATION RISQUE &amp; SUIVI DU PORTEFEUILLE</t>
  </si>
  <si>
    <t>EVALUATION EXPLOITATION</t>
  </si>
  <si>
    <t>EVALUATION FINANCE &amp; REPORTING</t>
  </si>
  <si>
    <t>EVALUATION SYSTEME D'INFORMATION</t>
  </si>
  <si>
    <t>EVALUATION OPERATION</t>
  </si>
  <si>
    <t xml:space="preserve">EVALUATION ACHAT LOGISTIQUE </t>
  </si>
  <si>
    <t>EVALUATION GLOBALE - NOTE FINALE</t>
  </si>
  <si>
    <t>Gouvernance</t>
  </si>
  <si>
    <t>Risques Majeurs</t>
  </si>
  <si>
    <t>EVALUATION RH</t>
  </si>
  <si>
    <t>EVALUATION JURIDIQUE &amp; CONTENTIEUX</t>
  </si>
  <si>
    <t>Contrôle interne</t>
  </si>
  <si>
    <t>EVALUATION CI &amp; GOUVERNANCE</t>
  </si>
  <si>
    <t>Octroi de credit &amp; Monitoring / Gestion du Portefeuille</t>
  </si>
  <si>
    <t>Clients non correctement identifié et localisé (clients injoignables) - 243 clients injoignables</t>
  </si>
  <si>
    <t xml:space="preserve"> - Erreur d'analyse dans l'étude des dossiers des crédits (Pas de senior analyste crédit, )
 - Non réalisation systématique des visites et contre-visite terrain permettant de localiser l'activité ou le domicile du client, de constater visuellement l'existence des biens présentés en garantie et d'évaluer la capacité de remboursement du client
 - Dossier restructuré tombé en impayé</t>
  </si>
  <si>
    <t xml:space="preserve"> - Dossier de demande de crédit incomplet (Tous les dossiers de crédit du produit 3 en 1 établis sur la période de juin à aout étaient incomplet à la date de revue, pas de checklist des éléments composititifs du dossier, absence du plan de localisation du client, ...) 
 - Octroi de crédit avec deblocage des fonds sans mise à disposition des fonds aux clients
 - Découverts non autorisés et forçage de compte (en dehors des lignes de crédits mis en place et des contrats d'avance sur chèques)
 - Baisse des marges d'interet (Meme Cible clientèle que les banques)</t>
  </si>
  <si>
    <t>Risques crédit &amp; suivi du portefeuille</t>
  </si>
  <si>
    <t>Accès non autorisé et inadéquation des accès à la fonction ou poste occupé (Profil CC peut faire des decalages)</t>
  </si>
  <si>
    <t xml:space="preserve"> - Corruption de la base de données
 - Non sauvegarde des données et pas de site de secours</t>
  </si>
  <si>
    <t xml:space="preserve"> - Identification du client (921 comptes sans Photo &amp; 641 comptes sans signature dans le système NAFA)
 - Ouverture incomplète des comptes dans NAFA (531 comptes en instance d'ouverture) 
 - Compte fermé ou à fermer (statut ''demande de cloture'') avec un solde non nul (21 comptes)
 - Non prelevement des frais sur les produits (Engagement par signature, ...)</t>
  </si>
  <si>
    <t xml:space="preserve"> - Non réalisation du pointage systèmatique des tickets de caisses et de l'inventaire des espèces quotidiennement par un staff autre que le caissier lui-même. 
 - Dépassement de la limite d'encaisse journalière autorisée - daily overnight limit
 - Rechargement fictif des cartes prépayées dans la plateforme 
 - Différence de caisse</t>
  </si>
  <si>
    <t>Arrêté &amp; clôture périodique comptable</t>
  </si>
  <si>
    <t xml:space="preserve"> - Comptabilisation des remises chèques sans attendre le sort définitif du chèque par la banque
 - Non comptabilisation des fiches d'imputations comptables et/ou erreur d'imputation des fiches comptables, des mise en place de prets, des virements reçus et des remises chèques sur les comptes appropriés du bon montant déterminé
 - Non établissement des reconciliations des commissions de transferts d'argent et/ou non comptabilisation des commissions de transferts
 -  Non établissement des états de rapprochements bancaires périodiques</t>
  </si>
  <si>
    <t xml:space="preserve"> - Longs suspens de plus de 90 jours sur les comptes internes et les rapprochements bancaires 
 - Non justification des opérations comptabilisées dans le système par des pièces probantes
 - Déséquilibre de la balance à une date d'arrêté donnée
 - Absence de calcul et de comptabilisation de la réévaluation de la position de change Arrêté &amp; clôture périodique comptable</t>
  </si>
  <si>
    <t>Risque de liquidité, de taux d'intéret et de taux de change et respect des ratios reglementaires</t>
  </si>
  <si>
    <t xml:space="preserve"> - Non respecte des dispositions légales et Réglementaires relatives à la gouvernance (Respect de la loi sur les microfinances, des instructions, des statuts)
 - Conformité des statuts avec la législation
 - Bon fonctionnement des organes d'administration et de direction et de contrôle</t>
  </si>
  <si>
    <t xml:space="preserve"> - Existance, accessibilité et Connaissance des politiques et procédures écrites en vigueur
 - Bonne séparation des taches (maker &amp; checker)
 - Réalisation systématique des contrôle de premier niveau
 - Politique de lutte antiblanchiment
 - Mise en place et fonctionnement d'un comité d'audit
 - Cartographie des risques (identification et cotation des risques inhérents, évaluation du contrôle interne, cotation des risques résiduels)</t>
  </si>
  <si>
    <t>Impossibilité d'exécuter la garantie entièrement en cas de besoin : Non mise à jour des valeurs des garanties en raison d'une détérioration normale et/ou de sinistre impactant de manière significative la valeur de l'actif (incendie, dégât des eaux, etc.), mauvaise localisation du bien garanti, immeubles construits sur des titres précaires, perte d'emploi pour des particuliers salariés, garantie pris sur des actifs non éligibles par la règlementation</t>
  </si>
  <si>
    <t>Gestion des Avis à Tiers Détenteur ou ATD, des saisies attributions et saisies conservatoires</t>
  </si>
  <si>
    <t>Traitement inapproprié ou hors délai des Avis à Tiers Détenteur ou ATD, des saisies attributions et saisies conservatoires</t>
  </si>
  <si>
    <t xml:space="preserve"> - Dossier du personnel incomplet
 - Non respect des obligations légales en matière de santé et sécurité au travail et des engagements de l’organisation</t>
  </si>
  <si>
    <t xml:space="preserve"> - Non-conformité règlementaire des traitements salariaux 
 - Non justification des variations de la masse salariale (modifications frauduleuses des données de la paie, Erreur de calcul ou d'imputation des salaires, écart sur paiement des salaires)
 - Non détermination des provisions pour congé et retraite et/ou non comptabilisations des provisions pour congé et retraite
 - Absence de déclarations fiscales et sociales et/ou erreur dans les déclarations fiscales et sociales liées à la paie
 - Absence d'un outil de gestion de la paie</t>
  </si>
  <si>
    <t xml:space="preserve"> - Non respect du processus d'évaluation
 - Non évaluation des staffs et/ou Critères d’évaluation non définis ou non adéquats
 - Evaluation non objective</t>
  </si>
  <si>
    <t xml:space="preserve"> - Perte / vol / et dégradation du patrimoine immobilier, mobilier et consommables
 - Inadequation des systèmes de sécurité incendie et absence de plan d'évacuation des locaux</t>
  </si>
  <si>
    <t>Perte de valeurs et de courriers due à une conservation ou un mode d'acheminement ou un traitement inapproprié</t>
  </si>
  <si>
    <t xml:space="preserve"> - Non respect de la politique d'achat
 - Réalisation de dépenses non-autorisées 
 - Absence ou Pertes de pièces jusificatives des achats (Non justification des achats)</t>
  </si>
  <si>
    <t xml:space="preserve"> - Absence ou retard de déclaration/paiement des impots, taxes et redevances et/ou erreur de calcul dans la détermination des impots, taxes et redevances à payer 
 - Redressement fiscal et social</t>
  </si>
  <si>
    <t>Critique</t>
  </si>
  <si>
    <t>MODERE</t>
  </si>
  <si>
    <t>FAIBLE</t>
  </si>
  <si>
    <t>RISQUE</t>
  </si>
  <si>
    <t>CRITIQUE</t>
  </si>
  <si>
    <t>BAREME RISQUE</t>
  </si>
  <si>
    <t>Fort</t>
  </si>
  <si>
    <t>Moderé</t>
  </si>
  <si>
    <t>Faible</t>
  </si>
  <si>
    <t xml:space="preserve">Il s'agit soit de processus critiques fortement impactées et de manière durable. soit de désagréments perceptibles en interne ou par le membre sur des processus  liés directement à la qualité de service                                                                                                                                                                                                                                                                                       </t>
  </si>
  <si>
    <t xml:space="preserve"> - Sanctions règlementaires du fait du non respect systématique des normes de gestion (limitation des risques, couverture des emplois, limitation des prêts aux dirigeants, limitation des risques par signature, coefficient de liquidité, constitution de la réserve générale, capitalisation,....) du dispositif prudentiel instaurées par l'Institution
 - Non automatisation des reporting reglementaire, financier et métier </t>
  </si>
  <si>
    <t>Risque jugé moderé avec une qualité de contrôle interne satisfaisante (système de contrôle interne globalement adéquat mais un certain nombre de constatations révèlent des faiblesses dans les contrôles. Ces constatations requièrent l’attention du management)</t>
  </si>
  <si>
    <t xml:space="preserve"> </t>
  </si>
  <si>
    <t>Risque jugé faible avec une qualité de contrôle interne très satisfaisant (Des possibilités d'améliorations existent, mais les faiblesses et défaillances constatées sont insignifiant)</t>
  </si>
  <si>
    <t xml:space="preserve"> - Modification de la structure initiale du crédit (rééchelonnement, restructuration, décalage d'échéance) non autorisée par les organes habilités
 - Non respect du niveau de Portefeuille A Risque (PAR) 0</t>
  </si>
  <si>
    <t>Le risque est jugé fort avec une qualité de contrôle interne insatisfaisant (des manquements et/ou défaillances sérieux existent qui pourraient mettre en danger le fait d’atteindre les objectifs)</t>
  </si>
  <si>
    <t>Le risque est jugé critique avec une qualité de contrôle interne non maitrisé (la situation est telle que les objectifs initiaux ne pourront vraisemblablement pas être atteints)</t>
  </si>
  <si>
    <t>Risque jugé moderé (un certain nombre de constatations révèlent des faiblesses dans les contrôles. Ces constatations requièrent l’attention du management)</t>
  </si>
  <si>
    <t>Risque jugé faible (Des possibilités d'améliorations existent, mais les faiblesses et défaillances constatées sont insignifiants)</t>
  </si>
  <si>
    <t>Gouvernance &amp; Contrôle interne (Gouv &amp; CI)</t>
  </si>
  <si>
    <t>Elevé</t>
  </si>
  <si>
    <t>Le risque est jugé élevé (des manquements et/ou défaillances sérieux existent qui pourraient mettre en danger le fait d’atteindre les objectifs)</t>
  </si>
  <si>
    <t>ELEVE</t>
  </si>
  <si>
    <t>Niveau de RISQUE</t>
  </si>
  <si>
    <t>• Non-respect des niveaux de PAR (30, 90, 180)</t>
  </si>
  <si>
    <t>• Non-respect de la procédure des changements, des configurations et des mises en production (Un changement consiste à modifier, créer ou supprimer un des composants de l'infrastructure du système d'information)</t>
  </si>
  <si>
    <t xml:space="preserve">• Accès non autorisé et inadéquation des accès à la fonction ou poste occupé </t>
  </si>
  <si>
    <t>• Modification abusive ou non autorisée des contrats de crédit par les entités opérationnelles et/ou contrat non établi ou vérifié par le juridique</t>
  </si>
  <si>
    <t>• Traitement inapproprié ou hors délai des Avis à Tiers Détenteur ou ATD, des saisies attributions et saisies conservatoires</t>
  </si>
  <si>
    <t>• Perte de valeurs et de courriers due à une conservation ou un mode d'acheminement ou un traitement inapproprié</t>
  </si>
  <si>
    <t>Gestion des produits</t>
  </si>
  <si>
    <t>Gestion clientèle (ouverture de compte, Gestion opérationnelle des produits)</t>
  </si>
  <si>
    <t>Gestion des prêts restructurés, impayés &amp; Pré-Contentieux</t>
  </si>
  <si>
    <t>Gestion des dossiers d'engagement Hors bilan</t>
  </si>
  <si>
    <t>• Incomplétude des dossiers d'engagement par signature</t>
  </si>
  <si>
    <t xml:space="preserve"> Gestion des caisses</t>
  </si>
  <si>
    <t>Dossiers comptables</t>
  </si>
  <si>
    <t>Efficacité du dispositif</t>
  </si>
  <si>
    <t>ANALYSE DES RISQUES OPERATIONNELS - DIRECTION EXPLOITATION</t>
  </si>
  <si>
    <t>Dispositif de prévention et contrôle</t>
  </si>
  <si>
    <t>gravité résiduelle</t>
  </si>
  <si>
    <t>Risque résiduel (Rb)</t>
  </si>
  <si>
    <t>Description du dispositif</t>
  </si>
  <si>
    <t>'• Identification du client (comptes sans Photo &amp;  comptes sans signature dans le système NAFA)</t>
  </si>
  <si>
    <t>Ne pas procéder à l'ouverture du compte dans le SI en cas d'absence de photo ou signature</t>
  </si>
  <si>
    <t>• Absence de prélévement des frais de tenue de compte pour défaut de provision (Manque de suivi sur la gestion de la clientèle), Perte de revenus</t>
  </si>
  <si>
    <t>'• Modification de type de compte dans le SI (Compte courant en compte épargne)</t>
  </si>
  <si>
    <t>Rendre impossible dans le SI, la modification du type de compte.</t>
  </si>
  <si>
    <t>Veiller à respecter rigoureusement la procédure mise en place</t>
  </si>
  <si>
    <t>• Non prélèvement des frais de demande de prêt</t>
  </si>
  <si>
    <t>S'assurer d'une bonne qualité des ressources humaines / favoriser des formations et sensibilisations régulières</t>
  </si>
  <si>
    <t>• Dépassement de la limite d'encaisse journalière autorisée – ‘’daily overnight limit’’</t>
  </si>
  <si>
    <t>• Retrait fictif sur compte client</t>
  </si>
  <si>
    <t xml:space="preserve">Systéme alerte sms fonctionnel pour tous les comptes clients. </t>
  </si>
  <si>
    <t>• Différence de caisse</t>
  </si>
  <si>
    <t>EVALUATION INTRINSEQUE</t>
  </si>
  <si>
    <t>EVALUATION RESIDUELLE</t>
  </si>
  <si>
    <t>Risque brut (Rb)</t>
  </si>
  <si>
    <t>Risque résiduel (Rr)</t>
  </si>
  <si>
    <t>'• Incohérence entre les frais prélevés dans le SI et ceux mentionnés dans le contrat de prêt</t>
  </si>
  <si>
    <t>'• Erreur de renseignement sur les fiches CAT</t>
  </si>
  <si>
    <t>• Non réalisation systématique des visites et contre-visite terrain permettant de localiser l'activité ou le domicile du client, de constater visuellement l'existence des biens présentés en garantie et d'évaluer la capacité de remboursement du client</t>
  </si>
  <si>
    <t>ANALYSE DES RISQUES OPERATIONNELS - SYSTÈME D'INFORMATION</t>
  </si>
  <si>
    <t>DISPOSITIF DE PREVENTION ET DE CONTRÔLE</t>
  </si>
  <si>
    <t>Gravité résiduelle</t>
  </si>
  <si>
    <t>Probabilité résiduelle</t>
  </si>
  <si>
    <t>Owner du Contrôle</t>
  </si>
  <si>
    <t>Correction systématique de toutes les défaillances</t>
  </si>
  <si>
    <t xml:space="preserve">• Prélévement automatique de la TAF non exhaustif </t>
  </si>
  <si>
    <t>Assurer un suivi du paramétrage efficace sur tous les prélévements de TAF</t>
  </si>
  <si>
    <t xml:space="preserve">• Prélévement automatique de l'IRCD non exhaustif </t>
  </si>
  <si>
    <t>Assurer un suivi du paramétrage efficace sur tous les prélévements IRCD</t>
  </si>
  <si>
    <t>Veiller au strict respect de la procédure</t>
  </si>
  <si>
    <t>Veiller au strict respect de la procédure des habilitations</t>
  </si>
  <si>
    <t>• Absence de fiabilité de la matrice des habilitations mise en place par le groupe</t>
  </si>
  <si>
    <t>• Manque de communication en interne, entrainant une faiblesse dans la désactivation des profils sortants.</t>
  </si>
  <si>
    <t>• Systéme d'Alarme non fonctionnelle</t>
  </si>
  <si>
    <t>Suivi hebdomadaire et régulier de la fonctionnalité des alarmes</t>
  </si>
  <si>
    <t>• Manque d'espace de stockage des images de la vidéo-surveillance</t>
  </si>
  <si>
    <t>Mettre en place des disques de haute capacité pour le stockage de toutes les images d'au minimum 6 mois</t>
  </si>
  <si>
    <t>• Défaillance des détecteurs de mouvement ou de fumée</t>
  </si>
  <si>
    <t>Suivi mensuel et régulier de tous les détecteurs de mouvement et fumée</t>
  </si>
  <si>
    <t>• Absence d'un PCA (Plan de Continuité d'activité)</t>
  </si>
  <si>
    <t>Mettre en place un PCA efficace</t>
  </si>
  <si>
    <t>• Absence d'un régulateur de tension ou Onduleur dans le local technique</t>
  </si>
  <si>
    <t>Mettre en place un régulateur de tension et onduleur de qualité et d'en assurer une maintenance régulière.</t>
  </si>
  <si>
    <t>• Faiblesse de la sécurité par rapport à l'accès de la salle serveur.</t>
  </si>
  <si>
    <t>• Corruption de la base de données (Possibilité de créer, modifier et supprimer des informations)</t>
  </si>
  <si>
    <t>Rendre inaccessible la base de données aux IT locaux et veiller à un suivi de haute sécurité à distance</t>
  </si>
  <si>
    <t>• Non sauvegarde des données et pas de site de secours</t>
  </si>
  <si>
    <t>Mettre en place un site de secours de la sauvegarde journalière de toutes les données</t>
  </si>
  <si>
    <t>• Absence de documentation du suivi des incidents qui ne permet pas au management d’apprécier à date leur récurrence et les actions entreprises pour leur résolution.</t>
  </si>
  <si>
    <t>ANALYSE DES RISQUES OPERATIONNELS - SERVICE OPERATIONS</t>
  </si>
  <si>
    <t>CONTRÔLE INTERNE</t>
  </si>
  <si>
    <t>Contrôle de 2e niveau à J pour toutes les opérations de virement et remises</t>
  </si>
  <si>
    <t>• Non établissement des réconciliations des commissions de transferts d'argent et/ou non comptabilisation des commissions de transferts</t>
  </si>
  <si>
    <t xml:space="preserve">'• Longs suspens de plus de 90 jours sur les comptes internes et les rapprochements bancaires </t>
  </si>
  <si>
    <t>Assurer un suivi hebdomadaire de l'analyse de tous les comptes internes et veiller à l'appurement des suspens</t>
  </si>
  <si>
    <t>Resp. OPS</t>
  </si>
  <si>
    <t>• Comptabilisation d’opérations frauduleuses</t>
  </si>
  <si>
    <t>Contrôle de 2e niveau à J pour toutes les opérations passées dans le SI</t>
  </si>
  <si>
    <t>• Mauvaise imputation comptable sur un compte inapproprié</t>
  </si>
  <si>
    <t>• Erreur de saisie des opérations</t>
  </si>
  <si>
    <t>ANALYSE DES RISQUES OPERATIONNELS - FINANCE &amp; COMPTABILITE</t>
  </si>
  <si>
    <t>• Non justification des opérations comptabilisées dans le système par des pièces probantes</t>
  </si>
  <si>
    <t>• Déséquilibre de la balance à une date d'arrêté donnée</t>
  </si>
  <si>
    <t>'• Dossiers comptables incomplets (Absence de facture proformat ou Bon de commande)</t>
  </si>
  <si>
    <t xml:space="preserve">• Non automatisation des reporting règlementaire, financier et métier </t>
  </si>
  <si>
    <t>• Conformité des statuts avec la législation</t>
  </si>
  <si>
    <t>• Bon fonctionnement des organes d'administration et de direction et de contrôle</t>
  </si>
  <si>
    <t>• Mise en place et fonctionnement d'un comité d'audit</t>
  </si>
  <si>
    <t>'• Dossier du personnel incomplet</t>
  </si>
  <si>
    <t>• Absence de déclarations fiscales et sociales et/ou erreur dans les déclarations fiscales et sociales liées à la paie</t>
  </si>
  <si>
    <t>• Absence d'un outil de gestion de la paie</t>
  </si>
  <si>
    <t>'• Non-respect du processus d'évaluation</t>
  </si>
  <si>
    <t>• Non évaluation des staffs et/ou Critères d’évaluation non définis ou non adéquats</t>
  </si>
  <si>
    <t>• Evaluation non objective</t>
  </si>
  <si>
    <t>• Réalisation de dépenses non-autorisées</t>
  </si>
  <si>
    <t>• Absence ou Pertes de pièces justificatives des achats (Non justification des achats)</t>
  </si>
  <si>
    <t>'• Perte / vol / et dégradation du patrimoine immobilier, mobilier et consommables</t>
  </si>
  <si>
    <t>• Inadéquation des systèmes de sécurité incendie et absence de plan d'évacuation des locaux</t>
  </si>
  <si>
    <t>Effectuer une analyse efficiente et un suivi particulier de la balance de façon Hebdomadaire</t>
  </si>
  <si>
    <t>Recruter un contrôleur de gestion et assurer un suivi efficace et rigoureux du dispositif prudentiel</t>
  </si>
  <si>
    <t>Mettre en place dans le SI, une production automatisée de tous les reportings</t>
  </si>
  <si>
    <t>Contrôle de 2e niveau pour toutes journées comptables à J.</t>
  </si>
  <si>
    <t>Contrôle de 2e niveau pour toutes les déclarations à M.</t>
  </si>
  <si>
    <t>DFC</t>
  </si>
  <si>
    <t>IT</t>
  </si>
  <si>
    <t>• Sanctions règlementaires du fait du non-respect systématique des normes de gestion (limitation des risques, couverture des emplois, limitation des prêts aux dirigeants, limitation des risques par signature, coefficient de liquidité, constitution de la réserve générale, capitalisation,....) du dispositif prudentiel instaurées par l'Institution</t>
  </si>
  <si>
    <t>DEX</t>
  </si>
  <si>
    <t>CC</t>
  </si>
  <si>
    <t>Chef D'agence / Chef Caisse</t>
  </si>
  <si>
    <t>MANAGEMENT</t>
  </si>
  <si>
    <t>ANALYSE DES RISQUES OPERATIONNELS - GOUVERNANCE &amp; CONTRÔLE INTERNE</t>
  </si>
  <si>
    <t>• Faiblesse dans l'accessibilité et Connaissance des politiques réglementaires en vigueur</t>
  </si>
  <si>
    <t>ANALYSE DES RISQUES OPERATIONNELS - RESSOURCES HUMAINES</t>
  </si>
  <si>
    <t>ANALYSE DES RISQUES OPERATIONNELS - ACHATS &amp; LOGISTIQUE</t>
  </si>
  <si>
    <t>Mettre en place un service juridique qui va s'assurer de faire un suivi strict et rigoureux des dispositions légales et réglementaires</t>
  </si>
  <si>
    <t xml:space="preserve">Mettre en place un service juridique qui va s'assurer de faire un suivi strict </t>
  </si>
  <si>
    <t>Etoffer le département Contrôle interne avec un recrutement d'au minimum 2 staffs et redéfinir une MSP efficiente</t>
  </si>
  <si>
    <t>Plan de Formation sur les exigences réglementaires à mettre en place pour les auditeurs et contrôleurs</t>
  </si>
  <si>
    <t>S'assurer d'un bon fonctionnement efficace du Comité Audit</t>
  </si>
  <si>
    <t xml:space="preserve">DISPOSITIF DE PREVENTION ET DE CONTRÔLE </t>
  </si>
  <si>
    <t>ANALYSE DES RISQUES OPERATIONNELS - SERVICE JURIDIQUE &amp; CONTENTIEUX</t>
  </si>
  <si>
    <t>Mettre en place un service juridique qui va s'assurer de faire un suivi strict et rigoureux sur tous les dossiers de prêts financés</t>
  </si>
  <si>
    <t>• Non-respect du processus de recrutement</t>
  </si>
  <si>
    <t>Contrôle systématique du dossier de personnel pour le nouveau entrant</t>
  </si>
  <si>
    <t>S'assurer de la conformité des traitements de salaire</t>
  </si>
  <si>
    <t>• Non détermination des provisions pour congé et retraite et/ou non comptabilisation des provisions pour congé et retraite</t>
  </si>
  <si>
    <t>S'assurer de la conformité des traitements de congés</t>
  </si>
  <si>
    <t>Risque bruts (Rb)</t>
  </si>
  <si>
    <t>• Non détection des cas de faux billets</t>
  </si>
  <si>
    <t>• Absence de suivi efficace sur la politique de lutte anti blanchiment ou non détection des opérations suspectes</t>
  </si>
  <si>
    <t>S'assurer de la conformité des déclarations sociales effectuées.</t>
  </si>
  <si>
    <t>RRH</t>
  </si>
  <si>
    <t>• Absence de Réalisation systématique des contrôles de 2e niveau pour toutes les opérations liées à l'acitivté</t>
  </si>
  <si>
    <t>• Faiblesse dans l'archivage des dossiers d'appel d'offres ou bon de commande/facture</t>
  </si>
  <si>
    <t>Suvi &amp; Maintenance mensuel  de tous les sytémes de sécurité
Mettre en œuvre un plan d'évacuation des locaux</t>
  </si>
  <si>
    <t>ACHAT &amp; LOGISTIQUE</t>
  </si>
  <si>
    <t>D. CREDIT</t>
  </si>
  <si>
    <t>HEAD IT</t>
  </si>
  <si>
    <t>HEAD IT / CONTRÔLE INTERNE</t>
  </si>
  <si>
    <t>EXCEPTIONS MAJEURES CONSTATEES</t>
  </si>
  <si>
    <t>Pr</t>
  </si>
  <si>
    <t>Risque de vol
Risque de fraude liée à la surfacturation</t>
  </si>
  <si>
    <t>Dépense fictive ou détournement d'objet</t>
  </si>
  <si>
    <t>Risque de perte de document</t>
  </si>
  <si>
    <t>Risque de perte financière</t>
  </si>
  <si>
    <t>Risque de perte financière
Rique lié à l'insécurité</t>
  </si>
  <si>
    <t>Risque de non respect des documents confidentiels</t>
  </si>
  <si>
    <t>Faiblesse dans l'identification du staff
Risque de document fictif</t>
  </si>
  <si>
    <t>Risque de non exhaustivité de la paie</t>
  </si>
  <si>
    <t>Risque de redressement</t>
  </si>
  <si>
    <t>Risque opérationnel</t>
  </si>
  <si>
    <t>Risque d'erreur opérationnelle</t>
  </si>
  <si>
    <t>Conflit d'intérêts</t>
  </si>
  <si>
    <t>Méconnaissance des critéres d'évaluation</t>
  </si>
  <si>
    <t>Risques d'impayés, pertes financières</t>
  </si>
  <si>
    <t>Risque de poursuite judiciaire</t>
  </si>
  <si>
    <t>Sanctions légales
Sanctions pécuniaires</t>
  </si>
  <si>
    <t>Risques de fraude
Risque de pertes financières 
Risque opérationnel</t>
  </si>
  <si>
    <t>Risque de pertes financières</t>
  </si>
  <si>
    <t>Risque de fraude</t>
  </si>
  <si>
    <t>Risque opérationnel
Risque de fraude</t>
  </si>
  <si>
    <t>Sanctions légales
Sanctions pécunaires</t>
  </si>
  <si>
    <t>Risque de non-conformité des informations issues du SI</t>
  </si>
  <si>
    <t>Risque de redressement fiscal, ou pénalités</t>
  </si>
  <si>
    <t>• Risque de liquidité, de taux d'intérêt et de taux de change et non respect des ratios règlementaires</t>
  </si>
  <si>
    <t>Risques d'impayés
Risque de fraude
Risque de pertes financières</t>
  </si>
  <si>
    <t>Risque de pertes financières
Risque de fraude</t>
  </si>
  <si>
    <t>Risque opérationnel, Risque de pertes</t>
  </si>
  <si>
    <t>Risque de fraude
Risque de pertes financières</t>
  </si>
  <si>
    <t>Risque opérationnel
Absence de conformité des données du SI</t>
  </si>
  <si>
    <t>est égal à GxPr</t>
  </si>
  <si>
    <t>Risque de redressement fiscal
Risque de pertes financières, pénalités</t>
  </si>
  <si>
    <t>Risque de fraude
Risque opérationnel</t>
  </si>
  <si>
    <t>Risque de vol, braquage, d'insécurité</t>
  </si>
  <si>
    <t>Non identification des images en cas de vol</t>
  </si>
  <si>
    <t>Risque de sécurité</t>
  </si>
  <si>
    <t>Risque de non continuité des activités</t>
  </si>
  <si>
    <t>Risque de perte de données</t>
  </si>
  <si>
    <t>Risque de conformité</t>
  </si>
  <si>
    <t>Risque de perte de données confidentielles en cas d'incendie
Risque de vol</t>
  </si>
  <si>
    <t>Risque d'impayés
Risque de pertes financières</t>
  </si>
  <si>
    <t>Risque de détournement d'objet
Risque de fraude</t>
  </si>
  <si>
    <t>Risque réglementaire
Risque de pertes financières</t>
  </si>
  <si>
    <t>Risque lié à la mission commerciale
Risque de concurrence</t>
  </si>
  <si>
    <t>Risque opérationnel
Risque de conformité</t>
  </si>
  <si>
    <t>Risque de conformité
Risque de fraude</t>
  </si>
  <si>
    <t>Risque de pertes financières
Risque opérationnel</t>
  </si>
  <si>
    <t>Risque de pertes de document</t>
  </si>
  <si>
    <t>Risque lié à la mission commerciale</t>
  </si>
  <si>
    <t>Risque opérationnel
Risque de pertes financières en cas de sinistre</t>
  </si>
  <si>
    <t>Risque lié à la mission sociale</t>
  </si>
  <si>
    <t>CARTOGRAPHIE DES RISQUES BRUTS</t>
  </si>
  <si>
    <t>CARTOGRAPHIE DES RISQUES RESIDUELS</t>
  </si>
  <si>
    <t>CRITERE DE QUANTIFICATION DE LA PROBABILITE D'OCCURRENCE ET DE L'IMPACT DU RISQUE OPERATIONNEL</t>
  </si>
  <si>
    <t>Dispositif existant ou Non</t>
  </si>
  <si>
    <t>Risque opérationnel
Risque de non-conformité</t>
  </si>
  <si>
    <t>• Absence d'alarme anti-intruision</t>
  </si>
  <si>
    <t>• Absence détecteur de fumée et extincteur</t>
  </si>
  <si>
    <t>Risque de vol</t>
  </si>
  <si>
    <t>Mettre en place des alarmes anti-intruision</t>
  </si>
  <si>
    <t>Mettre en place des détecteurs de fumée et extincteur</t>
  </si>
  <si>
    <t xml:space="preserve">Gestion clientèle </t>
  </si>
  <si>
    <t xml:space="preserve">Description du dispositif à mettre en œuvre </t>
  </si>
  <si>
    <t>ANALYSE DES RISQUES OPERATIONNELS - MARKETING &amp; PRODUITS</t>
  </si>
  <si>
    <t>MARKETING &amp; PRODUITS</t>
  </si>
  <si>
    <t>AGENCES</t>
  </si>
  <si>
    <t>ANALYSE DES RISQUES OPERATIONNELS - CREDIT &amp; RISQUES</t>
  </si>
  <si>
    <t>Risque de non-conformité</t>
  </si>
  <si>
    <t>Dispositif existant ou non</t>
  </si>
  <si>
    <t>• Non respect du seuil de validation crédit par SCO</t>
  </si>
  <si>
    <t>Absence de formalisation des garanties</t>
  </si>
  <si>
    <t>PRINCIPES</t>
  </si>
  <si>
    <t>ENONCE DU PRINCIPE</t>
  </si>
  <si>
    <t>EXPLICATIONS</t>
  </si>
  <si>
    <t>Principe 1</t>
  </si>
  <si>
    <t>Objectivité et rationnalité de l'évaluation des risques</t>
  </si>
  <si>
    <t>Un exercice de cette nature expose naturellement les acteurs à un risque d'erreur de jugement ou d'appréciation sur l'analyse du risque. Ce biais peut être lié à des facteurs personnels ou psychologiques (syndrome "alarmiste" ou "paranoïaque") ou à un élément de l'environnement interne ("conflits internes et considérations crypto-personnelles").
Les fiches d'évaluation prévoient un champ "Commentaires" permettant à l'évaluateur (ou groupe d'évaluateurs) de justifier ses évaluations jugées extrêmes (entre 5 et 6).</t>
  </si>
  <si>
    <t>Principe 2</t>
  </si>
  <si>
    <t>Objectif de l'évaluation (évaluation du risque inhérent ou risque brut et de la maturité des contrôles)</t>
  </si>
  <si>
    <t>Dans le cadre de cet atelier, il vous est demandé de procéder d'une part à l'évaluation des risques inhérents (risques bruts) c'est-à-dire de faire fi des dispositifs de contrôle en vigueur. 
L'évaluation du risque inhérent permet d'appréhender de manière globale l'exposition de la filiale sur les différents process cible.</t>
  </si>
  <si>
    <t>Principe 3</t>
  </si>
  <si>
    <t>Principe de corrélation de l'évaluation des risques avec les objectifs stratégiques et opérationnels</t>
  </si>
  <si>
    <t>Il est demandé à chaque évaluateur de procéder à cette exercice en corrélation avec les objectifs opérationnels de ses processus ou sous processus</t>
  </si>
  <si>
    <t>Principe 4</t>
  </si>
  <si>
    <t>Probabilité du risque est différente de la fréquence de survenance de l'incident</t>
  </si>
  <si>
    <t>Un risque jamais survenu peut présenter une probabilité de survenance élevée et vice-versa. L'évaluateur devra donc avoir à l'esprit que les facteurs rendant possibles la survenance du risque.</t>
  </si>
  <si>
    <t>Principe 5</t>
  </si>
  <si>
    <t>Evaluation de la gravité</t>
  </si>
  <si>
    <t>L’appréciation de la gravité est une estimation très fine des impacts supposés de la survenance du risque sur la réalisation des objectifs de l’organisation. Il conviendra de ne pas surestimer des risques dont les impacts ne seraient que « locaux ». De même, il faudra veiller à ne pas sous estimer des risques dont l'impact est plus général. L'exercice d'évaluation requiert un élargissement de la perspective au-delà de votre simple domaine (direction, cellule, process, activité).</t>
  </si>
  <si>
    <t>Niveau de l'échelle</t>
  </si>
  <si>
    <t>Explicitation de l'échelle</t>
  </si>
  <si>
    <t>Maturité du contrôle</t>
  </si>
  <si>
    <t>Initial</t>
  </si>
  <si>
    <t>Dispositif de contrôle jugé "embryonnaire"</t>
  </si>
  <si>
    <t xml:space="preserve">Inexistant </t>
  </si>
  <si>
    <t>Aléatoire</t>
  </si>
  <si>
    <t>Pratique de contrôle identifié mais présentant un caractère aléatoire et fortement conditionné par la disponibilité et la volonté de certaines individualités (prépondérance du facteur humain)</t>
  </si>
  <si>
    <t>Informel</t>
  </si>
  <si>
    <t>Opérationnel</t>
  </si>
  <si>
    <t>Contrôle opérationnel et mis en œuvre manuellement ou de manière semi-automatique, conceptuellement satisfaisant mais ne présentant aucune garantie de mise en œuvre</t>
  </si>
  <si>
    <t>Standardisé</t>
  </si>
  <si>
    <t>Dispositf de contrôle indépendant du facteur humain, testé périodiquement avec des résultats globalement concluants et un système d'archivage des preuves assurant une parfaite traçabilité des tests</t>
  </si>
  <si>
    <t>Optimisé</t>
  </si>
  <si>
    <t>Contrôle paramétré de manière automatique ne nécessitant pas d'intervention humaine. Un contrôle des paramètres est néanmoins effectué suivant une périodicité définie (contrôles de type applicatif ou "embarqué" par un SI)</t>
  </si>
  <si>
    <t>Justification de l'évaluation en cas de risque jugé critique</t>
  </si>
  <si>
    <t>Risque opérationnel
Risque de fraude
Risque de non-conformité</t>
  </si>
  <si>
    <t>RECOUVREMENT</t>
  </si>
  <si>
    <t>Veiller à ce que tous dossiers disposent obligatoirement d'un plan de géolocalisation activité et domicile du client</t>
  </si>
  <si>
    <t>Mettre en place un service juridique qui va s'assurer de faire un suivi strict et rigoureux sur toutes de Garantie</t>
  </si>
  <si>
    <t>MONETIQUE</t>
  </si>
  <si>
    <t>Risque de non-conformité
Risque de fraude</t>
  </si>
  <si>
    <t>• Dossiers de crédit incomplets (Absence de la  convention, contrat cautionnement, certificat de résidence, géolocalisation, Fiche CAT...)</t>
  </si>
  <si>
    <t>Prêts débloqués non décaissés sur une balance agée de plus de 3 mois</t>
  </si>
  <si>
    <t>• Erreur d'analyse dans l'étude des dossiers des crédits</t>
  </si>
  <si>
    <t>• Gap de provisionnement selon les exigences de la banque centrale</t>
  </si>
  <si>
    <t>• Absence de suivi des prêts restructurés ou décalés</t>
  </si>
  <si>
    <t>Mise en place de COFI-EXPRESS ou SPOT dans le but de solder une partie d'impayés d'un crédit classique</t>
  </si>
  <si>
    <t>Absence de domiciliation irrévoccable sur les crédits causés (Avance sur facture, bon de commande, marché)</t>
  </si>
  <si>
    <t>Mise en place de crédit fictif (Activité inexistante, Escompte de facture déjà payée avec complicité du payeur final…)</t>
  </si>
  <si>
    <t>Gestion des dossiers de crédit et mise en place</t>
  </si>
  <si>
    <t>Inventaire des garanties non exhaustives</t>
  </si>
  <si>
    <t>Absence d'archivage physique et électronique des dossiers de crédit</t>
  </si>
  <si>
    <t>• Appel à la caution des traites tombées en impayés</t>
  </si>
  <si>
    <t>Risque de concentration</t>
  </si>
  <si>
    <t>Forte Concentration de secteur d'activités ou type de prêt en matière de crédit</t>
  </si>
  <si>
    <t>• Défaut de provisionnement des congés</t>
  </si>
  <si>
    <t>• Charges constatées sur des comptes non appropriés (Enregistrement des opérations de charge dans les comptes d'attente)</t>
  </si>
  <si>
    <t>• Précompte d'intérêts ou commissions sur crédits non échus</t>
  </si>
  <si>
    <t>Risque de fraude
Risque de non-conformité des informations comptables</t>
  </si>
  <si>
    <t>Risque réglementaire
Risque de fraude</t>
  </si>
  <si>
    <t>• Financement de plusieurs prêts pour un seul client disposant de plusieurs comptes</t>
  </si>
  <si>
    <t>Transfert d'argent</t>
  </si>
  <si>
    <t>Absence de certificat ou clé token de sécurité sur la connexion des applications de transfert</t>
  </si>
  <si>
    <t>Risque opérationnel
Pertes de données</t>
  </si>
  <si>
    <t>Contrôle permanent du serveur
Elaboration et mise en place d'un PCA propre à la filiale</t>
  </si>
  <si>
    <t>• Gestion des clés du coffre-fort ou accès coffre effectuée par une seule personne</t>
  </si>
  <si>
    <t>• Absence d'agent de sécurité armé en agence</t>
  </si>
  <si>
    <t>Veiller à ce que les agents armés soient présent en agence pour veiller à la sécurité des biens et des personnes</t>
  </si>
  <si>
    <t>RISQUE BRUT</t>
  </si>
  <si>
    <t>OPERATIONS</t>
  </si>
  <si>
    <t>FINANCES &amp; REPORTING</t>
  </si>
  <si>
    <t>JURIDIQUE &amp; CONTENTIEUX</t>
  </si>
  <si>
    <t>RESSOURCES HUMAINES</t>
  </si>
  <si>
    <t>MARKETING  PRODUITS</t>
  </si>
  <si>
    <t>CREDIT &amp; RISQUES</t>
  </si>
  <si>
    <t>FINANCE &amp; REPORTING</t>
  </si>
  <si>
    <t>GOUVERNANCE &amp; CI</t>
  </si>
  <si>
    <t>ACHATS &amp; LOGISTIQUE</t>
  </si>
  <si>
    <t>Mise en place d'un crédit avec de fausses garanties données par le client (Fausses cartes grises, Faux titres…)</t>
  </si>
  <si>
    <t>• Non prise en charge des demandes de prêt en agence</t>
  </si>
  <si>
    <t>Assurer un suivi ou monitoring via Tracking crédit de toutes les demandes de prêt</t>
  </si>
  <si>
    <t>Veiller à ce que les comptabilisations soient faites conformément au référentiel SFD</t>
  </si>
  <si>
    <t>• Absence de pièces justificatives comptables</t>
  </si>
  <si>
    <t>Contrôle de 1er niveau à J pour toutes les opérations passées dans le SI</t>
  </si>
  <si>
    <t>RAF</t>
  </si>
  <si>
    <t>• Prise en charge des dépenses liées à la flotte téléphonie mobile à des staffs inexistants ou démissionnaires</t>
  </si>
  <si>
    <t>• Non-respect de la politique d'achat</t>
  </si>
  <si>
    <t>Veiller au respect du manuel de procédures comptables</t>
  </si>
  <si>
    <t>NON SIGNIFICATIF</t>
  </si>
  <si>
    <t>TRES ELEVE</t>
  </si>
  <si>
    <t>FILIALE</t>
  </si>
  <si>
    <t>Le risque est jugé critique (la situation est tellement grave que l'organisation est face à la faillite ou à une dégradation accrue de sa réputation ou image)</t>
  </si>
  <si>
    <t xml:space="preserve"> Très Elevé</t>
  </si>
  <si>
    <t>Le risque est jugé très élevé (des fraudes sérieuses existent telles que les objectifs initiaux ne pourront vraisemblablement pas être atteints)</t>
  </si>
  <si>
    <t>Non significatif</t>
  </si>
  <si>
    <t xml:space="preserve">Risque jugé insignifiant par rapport aux process métier </t>
  </si>
  <si>
    <t>Lexique</t>
  </si>
  <si>
    <t>B2W / W2B</t>
  </si>
  <si>
    <t>PRODUITS DIGITAUX &amp; CHANGE</t>
  </si>
  <si>
    <t>Absence de l'évaluation des risques de blanchiment de capitaux et de financement du terrorisme sur les nouveaux produits</t>
  </si>
  <si>
    <t xml:space="preserve">Dysfonctionnement/obsolescence des enseignes et totems </t>
  </si>
  <si>
    <t>Non-affichage des conditions générales à jour dans les agences</t>
  </si>
  <si>
    <t>Absence de mise à jour des conditions générales conformément aux pratiques</t>
  </si>
  <si>
    <t>Risque d'image</t>
  </si>
  <si>
    <t>OUI</t>
  </si>
  <si>
    <t>Risque lié à la mission commerciale
Risque opérationnel
Risque de non-conformité</t>
  </si>
  <si>
    <t>R.MCC</t>
  </si>
  <si>
    <t>R.MCC/Chef d'agence</t>
  </si>
  <si>
    <t>DEX/R.MCC/Chef d'agence</t>
  </si>
  <si>
    <t>Respect strict du montant limite par convoi et présence obligatoire d'un garde national</t>
  </si>
  <si>
    <t>Non-respect des horaires d'ouverture des agences</t>
  </si>
  <si>
    <t>Vérifier l'exactitude des procurations reçues</t>
  </si>
  <si>
    <t>Insuffisance dans les mesures de modification de signature et de numéro de téléphone</t>
  </si>
  <si>
    <t>Risque opérationnel
Perte financière</t>
  </si>
  <si>
    <t>Respecter vigoureusement la procédure de modification de pack</t>
  </si>
  <si>
    <t>Absence de réconciliation des transactions liées aux CARTES GIM UEMOA</t>
  </si>
  <si>
    <t>S'assurer que les réconciliations sont réaliséees quotidiennement</t>
  </si>
  <si>
    <t>Resp OPS</t>
  </si>
  <si>
    <t>NON</t>
  </si>
  <si>
    <t>OUI pour la formation
NON pour le système automatique car le système actuel ne le permet pas</t>
  </si>
  <si>
    <r>
      <t xml:space="preserve">Formation sur la lutte contre le Blanchiment à mettre en place pour les auditeurs et contrôleurs. A voir avec la CENTIF
</t>
    </r>
    <r>
      <rPr>
        <b/>
        <sz val="11"/>
        <color rgb="FF00B050"/>
        <rFont val="Calibri"/>
        <family val="2"/>
        <scheme val="minor"/>
      </rPr>
      <t>Mise en place d'un système de filtrage et d'identification automatique des opérations suspectes</t>
    </r>
  </si>
  <si>
    <t>Risque d'utilisation frauduleuse des engins</t>
  </si>
  <si>
    <t>Absence de Nettoyage des locaux et non-acheminement des ordures dans les zones appropriées</t>
  </si>
  <si>
    <t>Risque d'image
Démotivation du personnel liée à la mauvaise hygiène impactant les conditions de travail</t>
  </si>
  <si>
    <t>Mauvais archivage des dossiers du personnel</t>
  </si>
  <si>
    <t>Risque de perte
Risque de divulgation d'informations sensibles</t>
  </si>
  <si>
    <t>Gestion des départs</t>
  </si>
  <si>
    <t>Non restitution des outils et matériels de travail lors des départs (check-list départ non réalisé)</t>
  </si>
  <si>
    <t>Non-suppression du staff du logiciel de paie</t>
  </si>
  <si>
    <t>Non désactivation des accès (messagerie, système, autres…) du staff sortant</t>
  </si>
  <si>
    <t>Supprimer le staff sortant du logiciel de paie</t>
  </si>
  <si>
    <t>Non élaboration d'un fichier annuel de suivi des congés</t>
  </si>
  <si>
    <t>Non évaluation annuelle et suivi des besoins de formation du personnel</t>
  </si>
  <si>
    <t>Mettre en place un tableau de suivi des formations et les exécuter au cours de l'année</t>
  </si>
  <si>
    <t>Gestion des congés</t>
  </si>
  <si>
    <t>Formation</t>
  </si>
  <si>
    <t>Non renforcement des compétences
Démotivation du personnel</t>
  </si>
  <si>
    <t xml:space="preserve">S'assurer que l'accès au logiciel de la paie est restreint dans le système et le dossier du personnel </t>
  </si>
  <si>
    <t>• Non prélévement des frais de mise en place de prêts, des virements émis ou reçus et des remises chèques sur les comptes.</t>
  </si>
  <si>
    <t>Contrôle de 1er et 2e niveau à J pour toutes les opérations de réconciliation</t>
  </si>
  <si>
    <t>OPS/CONTRÔLE INTERNE</t>
  </si>
  <si>
    <t>Traitement d'un ordre de virement sans preuve de réalisation du call back de l'agence au client</t>
  </si>
  <si>
    <t>Non réalisation/matérialisation du call back au client lors de la validation d'un ordre de virement</t>
  </si>
  <si>
    <t>Non réalisation/matérialisation du call back au client lors de la validation d'une transaction par fax agreement</t>
  </si>
  <si>
    <t>Veiller au strict respect de la procédure fax agreement</t>
  </si>
  <si>
    <t>Apposition du cachet "signature vérifiée" sur ordre de virement dont la signature n'est pas conforme</t>
  </si>
  <si>
    <t>S'assurer de la conformité des signatures conformément au système</t>
  </si>
  <si>
    <t>Contrôle de 2e niveau à J pour tou décalage effectués dans le SI</t>
  </si>
  <si>
    <t>NON ( LE CONTRÖLE EST FAIT MAIS PAS J)</t>
  </si>
  <si>
    <t>CONFORMITE</t>
  </si>
  <si>
    <t>S'assurer de la complétude de tous les dossiers et de son correct archivage.</t>
  </si>
  <si>
    <t>Le contrôle existe mais n'est pas réalisé à J</t>
  </si>
  <si>
    <t>Le contrôle existe mais n'est pas réalisé à M</t>
  </si>
  <si>
    <r>
      <t xml:space="preserve">Inventaire mensuel ou bimensuel </t>
    </r>
    <r>
      <rPr>
        <sz val="11"/>
        <color rgb="FF00B050"/>
        <rFont val="Calibri"/>
        <family val="2"/>
        <scheme val="minor"/>
      </rPr>
      <t>(semestriel ou annuel)</t>
    </r>
    <r>
      <rPr>
        <sz val="11"/>
        <color theme="1"/>
        <rFont val="Calibri"/>
        <family val="2"/>
        <scheme val="minor"/>
      </rPr>
      <t xml:space="preserve"> de toutes les immobilisations. Suivi &amp; Manitenance journalier des matériels.</t>
    </r>
  </si>
  <si>
    <t>Absence d'inventaire des dossiers de crédit/ou inventaire non exhaustif</t>
  </si>
  <si>
    <t>Risque de perte de dossier
Dossiers ficitifs</t>
  </si>
  <si>
    <t>• Non réalisation du pointage systématique des tickets de caisses et de l'inventaire des espèces quotidiennement par un staff autre que le caissier lui-même.</t>
  </si>
  <si>
    <t>S'assurer du dépôt des reporting obligatoires dans les délais</t>
  </si>
  <si>
    <t>S'assurer de l'élaboration et du dépôt dans les délais des rapports règlementaires</t>
  </si>
  <si>
    <t>Veiller respecter rigoureusement la procédure de traitement des ordres de virement</t>
  </si>
  <si>
    <t xml:space="preserve">NON </t>
  </si>
  <si>
    <t>OUI (Les armoires ignifuges qui sont en place sont pleines, il convient d'en rajouter une autre )</t>
  </si>
  <si>
    <t>Faire le suivi strict et rigoureux des dossiers d'engagement par signature</t>
  </si>
  <si>
    <t>Recrutement du personnel non budgétisé</t>
  </si>
  <si>
    <t>Mettre en place une procédure de recrutement non budgétisé</t>
  </si>
  <si>
    <r>
      <t>Défaut ou non-identification de la clientèle de l'Institution à l'ouverture du compte (</t>
    </r>
    <r>
      <rPr>
        <i/>
        <sz val="10"/>
        <color theme="1"/>
        <rFont val="Calibri"/>
        <family val="2"/>
        <scheme val="minor"/>
      </rPr>
      <t>usurpation d'identité, blanchiment des capitaux, financement du terrorisme, …</t>
    </r>
    <r>
      <rPr>
        <sz val="11"/>
        <color theme="1"/>
        <rFont val="Calibri"/>
        <family val="2"/>
        <scheme val="minor"/>
      </rPr>
      <t>)</t>
    </r>
  </si>
  <si>
    <t xml:space="preserve">Mettre à disposition de la fonction "Conformité" des moyens humains et matériels adéquats et suffisant afin de mener à bien et efficacement sa mission. </t>
  </si>
  <si>
    <r>
      <t>Non justification des opérations (</t>
    </r>
    <r>
      <rPr>
        <i/>
        <sz val="10"/>
        <color theme="1"/>
        <rFont val="Calibri"/>
        <family val="2"/>
        <scheme val="minor"/>
      </rPr>
      <t>dépôt sur compte mobile money/dépôt sur comptes COFINA</t>
    </r>
    <r>
      <rPr>
        <sz val="11"/>
        <color theme="1"/>
        <rFont val="Calibri"/>
        <family val="2"/>
        <scheme val="minor"/>
      </rPr>
      <t>)</t>
    </r>
  </si>
  <si>
    <t>Paramétrer le système d'information de sorte à rendre obligatoire la justification des opérations d'un seuil prédéfinis (à minima 500.000 francs CFA)
Mettre à disposition de la fonction "Conformité" des moyens humains et matériels adéquats et suffisant afin de mener à bien et efficacement sa mission</t>
  </si>
  <si>
    <t>Réalisation des opérations de dépôts sur les comptes mobile money suite à une Intrusion malveillante dans le système d'information</t>
  </si>
  <si>
    <t>Paramétrer le système d'information de sorte à limiter les opérations de dépôt à un seuil prédéfinis (2.000.000 francs CFA)
Paramétrer le système d'information de sorte à communiquer un code de validation de la transaction au titulaire du compte sur un numéro ou mail autre que le principal 
Renforcer la sensibilisation du personnel sur les bonnes pratiques d'utilisation de l'ordinateur, des mails et système d'information
Sensibiliser la clientèle sur le processus d'utilisation de l'application</t>
  </si>
  <si>
    <t>Détention du mot de passe utilisateur du titulaire du compte par une personne malveillante</t>
  </si>
  <si>
    <t>Paramétrer le système d'information de sorte à communiquer un code de validation au titulaire du compte sur un numéro ou mail autre que le principal lors de la réalisation d'une opération ou lors de la connexion à la session
Sensibiliser régulièrement la clientèle sur l'utilisation du mot de passe</t>
  </si>
  <si>
    <r>
      <t>Traitement inapproprié des données à caractère personnel de la clientèle dans sa généralité (</t>
    </r>
    <r>
      <rPr>
        <i/>
        <sz val="10"/>
        <color theme="1"/>
        <rFont val="Calibri"/>
        <family val="2"/>
        <scheme val="minor"/>
      </rPr>
      <t>collecte de données sensibles ou à caractère personnel non autorisé, diffusion non appropriée, mauvaise conservation</t>
    </r>
    <r>
      <rPr>
        <sz val="11"/>
        <color theme="1"/>
        <rFont val="Calibri"/>
        <family val="2"/>
        <scheme val="minor"/>
      </rPr>
      <t>)</t>
    </r>
  </si>
  <si>
    <t>Insérer la clause de protection des données personnelles dans les Conditions Générales d'Utilisation (CGU) de l'application "COFINA Mobile" et "USSD"</t>
  </si>
  <si>
    <t>Paramétrer le système d'information de sorte à communiquer un code de validation au titulaire du compte sur un numéro ou mail autre que le principal lors de la réalisation d'une opération ou lors de la connexion à la session
Sensibiliser la clientèle sur la conduite à tenir lors de la réalisation de l'opération sur les applicatifs</t>
  </si>
  <si>
    <t xml:space="preserve"> - Non identification de l'émetteur de l'opération de dépôt vers le compte du client domicilié dans les livres de l'Institution
 - non identification du client titulaire du compte domicilié dans les livres de l'Institution et bénéficiaire des fonds</t>
  </si>
  <si>
    <t>Renforcer l'équipe du service Conformité pour assurer une efficacité dans le contrôle</t>
  </si>
  <si>
    <t>Erreur sur le numero de compte du bénéficiaire des fonds de l'opération de dépôt réalisée via un compte mobile money</t>
  </si>
  <si>
    <r>
      <t>Paramétrer le système d'information de sorte à rendre obligatoire la justification des opérations d'un seuil prédéfinis (</t>
    </r>
    <r>
      <rPr>
        <i/>
        <sz val="10"/>
        <color theme="1"/>
        <rFont val="Calibri"/>
        <family val="2"/>
        <scheme val="minor"/>
      </rPr>
      <t>à minima 500.000 francs CFA</t>
    </r>
    <r>
      <rPr>
        <sz val="11"/>
        <color theme="1"/>
        <rFont val="Calibri"/>
        <family val="2"/>
        <scheme val="minor"/>
      </rPr>
      <t>)
Mettre à disposition de la fonction "Conformité" des moyens humains et matériels adéquats et suffisant afin de mener à bien et efficacement sa mission
Vérification des opérations de plus de 2.000.000 francs CFA (unique ou fractionnées) réalisées sur le compte d'un client à partir d'un ou plusieurs comptes mobile money</t>
    </r>
  </si>
  <si>
    <t>Non-respect des procedures d'approvisionnement de cartes et de rechargement</t>
  </si>
  <si>
    <t xml:space="preserve">Veiller au stricte respect de la procedure d'approvisonnement de carte prepayée </t>
  </si>
  <si>
    <t xml:space="preserve">Absence d'inventaire et de fichier de suivi de stocks  de cartes </t>
  </si>
  <si>
    <t xml:space="preserve">S'assurer de la realisation d'un inventaire permanent et la tenue d'un fichier de suivi de la variation des cartes </t>
  </si>
  <si>
    <t xml:space="preserve">Verifier que les cartes prepayées sont conservées dans un endroit securisé, fermé à clef et l'accés reglementé </t>
  </si>
  <si>
    <t xml:space="preserve">Veiller à la bonne conservation des cartes et à la securisation de l'accés au stockage des cartes  </t>
  </si>
  <si>
    <t xml:space="preserve">Vice de forme sur les contrats d'abonnements </t>
  </si>
  <si>
    <t>S'assurer de l'exhaustivité et de la completitude des informations sur les contrats d'abonnement de carte prepayée</t>
  </si>
  <si>
    <t>Defaut de prise en charge des suspens sur l'application OMB</t>
  </si>
  <si>
    <t>Veiller à l'appurement de tous les suspens sur l'application OMB</t>
  </si>
  <si>
    <t xml:space="preserve">Absence de suivi de l'encours des cartes expirés </t>
  </si>
  <si>
    <t xml:space="preserve">Demander un onglet sur la plateforme pour avoir une vue sur l'encours total des cartes distribuées aux clients </t>
  </si>
  <si>
    <t>Absence de prise en charge des reclamations clients</t>
  </si>
  <si>
    <t xml:space="preserve">S'assurer de la prise en charge de toutes les reclamations clients en monnaie éléctronique </t>
  </si>
  <si>
    <t>Vente de carte COFICARTE à des clients ne disposant pas de documents d'identification valide</t>
  </si>
  <si>
    <t>risque de non-conformité</t>
  </si>
  <si>
    <t>s'assurer de recueillir les pièces d'identification valide lors de la souscription</t>
  </si>
  <si>
    <t>Oui</t>
  </si>
  <si>
    <t>Non compensation en cas de fraude sur la carte COFICARTE</t>
  </si>
  <si>
    <t>Risque de reputation</t>
  </si>
  <si>
    <t>sensibiliser les clients sur les mesures de sécurité à adopter avec la carte lors de l'achat.</t>
  </si>
  <si>
    <t>Existant</t>
  </si>
  <si>
    <t>• Absence de signature du PV d'aprobation du comité crédit conseil d'administration pour les dossiers &gt; à la limite filiale</t>
  </si>
  <si>
    <t>LAB/FT</t>
  </si>
  <si>
    <t>ETHIQUE &amp; DEONTOLOGIE</t>
  </si>
  <si>
    <t>VEILLE REGLEMENTAIRE</t>
  </si>
  <si>
    <t>COMMUNICATION</t>
  </si>
  <si>
    <t>Mettre en place le suivi des PPE au sein de la filiale</t>
  </si>
  <si>
    <t>Absence de suivi sur les opérations remarquables</t>
  </si>
  <si>
    <t>Déclaration des opérations suspectes non effectuées au niveau de la CENTIF</t>
  </si>
  <si>
    <t>Faire les DOS conformément aux exigences de la réglementation</t>
  </si>
  <si>
    <t>Risque d'image de l'institution</t>
  </si>
  <si>
    <t>Afficher le règlement intérieur au siège et dans les Agences</t>
  </si>
  <si>
    <t>Non</t>
  </si>
  <si>
    <t>Défaut d'affichage des conditions générales en Agence</t>
  </si>
  <si>
    <t>Non respect de la confidentialité</t>
  </si>
  <si>
    <t>Respect de la charte de l'éthique et de la déontologie</t>
  </si>
  <si>
    <t>Non respect des lois et reglement intérieur</t>
  </si>
  <si>
    <t xml:space="preserve">Risque d'image de l'institution                           </t>
  </si>
  <si>
    <t>Manque d'intégrité</t>
  </si>
  <si>
    <t xml:space="preserve">Risque perte financière,   Risque d'image de l'institution       </t>
  </si>
  <si>
    <t>Absence de veille réglementaire au sein de l'entité</t>
  </si>
  <si>
    <t>Procédure sur la veille réglementaire</t>
  </si>
  <si>
    <t xml:space="preserve">12
</t>
  </si>
  <si>
    <t xml:space="preserve">6
</t>
  </si>
  <si>
    <t>10
○→ OPERATIONS</t>
  </si>
  <si>
    <t xml:space="preserve">10
</t>
  </si>
  <si>
    <t>Gestion de la sécurité physique et Réseau</t>
  </si>
  <si>
    <t>Renforcer la sécurité par rapport à l'accès de la salle serveur.</t>
  </si>
  <si>
    <t>Gestion des postes de travail</t>
  </si>
  <si>
    <t>Indisponibilité d'un poste de travail sur une fonction stratégique</t>
  </si>
  <si>
    <t>Identifier les postes de travail critiques.
Prévoir des machines de réserve déjà configurées.</t>
  </si>
  <si>
    <t>Gestion des incidents</t>
  </si>
  <si>
    <t>Suivi des rapports d'incidents et effectuer les remontées vers le top management en fonction du niveau de criticité</t>
  </si>
  <si>
    <t>Gestion de la sécurité SI</t>
  </si>
  <si>
    <t>Absence de scan(recherche) des vulnérabilités (afilles de sécurité) internes</t>
  </si>
  <si>
    <t>Mettre en place et suivre les rapports de scans de vulnérabilités internes</t>
  </si>
  <si>
    <t>HEAD IT ET
RSSI</t>
  </si>
  <si>
    <t>Absence de formation présentielle des utilisateurs sur les bonnes pratiques</t>
  </si>
  <si>
    <t>Suivi du planning de formation des utilisateurs</t>
  </si>
  <si>
    <t>Gestion de la messagerie</t>
  </si>
  <si>
    <t>Absence de procédure de classification de l'information (caractère secret, confidentiel, interne et public)</t>
  </si>
  <si>
    <t>Identifier pour chaque processus le niveau de classification de l'information</t>
  </si>
  <si>
    <t>Gestion des ressources IT</t>
  </si>
  <si>
    <t>Absence de backup à certains postes critiques</t>
  </si>
  <si>
    <t>Risque humain</t>
  </si>
  <si>
    <t>S'assurer que chaque fonction critique dispose d'un backup</t>
  </si>
  <si>
    <t>HEAD IT ET
DRH</t>
  </si>
  <si>
    <t>Absence de formation ou de mise à niveau des ressources</t>
  </si>
  <si>
    <t>Identifier les formations qui sont en adéquation avec l'évolution de la fonction exercée</t>
  </si>
  <si>
    <t>Gestion de la maintenance du SI</t>
  </si>
  <si>
    <t>Absence de contrat de maintenance sur les actifs critiques du local informatique</t>
  </si>
  <si>
    <t>S'assurer de l'existence d'un contrat de maintenance pour les actifs critiques du local technique
Effectuer des tests periodiques (avec le contrôle permament) sur l'état de fonctionnement des actifs critiques (onduleur, groupe éléectrogène, climatisation, détecteur d'humidité, extincteurs, dispositif extinction automatique incendie...)</t>
  </si>
  <si>
    <t>Absence d'analyse (Proof) des comptes internes et rapprochements bancaires et/ou de suivi des suspens identifiés</t>
  </si>
  <si>
    <t xml:space="preserve">Manque de confidentialité des données de la paie </t>
  </si>
  <si>
    <t>Absence de gestion des comptes débiteurs</t>
  </si>
  <si>
    <t xml:space="preserve">Faiblesse dans la Gestion du parc automobile </t>
  </si>
  <si>
    <t>Mettre en place une matrice des habilitations complexe et fiable (Communication automatique aux Its pour tout mouvement ou départ du staff)</t>
  </si>
  <si>
    <t>Absence de Protection de la proprièté intellectuelle</t>
  </si>
  <si>
    <t>Risque d'image
Risque de litiges</t>
  </si>
  <si>
    <t>Absence de contrôle de conformité ou validation lors du lancement d'un nouveau produit</t>
  </si>
  <si>
    <t xml:space="preserve">Protéger les noms des produits et les enregistrer à l'OAPI </t>
  </si>
  <si>
    <t>Evénements &amp; Relations
avec les tiers</t>
  </si>
  <si>
    <t>Non-Conformité relative aux prises de parole publique.</t>
  </si>
  <si>
    <t>Risque d'image
Risque de réputation</t>
  </si>
  <si>
    <t>Organisation d'événements d'entreprise</t>
  </si>
  <si>
    <t>Non respect des Processs événementiels (dépassement budget, benchmarking inexistant, proposition non autorisée…)</t>
  </si>
  <si>
    <t>Respect de la réglementation relative à la communication</t>
  </si>
  <si>
    <t>Non Respect du droit d'auteur</t>
  </si>
  <si>
    <t>Risque d'image,
Perte  financière</t>
  </si>
  <si>
    <t>Risque d'image,
Risque de non-conformité</t>
  </si>
  <si>
    <t>Vérification originaux des statuts et pv nomination du gérant ou du Directeur Général pour les SA ; SARL ; SUARL</t>
  </si>
  <si>
    <t>Fraude sur l'enrolement des produits digitaux et les cartes prépayées (Exemple : Création de profil, Modification des informations personnelles…)</t>
  </si>
  <si>
    <t>S'assurer que les documents originaux sont conformes et authentiques et apposer le cachet "copie conforme à l'original" sur la copie.</t>
  </si>
  <si>
    <t>S'assurer qu'il existe deux personnes dans le process opérationnel : Celle qui initie et celle qui valide toute création ou modification de données</t>
  </si>
  <si>
    <t>Absence de politique de sécurité physique et locaux sensibles.</t>
  </si>
  <si>
    <t>Risque de pertes financières en cas de sinistre</t>
  </si>
  <si>
    <t>Veiller à ce que les exigences liées au dispositif de sécurité sont en place.</t>
  </si>
  <si>
    <t>Gestion de la sécurité et Assurance</t>
  </si>
  <si>
    <t>Modification des informations clients (photo, signature et autres) dans le système</t>
  </si>
  <si>
    <t>Non-identification des clients - KYC ("Know Your Customer")</t>
  </si>
  <si>
    <t>Image 
Réputation
Fraude 
Blanchiment d'argent</t>
  </si>
  <si>
    <t>S'assurer que l'identification du client est conforme aux principes KYC.</t>
  </si>
  <si>
    <t>S'assurer que les données saisies dans le SI sont conformes aux documents soumis par le client.</t>
  </si>
  <si>
    <t>Non-conformité des dossiers du personnel</t>
  </si>
  <si>
    <t>Défaut de provisionnement des indemnités de départ à la retraite</t>
  </si>
  <si>
    <t>S'assurer que les provisions de départ à la retraite sont constituées</t>
  </si>
  <si>
    <t>Gestions des carrières</t>
  </si>
  <si>
    <t xml:space="preserve">Absence d'une politique de conservation ou rétention du personnel </t>
  </si>
  <si>
    <t xml:space="preserve">Risque d'image , Risque réputationnel </t>
  </si>
  <si>
    <t>Absence d'une politique de développement du personnel (formation, suivi managérial)</t>
  </si>
  <si>
    <t>Respect de la politique de la Gestion prévisionnelle des emplois et des carrières ( GPEC )</t>
  </si>
  <si>
    <t xml:space="preserve">S'assurer de la MEP d'une politique de capacitation du personnel </t>
  </si>
  <si>
    <t>Absence d'analyse des comptes internes</t>
  </si>
  <si>
    <t>Levée non autorisée des réservations de fonds</t>
  </si>
  <si>
    <t>Absence de suivi sur les déblocages de crédit en attente dans le SI</t>
  </si>
  <si>
    <t>Absence de procédure et de suivi des virements et versements bancaires reçus</t>
  </si>
  <si>
    <t>Usurpation d'identité sur les escomptes de traite</t>
  </si>
  <si>
    <t>Duplicata d'une traite avalisée dans le but de l'escompter sur plusieurs banques différentes</t>
  </si>
  <si>
    <t xml:space="preserve">Réactivation non autorisée des comptes dormants </t>
  </si>
  <si>
    <t>Contrôle systématique de toute levée de réservation de fonds</t>
  </si>
  <si>
    <t>S'assurer de l'existance et l'application de la procédure des virements et versements bancaires</t>
  </si>
  <si>
    <t>Veiller à la conformité des traites et s'assurer de l'absence de faux homonymes</t>
  </si>
  <si>
    <t>Gestion des espèces</t>
  </si>
  <si>
    <t>Absence de politique de convoyage des fonds (approvisionnement et délestage).</t>
  </si>
  <si>
    <t>Conservation des espèces</t>
  </si>
  <si>
    <t>Risque opérationnel, fraude</t>
  </si>
  <si>
    <t>Mise en place d'un produit de crédit non validé par le groupe</t>
  </si>
  <si>
    <t>Absence d'une procédure normée sur les Call back auprés du payeur final.</t>
  </si>
  <si>
    <t>risque de contrepartie
risque de non-conformité</t>
  </si>
  <si>
    <t>Erreur de saisie sur le contrat de prêt</t>
  </si>
  <si>
    <t>S'assurer que toutes les fiches produits existent et sont validés par le groupe.</t>
  </si>
  <si>
    <t>Veiller à mettre en place une procédure ou une politique qui cadre les call-back auprès du payeur final</t>
  </si>
  <si>
    <t>Absence de procédure et politique sur la gestion de la trésorerie</t>
  </si>
  <si>
    <t>Risque de liquidité 
Risque de pertes financières</t>
  </si>
  <si>
    <t>S'assurer de l'existence d'une politique de gestion de la trésorerie et veiller au respect de la procédure</t>
  </si>
  <si>
    <t>Absence de Contrôle des informations financières et comptables communiquées aux Autorités de tutelle</t>
  </si>
  <si>
    <t>Non-conformité
Litige avec les autorités</t>
  </si>
  <si>
    <t>Il s'agit de s'assurer de la correcte comptabilisation :
- de l'impôt / taxe dans les comptes sociaux (bilan : charge à payer ou dette fiscale et résultat) et dans la bonne période, 
- de l'impôt exigible et de l'impôt différé dans des comptes distincts, 
- de l'impôt différé en capitaux propres et non en résultat, si il affecte des éléments de capitaux propres 
- des écritures de centralisation des déclarations ,
- l'absence de compensation indue des créances et dettes d'impôt.
- l'absence de compensation entre actifs et passifs d'impôt exigible sauf justification adhoc.
Il s'agit par ailleurs de s'assurer de la justification des traitements comptables et la piste d'audit des retraitements fiscaux.</t>
  </si>
  <si>
    <t>Dévaluation de la monnaie</t>
  </si>
  <si>
    <t>Risque de taux</t>
  </si>
  <si>
    <t>Procédures non adaptées à la pratique de l'institution</t>
  </si>
  <si>
    <t>Sécurité des dirigeants</t>
  </si>
  <si>
    <t>Suivi de l'ensemble des comités de Direction et de leurs décisions (Direction Générale)</t>
  </si>
  <si>
    <t>Litiges avec les autorités</t>
  </si>
  <si>
    <t>S'assurer que les dirigeants ne sont pas exposés de façon simultanée à des situations à risques (déplacements, etc.)</t>
  </si>
  <si>
    <t>S'assurer que l'ensemble des comités décisionnels de Direction sont mis en place, se tiennent et que les décisions prises font l'objet d'un suivi (Direction Générale)</t>
  </si>
  <si>
    <t>Absence de contrôle de certaines activités</t>
  </si>
  <si>
    <t>Absence de Mise à jour de la cartographie des risques</t>
  </si>
  <si>
    <t>Formation en matière de contrôle interne</t>
  </si>
  <si>
    <t>Couverture du périmètre de déploiement du dispositif de contrôle permanent</t>
  </si>
  <si>
    <t>Élaborer le rapport sur le Contrôle Interne et le faire valider</t>
  </si>
  <si>
    <t>Veiller au suivi de la MSP</t>
  </si>
  <si>
    <t>S'assurer de la mise à jour de la cartographie des risques au moins 2 fois par an</t>
  </si>
  <si>
    <t>S'assurer que les collaborateurs ont suivi les formations sur le contrôle interne adaptées à leur poste et/ou leurs missions</t>
  </si>
  <si>
    <t>S'assurer de l'exhaustivité et de la mise à jour du périmètre de déploiement du dispositif de contrôle permanent, de sa conformité aux obligations réglementaires, et suivre le déploiement effectif du dispositif sur ce périmètre</t>
  </si>
  <si>
    <t>S'assurer que le rapport sur le Contrôle Interne est réalisé et validé</t>
  </si>
  <si>
    <t>Garanties sur évaluées lors d'une expertise</t>
  </si>
  <si>
    <t>Non respect des procédures de saisies garanties</t>
  </si>
  <si>
    <t>Passages en pertes</t>
  </si>
  <si>
    <t>Gestion des droits d'accès physiques</t>
  </si>
  <si>
    <t>Accès aux locaux sensibles</t>
  </si>
  <si>
    <t>Intrusion dans les locaux, vol de biens matériels, d'informations sensibles, vandalisme</t>
  </si>
  <si>
    <t>Assurance dommage aux biens</t>
  </si>
  <si>
    <t>Absence Assurance dommage aux biens immeubles (globale de banque)
ou Absence Assurance multirisque-professionnel</t>
  </si>
  <si>
    <t>Risque de déterioration d'actif
Risque de pertes financières ou d'exploitation</t>
  </si>
  <si>
    <t>Suivi des contrats d'assurance</t>
  </si>
  <si>
    <t>Non-conformité des déclarations de sinistres dans les délais</t>
  </si>
  <si>
    <t>Déchéance des droits à remboursement
Perte de patrimoine</t>
  </si>
  <si>
    <t>S'assurer que les sinistres sont déclarés dans les délais, en conformité avec les clauses contractuelles et en lien avec le service assurance.</t>
  </si>
  <si>
    <t>Bien être au travail/Qualité de vie au travail</t>
  </si>
  <si>
    <t>Harcellement (violence physique ou verbale)</t>
  </si>
  <si>
    <t>Risque de départ;
Risque de dégradation de la santé mentale
Risque d'image de l'Intitution</t>
  </si>
  <si>
    <t>Qualité du mobilier</t>
  </si>
  <si>
    <t>Risque de dégradation de la santé physique des collaborateurs</t>
  </si>
  <si>
    <t>Manque d'hygiène</t>
  </si>
  <si>
    <t>Risque de maladie</t>
  </si>
  <si>
    <t>Climent social inappropprié</t>
  </si>
  <si>
    <t>Risque baisse de productivité et de la performance</t>
  </si>
  <si>
    <t>Risque réglementaire</t>
  </si>
  <si>
    <t>Afficher les conditions générales de banque et s'assurer de la publication au niveau de la banque centrale</t>
  </si>
  <si>
    <t>Absence de suivi sur la gestion des réclamations clients</t>
  </si>
  <si>
    <t>• Défaut constatée sur la qualité de service délivrée en Agence</t>
  </si>
  <si>
    <t>• Défaut de communication des produits</t>
  </si>
  <si>
    <t>• Défaut dans la conformité des piéces d'identité (Présence de clients ayant plusieurs pièces différentes)</t>
  </si>
  <si>
    <t>Défaut dans la modification des packs (fiche non signée, frais non prélevés, code catégorie non modifié…)</t>
  </si>
  <si>
    <t>Défaut dans l'établissement des procurations liées aux comptes mandataires</t>
  </si>
  <si>
    <t>• Manque de suivi des fermetures de compte Client</t>
  </si>
  <si>
    <t>• Mauvais archivage des dossiers d'ouverture de compte</t>
  </si>
  <si>
    <t>• Défaut sur la qualité de service délivrée en Agence</t>
  </si>
  <si>
    <t>Mauvaise gestion des approvisionnements et délestages en banque</t>
  </si>
  <si>
    <t>• Impossibilité de réaliser une garantie foncière  en raison d'une détérioration normale et/ou de sinistre impactant de manière significative la valeur de l'actif (incendie, dégât des eaux, etc.)</t>
  </si>
  <si>
    <t>Mettre en place un service juridique qui va s'assurer de faire un suivi strict et rigoureux sur toutes les Garanties</t>
  </si>
  <si>
    <t>Absence de suivi sur la gestion du stock de fournitures</t>
  </si>
  <si>
    <t>Mauvaise Gestion des données clients</t>
  </si>
  <si>
    <t>Non-Conformité des factures</t>
  </si>
  <si>
    <t>Absence de Contrôle de la correcte comptabilisation de l'impôt/taxe</t>
  </si>
  <si>
    <t>Risque de fraude
Risque d'image
Risque de pertes fiancières</t>
  </si>
  <si>
    <t>Absence de suivi de tous les contrats liant COFINA à des tiers qu'il s'agisse des banques, fournisseurs, interco... (termes, durée…)</t>
  </si>
  <si>
    <t>Risque de Fraude</t>
  </si>
  <si>
    <t>Risque de crédit</t>
  </si>
  <si>
    <t>Risque de liquidité</t>
  </si>
  <si>
    <t>Pertes des moyens d'exploitation</t>
  </si>
  <si>
    <t>RISQUES CORRELES</t>
  </si>
  <si>
    <t>FAMILLE DU RISQUE</t>
  </si>
  <si>
    <t>Risque stratégique</t>
  </si>
  <si>
    <t>Risque de non-conformité
Risque opérationnel</t>
  </si>
  <si>
    <t>Risque exogéne</t>
  </si>
  <si>
    <t>FAMILLE DE RISQUE</t>
  </si>
  <si>
    <t>Mauvaise qualité de service
Risque lié à la mission commerciale</t>
  </si>
  <si>
    <t>Risque Image
Réputation</t>
  </si>
  <si>
    <t>FAMILLE DE RISQUES</t>
  </si>
  <si>
    <t>risque de non-conformité
risque de contrepartie</t>
  </si>
  <si>
    <t>Risque financier
Risque de fraude</t>
  </si>
  <si>
    <t>Risque de pertes financères
Risque opérationnel</t>
  </si>
  <si>
    <t>Risque rélgementaire</t>
  </si>
  <si>
    <t>Risque de non-conformité réglementaire</t>
  </si>
  <si>
    <t>Risque juridique</t>
  </si>
  <si>
    <t>Risque de recrutement arbitraire</t>
  </si>
  <si>
    <t>MARKETING PRODUITS</t>
  </si>
  <si>
    <t>CREDIT</t>
  </si>
  <si>
    <t>GOUV &amp; CONTRÔLE INTERNE</t>
  </si>
  <si>
    <t>RISQUE DE FRAUDE</t>
  </si>
  <si>
    <t>RISQUE OPERATIONNEL</t>
  </si>
  <si>
    <t>RISQUE STRATEGIQUE</t>
  </si>
  <si>
    <t>RISQUE DE CREDIT</t>
  </si>
  <si>
    <t>RISQUE REGLEMENTAIRE</t>
  </si>
  <si>
    <t>RISQUE DE LIQUIDITE</t>
  </si>
  <si>
    <t>RISQUE EXOGENE</t>
  </si>
  <si>
    <t>TOTAL</t>
  </si>
  <si>
    <t>Risque opérationnel
Risque de vol, fraude</t>
  </si>
  <si>
    <t>Risque de vol
Risque de pertes financières</t>
  </si>
  <si>
    <t>Risque de crédit
Risque de non-conformité</t>
  </si>
  <si>
    <t>Risque juridique
Risque de fraude</t>
  </si>
  <si>
    <t>Risque de contrepartie</t>
  </si>
  <si>
    <t>Adjudication des garanties afin d'éteindre la créance sans disposition des états de droits réels ou certificat d'inscription hypothécaire</t>
  </si>
  <si>
    <t>Risque de fraude
Risque de crédit</t>
  </si>
  <si>
    <t>• Libération dépôt de garantie ou DAT sans respecter la procédure</t>
  </si>
  <si>
    <t>• Report d'échéances sans respecter la procédure</t>
  </si>
  <si>
    <t>Restructuration de prêt sans matérialisation du consentement du client</t>
  </si>
  <si>
    <t>Décalage échéance sans matérialisation de la demande du client</t>
  </si>
  <si>
    <t>Retard de dépôt des reporting règlementaires</t>
  </si>
  <si>
    <t xml:space="preserve">• Retard de déclaration/paiement des impôts, taxes et redevances et/ou erreur de calcul dans la détermination des impôts, taxes et redevances à payer </t>
  </si>
  <si>
    <t>• Absence de suivi systématique relatif au respect des dispositions légales et Réglementaires relatives à la gouvernance (Respect de la loi sur les microfinances, des instructions, des statuts)</t>
  </si>
  <si>
    <t>• Absence de suivi des recos issues du régulateur</t>
  </si>
  <si>
    <t>Non complétude de certaines procédures sur certaines activités</t>
  </si>
  <si>
    <t>Retard de dépôt des rapports règlementaires</t>
  </si>
  <si>
    <t>Non formalisation de l'aval du client lors de certaines restructurations</t>
  </si>
  <si>
    <t>LEXIQUE FAMILLE DE RISQUES</t>
  </si>
  <si>
    <t>DETAILS par FAMILLE</t>
  </si>
  <si>
    <t>DEFINITION</t>
  </si>
  <si>
    <t xml:space="preserve">Risque de non-conformité </t>
  </si>
  <si>
    <t xml:space="preserve">Risque juridique </t>
  </si>
  <si>
    <t>Risque informatique</t>
  </si>
  <si>
    <t xml:space="preserve">Risque de pertes opérationnelles </t>
  </si>
  <si>
    <t>Risque de pertes de ressources humaines</t>
  </si>
  <si>
    <t>Risque de redressement fiscal</t>
  </si>
  <si>
    <t>Risque à laquelle l’institution est exposée à un non respect des procédures, des législations et normes métiers</t>
  </si>
  <si>
    <t>C’est un type de risque lié au droit ou à une règle de droit.</t>
  </si>
  <si>
    <t>Défaillance du SI pouvant résulter à un arrêt de l’exploitation</t>
  </si>
  <si>
    <t>Turnover excessif, démission</t>
  </si>
  <si>
    <t>Redressement fiscal</t>
  </si>
  <si>
    <r>
      <t xml:space="preserve">Risques opérationnels :
</t>
    </r>
    <r>
      <rPr>
        <sz val="11"/>
        <rFont val="Calibri "/>
      </rPr>
      <t>Le risque opérationnel est la vulnérabilité à laquelle est confrontée l’institution dans sa gestion quotidienne et par rapport à la qualité de son portefeuille et correspond aux pertes potentielles résultant de lacunes ou de défauts attribuables aux ressources humaines et matérielles.</t>
    </r>
  </si>
  <si>
    <r>
      <t xml:space="preserve">Risques de Fraude :
</t>
    </r>
    <r>
      <rPr>
        <sz val="11"/>
        <rFont val="Calibri "/>
      </rPr>
      <t>Risques liés aux divers types de fraudes auxquels pourrait être exposée l’institution tant à l’interne qu’à l’externe, ou à des actes répréhensibles supposant de la fraude, compte tenu des activités de l’organisation.</t>
    </r>
  </si>
  <si>
    <t>Vol matériel ou d’espèces</t>
  </si>
  <si>
    <t>Manipulation des résultats, non comptabilisation des charges ou gonfler le PNB de manière fictive et unilatérale, Restructuration prêt sans aval du client</t>
  </si>
  <si>
    <t>Fraude pouvant résulter à une perte financière ou Détournement de fonds</t>
  </si>
  <si>
    <t>Fraude informatique, intrusion SI, Cambriolage Agence, Faiblesse dans la sécurité.</t>
  </si>
  <si>
    <t>Fraude opérationnelle</t>
  </si>
  <si>
    <t>Pertes financières</t>
  </si>
  <si>
    <t>Blanchiment de capitaux et Financement de terrorisme</t>
  </si>
  <si>
    <t>Erreur ou non respect des procédures pouvant résulter à une perte opérationnelle et/ou financière.</t>
  </si>
  <si>
    <r>
      <t xml:space="preserve">Risques de Crédit :
</t>
    </r>
    <r>
      <rPr>
        <sz val="11"/>
        <rFont val="Calibri "/>
      </rPr>
      <t>Le risque de crédit est le risque que le débiteur ne réponde pas à son obligation initiale qui est de rembourser un crédit. En fait, dès que le client rend son compte débiteur, la banque est appelée à supporter un risque de crédit</t>
    </r>
  </si>
  <si>
    <t xml:space="preserve">Risque de contrepartie </t>
  </si>
  <si>
    <t xml:space="preserve">Risque de transformation </t>
  </si>
  <si>
    <t xml:space="preserve">Risque de concentration </t>
  </si>
  <si>
    <t xml:space="preserve">Risque de concurrence </t>
  </si>
  <si>
    <t xml:space="preserve">Risque de marché </t>
  </si>
  <si>
    <t xml:space="preserve">Diversion de fonds </t>
  </si>
  <si>
    <t>Risque à ce que le débiteur ne puisse pas honorer ses engagements</t>
  </si>
  <si>
    <t>Risque à ce que le débiteur ait du mal à vendre ses marchandises à la suite d’un financement</t>
  </si>
  <si>
    <t>Financement d’un client qui se trouve dans un secteur très concentré lié à son activité</t>
  </si>
  <si>
    <t>Financement d’un client qui se trouve dans un secteur très concurrencé lié à son activité</t>
  </si>
  <si>
    <t>Financement d’un client exposé à un risque de pertes provenant des variations de la valeur au marché des positions en actions et en obligations au compte de négociation ainsi que des positions en devises et en denrées</t>
  </si>
  <si>
    <t>Risque pour le client d’être impacté négativement à une variation du taux d’intérêt</t>
  </si>
  <si>
    <t>Détournement d’objet du crédit</t>
  </si>
  <si>
    <r>
      <t xml:space="preserve">Risques Stratégiques :
</t>
    </r>
    <r>
      <rPr>
        <sz val="11"/>
        <rFont val="Calibri "/>
      </rPr>
      <t>Les risques stratégiques désignent les risques qui affectent une stratégie de gestion de l'entreprise ou les objectifs stratégiques. Ces risques peuvent être des incertitudes ou des opportunités et ils correspondent généralement aux problèmes clés qui préoccupe la direction.</t>
    </r>
  </si>
  <si>
    <t xml:space="preserve">Risques liés à la mission sociale </t>
  </si>
  <si>
    <t>Risques liés à la mission commerciale</t>
  </si>
  <si>
    <t xml:space="preserve">Risque de dépendance financière </t>
  </si>
  <si>
    <t xml:space="preserve">Risque d’image ou réputation </t>
  </si>
  <si>
    <t>Mauvaise qualité de service</t>
  </si>
  <si>
    <t>Conflits d’intérêts</t>
  </si>
  <si>
    <t>C’est le risque pour une institution de fournir un service financier non adapté sur le marché et donc non utilisé par les consommateurs</t>
  </si>
  <si>
    <t xml:space="preserve">C’est le risque pour une institution de fournir des services financiers de manière à permettre à l'organisation de se pérenniser et devenir autosuffisante. </t>
  </si>
  <si>
    <t>Concentration des ressources sur un ou plusieurs déposants</t>
  </si>
  <si>
    <t>Risque influant de manière négative à la réputation ou à l’image de l’institution</t>
  </si>
  <si>
    <t>Démotivation du personnel, dégradation du climat social et de la santé physique</t>
  </si>
  <si>
    <t>Un conflit d’intérêts apparaît quand un individu ou une organisation doit gérer plusieurs liens d'intérêts qui s’opposent, dont au moins un est susceptible de corrompre la motivation à agir sur les autres, ou au moins de donner cette impression.</t>
  </si>
  <si>
    <t>Toute action qui influence négativement à la qualité de service</t>
  </si>
  <si>
    <r>
      <t xml:space="preserve">Risques de Liquidité :
</t>
    </r>
    <r>
      <rPr>
        <sz val="11"/>
        <rFont val="Calibri "/>
      </rPr>
      <t>Le risque de liquidité entreprise désigne donc généralement le risque de rupture de trésorerie, c’est-à-dire l’incapacité d’une entreprise à faire face à ses engagements à court terme.</t>
    </r>
  </si>
  <si>
    <t xml:space="preserve">Risque de liquidité investisseur </t>
  </si>
  <si>
    <t xml:space="preserve">Risque de liquidité Entreprise </t>
  </si>
  <si>
    <t>C’est au cas où l’institution fait face à un retrait massif de ses clients épargnants</t>
  </si>
  <si>
    <t>L'absence d'un "matelas de sécurité" suffisant pour couvrir l'ensemble des dépenses à gérer (notamment les plus inattendues) ;</t>
  </si>
  <si>
    <t>Une difficulté à trouver les financements nécessaires sur le marché du crédit ou sur les marchés financiers pour faire face aux besoins de trésorerie de sa clientèle.</t>
  </si>
  <si>
    <r>
      <t xml:space="preserve">Risques réglementaires :
</t>
    </r>
    <r>
      <rPr>
        <sz val="11"/>
        <rFont val="Calibri "/>
      </rPr>
      <t>Les risques auxquels l’institution fait face à une méconnaissance des exigences de la réglementation ou bien exposée à des sanctions légales ou pécuniaires.</t>
    </r>
  </si>
  <si>
    <t>Sanctions légales et pécuniaires</t>
  </si>
  <si>
    <t>Risques de non-conformité réglementaire</t>
  </si>
  <si>
    <r>
      <t xml:space="preserve">Risques exogénes ou externes :
</t>
    </r>
    <r>
      <rPr>
        <sz val="11"/>
        <rFont val="Calibri "/>
      </rPr>
      <t>Ce sont les risques dits exogénes dont l’institution n’a pas la maitrise et qui peuvent surgir à n’importe quelle situation</t>
    </r>
  </si>
  <si>
    <t>Taux de criminalité, taux de mortalité, niveau d’éducation des clients.</t>
  </si>
  <si>
    <t xml:space="preserve">Risques sociodémographiques </t>
  </si>
  <si>
    <t>Risques macroéconomiques et politiques</t>
  </si>
  <si>
    <t>Mauvaise conjoncture économique, dévaluation, guerre civile…</t>
  </si>
  <si>
    <t xml:space="preserve">Risques liés à l’environnement physique </t>
  </si>
  <si>
    <t>Dépréciation du taux de change</t>
  </si>
  <si>
    <t>Intempérie, Absence de route, téléphone, électricité.</t>
  </si>
  <si>
    <t>• Radiation de créances non effectuée sur les comptes de charge appropriés</t>
  </si>
  <si>
    <t xml:space="preserve">9
○→ MARKETING &amp; PRODUITS
</t>
  </si>
  <si>
    <t>Procéder à l'adjudication des garanties pour solder une créance sans disposer des Etats de droits réels</t>
  </si>
  <si>
    <t>MANAGEMENT / CONTRÔLE INTERNE</t>
  </si>
  <si>
    <t>Vérifier l'authenticité des pièces d'identité et s'assurer qu'elles ne sont pas expirées</t>
  </si>
  <si>
    <t>CC / RR / CA</t>
  </si>
  <si>
    <t>RMCC</t>
  </si>
  <si>
    <t>Non respect de la procédure des avances/accomptes sur salaires</t>
  </si>
  <si>
    <t>Dépassement du seuil réglementaire fixé à 2.000.000 francs CFA lors de la réalisation d'une ou plusieurs opérations.</t>
  </si>
  <si>
    <t>Risque de non-conformité
Risque réglementaire
Risque d'image
Risque de pertes financières</t>
  </si>
  <si>
    <t>Paramétrer le système d'information de sorte à bloquer toutes opérations cumulées ou unique à 2.000.000 francs CFA lors de la réalisation des opérations par la clientèle.</t>
  </si>
  <si>
    <t>Resp Digital &amp; Partenariat
Resp IT
Conformité</t>
  </si>
  <si>
    <t>Rupture d'activité suite à un dysfonctionnement du système d'information (bugg)</t>
  </si>
  <si>
    <t xml:space="preserve"> - Informer la clientèle pour éviter tout mécontentement
 - participer à la résolution du dysfonctionnement
 - faire le suivi du traitement réalisé</t>
  </si>
  <si>
    <t>Inexistence ou non mise à jour d'un fichier des immobilisations</t>
  </si>
  <si>
    <t>Non-respect de la procédure de gestion des sorties et cessions d'immobilisations</t>
  </si>
  <si>
    <t>Vol</t>
  </si>
  <si>
    <t>S'assurer du respect de la procédure</t>
  </si>
  <si>
    <t>CONTRÔLE PERMANENT ET CONFORMITE</t>
  </si>
  <si>
    <t>Absence de mise en place et monitoring du contrôle de niveau 1</t>
  </si>
  <si>
    <t>Mettre en place le contrôle de niveau 1</t>
  </si>
  <si>
    <t>Inexistence d'un plan annuel de contrôle et d'audit</t>
  </si>
  <si>
    <t>Elaborer et faire approuver les plans de contrôle chaque début d'année</t>
  </si>
  <si>
    <t>Incomplétude des dossiers d'ouverture de compte</t>
  </si>
  <si>
    <t>S'assurer dès l'entrée en relation de la complétude des dossiers d'ouverture de compte</t>
  </si>
  <si>
    <t>CC/CA</t>
  </si>
  <si>
    <t>Absence de liste des clients décédés</t>
  </si>
  <si>
    <t>Mettre en place une liste exhaustive des clients décédés</t>
  </si>
  <si>
    <t>Mauvaise gestion des comptes des clients décédés</t>
  </si>
  <si>
    <t>Absence de mise à jour du registre de l'employeur</t>
  </si>
  <si>
    <t>Mettre à jour systématiquement le registre d'employeur</t>
  </si>
  <si>
    <t>Défaut de réalisation du PIC pour les nouveaux entrants</t>
  </si>
  <si>
    <t>Etablir et exécuter un planning d'immersion pour les nouveaux rentrants</t>
  </si>
  <si>
    <t>Non-respect du dress code par le personnel</t>
  </si>
  <si>
    <t>Risque opérationnel, d'image</t>
  </si>
  <si>
    <t>Sensibiliser le personnel sur le respect du dress code/Faire des sessions de rappel</t>
  </si>
  <si>
    <t>Risque d'inadéquation entre le profil recherché et le besoin réel
Risque de recrutement arbitraire</t>
  </si>
  <si>
    <t>Réaliser les reconciliations quotidiennement</t>
  </si>
  <si>
    <t>Non réalisation d'une étude de marché préalable à la création d'un nouveau produit/service et nécessaire à la compréhension du besoin identifié et l’identification des pistes et options des solutions</t>
  </si>
  <si>
    <t>Risque de perte financière
Risque lié à la mission commerciale</t>
  </si>
  <si>
    <t>Réaliser une étude de marché avant toute mise en place d'un nouveau produit/service</t>
  </si>
  <si>
    <t>DEX/R.MCC</t>
  </si>
  <si>
    <t>Absence de fiche de produit validée pour une nouvelle offre de produit/service</t>
  </si>
  <si>
    <t xml:space="preserve">
Risque opérationnel</t>
  </si>
  <si>
    <t>Absence de validation par les personnes habilitées d'une création graphique</t>
  </si>
  <si>
    <t>MCC</t>
  </si>
  <si>
    <t>Mauvaise gestion des supports de communication et matériels promotionnels</t>
  </si>
  <si>
    <t xml:space="preserve">
Risque de perte, vols, dégradation</t>
  </si>
  <si>
    <t>Faire un suivi adéquat des supports de communication et matériels promotionnels</t>
  </si>
  <si>
    <t>Absence de politique en matière RSE</t>
  </si>
  <si>
    <t>Absence de suivi Passage en perte (write-off)</t>
  </si>
  <si>
    <t>16
○→ CREDIT &amp; RISQUES
○→ RECOUVREMENT</t>
  </si>
  <si>
    <t>12
○→ PRODUITS DIGITAUX &amp; CHANGE
○→  FINANCES &amp; REPORTING
○→ OPERATIONS &amp; TRANSFERT
○→ JURIDIQUE &amp; CONTENTIEUX
○→ AGENCES
○→  IT
○→ GOUV &amp; CI
○→  RESSOURCES HUMAINES
○→ ACHAT LOGIST
○→ CONFORMITE</t>
  </si>
  <si>
    <t>RISQUES OPERATIONNELS A FORT IMPACT BUSINESS</t>
  </si>
  <si>
    <t>Gestion de la cybersécurité</t>
  </si>
  <si>
    <t xml:space="preserve">Fraud par comprimission d'un mail professionnel par </t>
  </si>
  <si>
    <t>activation de la MFA, Geolocalisation de adresse mail, activation du DMARC sur le domaine, campagne de sensibilisation</t>
  </si>
  <si>
    <t>RSSI</t>
  </si>
  <si>
    <t>Fraud par intrusion externe dans le SI</t>
  </si>
  <si>
    <t>Scan de vulnérabilité externe effectuée chaque mois, mise en place de règles strictes avant exposition d'une application sur internet, surveillance reseaux 24/7 *365, revue des paramètres</t>
  </si>
  <si>
    <t xml:space="preserve">Exflitration de données par ronçongiciel </t>
  </si>
  <si>
    <t xml:space="preserve">renforcement Anti-virus, sensibilisation, surveillance des flux réseau, </t>
  </si>
  <si>
    <t>Compromission d'un poste de travail via mail phishing</t>
  </si>
  <si>
    <t>Sensibilisation, renfoncement anti virus, application du moindre privilège sur les machines utilisateurs, surveillance des mouvement lateraux par le soc</t>
  </si>
  <si>
    <t xml:space="preserve">• Absence de plan d'action commerciale et stratégique pour le développement des produits de COFINA </t>
  </si>
  <si>
    <t>Absence de formation des utilisateurs (INTERNES)d'un nouveau produit/service</t>
  </si>
  <si>
    <t xml:space="preserve">• Absence de prélévement des frais de tenue de compte pour défaut de provision (Manque de suivi sur la gestion de la clientèle), Perte de revenus </t>
  </si>
  <si>
    <r>
      <rPr>
        <b/>
        <sz val="11"/>
        <color rgb="FFFF0000"/>
        <rFont val="Calibri"/>
        <family val="2"/>
        <scheme val="minor"/>
      </rPr>
      <t>CC / RR / CA</t>
    </r>
    <r>
      <rPr>
        <b/>
        <sz val="11"/>
        <color rgb="FF00B050"/>
        <rFont val="Calibri"/>
        <family val="2"/>
        <scheme val="minor"/>
      </rPr>
      <t xml:space="preserve">
IT</t>
    </r>
  </si>
  <si>
    <r>
      <t>AGENCE</t>
    </r>
    <r>
      <rPr>
        <b/>
        <sz val="11"/>
        <color rgb="FFFF0000"/>
        <rFont val="Calibri"/>
        <family val="2"/>
        <scheme val="minor"/>
      </rPr>
      <t>/OPS</t>
    </r>
    <r>
      <rPr>
        <b/>
        <sz val="11"/>
        <color rgb="FF00B050"/>
        <rFont val="Calibri"/>
        <family val="2"/>
        <scheme val="minor"/>
      </rPr>
      <t xml:space="preserve">
RISQUE</t>
    </r>
  </si>
  <si>
    <r>
      <t>AGENCE/</t>
    </r>
    <r>
      <rPr>
        <b/>
        <sz val="11"/>
        <color rgb="FFFF0000"/>
        <rFont val="Calibri"/>
        <family val="2"/>
        <scheme val="minor"/>
      </rPr>
      <t>OPS</t>
    </r>
    <r>
      <rPr>
        <b/>
        <sz val="11"/>
        <color rgb="FF00B050"/>
        <rFont val="Calibri"/>
        <family val="2"/>
        <scheme val="minor"/>
      </rPr>
      <t>/CONTRÔLE/ RISQUE</t>
    </r>
  </si>
  <si>
    <r>
      <t>CC /</t>
    </r>
    <r>
      <rPr>
        <b/>
        <sz val="11"/>
        <color rgb="FFFF0000"/>
        <rFont val="Calibri"/>
        <family val="2"/>
        <scheme val="minor"/>
      </rPr>
      <t xml:space="preserve"> RR / CA/ </t>
    </r>
    <r>
      <rPr>
        <b/>
        <sz val="11"/>
        <color rgb="FF92D050"/>
        <rFont val="Calibri"/>
        <family val="2"/>
        <scheme val="minor"/>
      </rPr>
      <t>MONETIQUE</t>
    </r>
  </si>
  <si>
    <t>• Modification de type de compte dans le SI (Compte courant en compte épargne)</t>
  </si>
  <si>
    <t>CC / RR / CA/Archive</t>
  </si>
  <si>
    <t>CC / RR / CA/IT</t>
  </si>
  <si>
    <t>CC / RR / CA/ CREDIT</t>
  </si>
  <si>
    <t>CC / Superviseur clientèle / CA</t>
  </si>
  <si>
    <t>OUI(la frèquence de l'approvisionnement des caisses est faible)</t>
  </si>
  <si>
    <t>OPS/Chef D'agence / Chef Caisse</t>
  </si>
  <si>
    <t>OUI (mais l'alerte SMS n'est pas fonctionnel pour le moment)</t>
  </si>
  <si>
    <t>Chef D'agence / Superviseur/ Contrôle</t>
  </si>
  <si>
    <t>OUI (Dysfonctionnement du dispositif de détecteur de fumée en place (Inventaire en cours pour régulariser le dysfonctionnement)</t>
  </si>
  <si>
    <t>IT/Achat Logistique</t>
  </si>
  <si>
    <t>Contrôle interne/CA</t>
  </si>
  <si>
    <t>OUI(il faudra vérifier si c'est disponible dans tous les agences)</t>
  </si>
  <si>
    <t>Mauvaise gestion des prêts octroyés au personnel (non respect de la quotité cessible, échéance non prélevée…)</t>
  </si>
  <si>
    <t>• Non-conformité règlementaire des traitements salariaux (grille convention collective APSFD)</t>
  </si>
  <si>
    <t>Exixtance de solde de congés supérieurs à la norme</t>
  </si>
  <si>
    <t>Perturbation/baisse de rendement</t>
  </si>
  <si>
    <t>• Rejet tardif  de la banque partenaire sur le sort d'un cheque apres comptabilisation dans nos livres</t>
  </si>
  <si>
    <t xml:space="preserve">• Absence de  prélévements des frais de remises cheques </t>
  </si>
  <si>
    <t xml:space="preserve">Risques de pertes financieres </t>
  </si>
  <si>
    <t xml:space="preserve">Contrôle de 1e niveau a J pour toutes les operations de remise cheque </t>
  </si>
  <si>
    <t xml:space="preserve">Non (le contrôle n'est fait a la validation de la comptabilisation dans le SI </t>
  </si>
  <si>
    <t>resp .OPS</t>
  </si>
  <si>
    <t>• Comptabilisation des remises chèques sans attendre le sort définitif du chèque par la banque (OD)</t>
  </si>
  <si>
    <t>Contrôle de 1e niveau à J pour toutes les opérations de remise de chéque</t>
  </si>
  <si>
    <t xml:space="preserve">NON ( LE CONTRÖLE EST FAIT MAIS PAS J) UN CONTRÔLE N'est PAS FAIT LORS DE LA VALIDATION DE L'INTEGRATION </t>
  </si>
  <si>
    <t>Resp. OPS/FINANCES</t>
  </si>
  <si>
    <t xml:space="preserve">Pertes opérationnelles, Fraude,risques financiers </t>
  </si>
  <si>
    <t xml:space="preserve">Contrôle de 1er niveau à J pour toutes les opérations passées dans le SI/le système ne permet plus de loger un virement dans un compte inapproprie si le code agence est different;mise en place d'un compte de desequilibre du bilan </t>
  </si>
  <si>
    <t>Contrôle de 1er niveau à J+1 pour toutes les opérations passées dans le SI</t>
  </si>
  <si>
    <t>Contrôle de 2e niveau à J+1 pour toutes les Libérations de dépôt effectués dans le SI</t>
  </si>
  <si>
    <t>Resp. OPS/CREDIT</t>
  </si>
  <si>
    <t>Veiller à la conformité des traites et s'assurer de l'absence de faux homonymes.Calls back effectué</t>
  </si>
  <si>
    <t xml:space="preserve">Absence de réconciliations sur les transactions B2W /W2B </t>
  </si>
  <si>
    <t xml:space="preserve">Absence de réconciliation des transactions OM/WAVE </t>
  </si>
  <si>
    <t xml:space="preserve">S'assurer que tous les ordres de virements  soit validés par le chef d'agence </t>
  </si>
  <si>
    <t>• Mauvaise comptabilisation des DAT  dans le SI</t>
  </si>
  <si>
    <t>Contrôle de 1e niveau à J pour la saisies des garanties ;verifier le taux  pour toutes les Libérations de DAT effectués dans le SI</t>
  </si>
  <si>
    <t>Les seuils de validation sont paramétrés dans créditflow par Crédit Officers à l'exception des restructurations dont la cinématique n'est pas pris en compte</t>
  </si>
  <si>
    <t xml:space="preserve">Veiller à procéder aux annulations de prêt ayant une ancienneté de plus de 3 mois pour éviter l'enregistrement des produits fictifs
</t>
  </si>
  <si>
    <t>Absence de communication et de validation préalable avec le client sur les condtions du crédit avant la mise en place</t>
  </si>
  <si>
    <t>Mise en place crédit sans plan de décaissement</t>
  </si>
  <si>
    <t>Absence de visibilité de la Direction crédit sur les dossiers niveau agence et RZ</t>
  </si>
  <si>
    <t>Le niveau de validation de ces produits est réservé exclusivement au DG;
Exclusion des clients en impayés pour ces produits;
Exclusion des clients n'ayant pas encore remboursé au moins 30% de l'encours du crédit classique;
Refonte du dispositif d'octroi des cofi-express (30% pour cofi-express et 40% pour spot)</t>
  </si>
  <si>
    <t>Existence d'un dispositif de vérification auprés du payeur final
Visite terrain par le contrôle de 1e, 2e et 3e niveau.</t>
  </si>
  <si>
    <t>Absence d'établissement de lien juridique ou de propriété entre le client et l'activité déclarer par ce dernier</t>
  </si>
  <si>
    <t>Obligation de call back systématique avec confirmation auprés du payeur final</t>
  </si>
  <si>
    <t>Systéme d'archivage electronique gerer par créditflow</t>
  </si>
  <si>
    <t>Inventaire exhaustif des dossiers de crédit au niveau central avec documentation.</t>
  </si>
  <si>
    <t>Existence d'un dispositif de plusieurs niveaux de contrôle</t>
  </si>
  <si>
    <t>Vérification à J+1 par les vérificateurs post déblocage</t>
  </si>
  <si>
    <t xml:space="preserve">Les PV sont signés et classés dans le dossier de prêt via créditflow
</t>
  </si>
  <si>
    <t>Formalisation systématique des garanties avant mise en place
Vérifacation effectuée par les vérificateurs post déblocage</t>
  </si>
  <si>
    <t>Garanties gérées par le juridique</t>
  </si>
  <si>
    <t>Contre vérification obligatoire pour tout dossiers jusqu'à 7M
Contre évaluation obligatoire des dossiers comités par les analystes crédit</t>
  </si>
  <si>
    <t>L'outil de gestion et d'instruction des dossiers de crédit créditflow prend en compte le nombre de comptes dont dispose un client</t>
  </si>
  <si>
    <t>Monitoring de suivi strict conformément à la politique de recouvrement et suivi des impayés</t>
  </si>
  <si>
    <t>Suivi assurer par le risque</t>
  </si>
  <si>
    <t>Obligation de signature des clients avant restructuration
Vérification et suivi assurer au niveau du risque</t>
  </si>
  <si>
    <t>Obligation de signature des clients avant décalage
Vérification et suivi assurer au niveau du risque</t>
  </si>
  <si>
    <t>Existence d'un planning (6mois) de verification et de suivi des garanties pour s'assurer de leurs exhaustivitées</t>
  </si>
  <si>
    <t>Vérification de la disponibilité et de l'authenticité des garanties par les vérificateur post déblocage</t>
  </si>
  <si>
    <t>Obligation de la complétude de la documentation (PV de justice ...) avant de passer les écritures</t>
  </si>
  <si>
    <t>Digitalisation en cours</t>
  </si>
  <si>
    <t>Absence de ventillation des immobilisations par site</t>
  </si>
  <si>
    <t>existence d'écarts entre le fichier extra comptable des immobilisations et la comptabilité</t>
  </si>
  <si>
    <t>Non respect des inventaires annuels</t>
  </si>
  <si>
    <t>Absence d'une procédure d'encadrement des clôtures</t>
  </si>
  <si>
    <t>SUIVI BUDGETAIRE</t>
  </si>
  <si>
    <t>Absence de déclaration des commissions liées à certaines activités hors épargne et crédit</t>
  </si>
  <si>
    <t>Absence d'un suivi budgétaire par département</t>
  </si>
  <si>
    <t>Gestion du SI FLEXCUBE</t>
  </si>
  <si>
    <t>• Indisponibilité du SIG (FLEXCUBE)</t>
  </si>
  <si>
    <t>• Défaillances du CBS (dysfonctionnement) identifiées non corrigées</t>
  </si>
  <si>
    <t>NON(absence de procédure d'approvisionnement)</t>
  </si>
  <si>
    <t>OPS/FINANCE</t>
  </si>
  <si>
    <t>RESP MONETIQUE</t>
  </si>
  <si>
    <t>RESP MONETIQUE /CC</t>
  </si>
  <si>
    <t>NON(absence d'onglet sur la plateforme)</t>
  </si>
  <si>
    <t>RESP monetique/IT</t>
  </si>
  <si>
    <t>CC/RESP MONETIQUE</t>
  </si>
  <si>
    <t>CC/CONFORMITE</t>
  </si>
  <si>
    <t>CC/Partenariat/Conformité</t>
  </si>
  <si>
    <t>Absence de débit ou crédit lors des opérations B2W et/ou W2B</t>
  </si>
  <si>
    <t>Paramétrer le système de sorte que les opèrations  B2W W2B soient comptabiliser normalement dans le système</t>
  </si>
  <si>
    <t>IT/OPS</t>
  </si>
  <si>
    <t>IT/DMCC</t>
  </si>
  <si>
    <t>OPS/IT</t>
  </si>
  <si>
    <t>CC/IT</t>
  </si>
  <si>
    <t>Erreur de saisie du numéro du compte mobile money lors de la réalisation de l'opération de dépôt à partir du compte du client domicilié dans les livres de COFINA SN</t>
  </si>
  <si>
    <t>CC/IT/OPS</t>
  </si>
  <si>
    <t>CC/OPS</t>
  </si>
  <si>
    <t>CC/DMCC/OPS</t>
  </si>
  <si>
    <t>• Risque lié aux difficultés de localisation des clients (changement d'adresse, de coordonnées) pouvant entrainer des difficultés de recouvrement et des pertes financières pour COFINA SN</t>
  </si>
  <si>
    <t>Formalisation du protocole d'accord</t>
  </si>
  <si>
    <r>
      <t xml:space="preserve">Mauvaise localisation du bien garanti, immeubles construits sur des titres précaires, </t>
    </r>
    <r>
      <rPr>
        <sz val="11"/>
        <color theme="1"/>
        <rFont val="Calibri"/>
        <family val="2"/>
        <scheme val="minor"/>
      </rPr>
      <t>perte d'emploi pour des particuliers salariés, garantie pris sur des actifs non éligibles par la règlementation</t>
    </r>
  </si>
  <si>
    <t>S'assurer que toutes les garanties qui ont fait objet d'appel à adjudication pour solder la créance du client, l'institution a reçu les EDR et certificat dinscription  hypothécaire en son nom avant de procéder à l'opération</t>
  </si>
  <si>
    <t xml:space="preserve">Risque financier, risque opérationnel, fraude
</t>
  </si>
  <si>
    <t>Non reversement ou reversement tardive de collecte effectué par les avocats</t>
  </si>
  <si>
    <t>Faire un suivi régulier sur le recouvrement effectué</t>
  </si>
  <si>
    <t>Non respect des délais de tenue des sessions des organces délibérants (AG, CA d'arreté des comptes</t>
  </si>
  <si>
    <t>Absence de formalisation des décisions (Nomination, changement de statut, augmentation de capital)</t>
  </si>
  <si>
    <t>Mettre en place un tableau de bord de sur la gouvernance</t>
  </si>
  <si>
    <t>Absence de fournisseur ou d'évaluation de fournisseur agréer</t>
  </si>
  <si>
    <t>risque fraude/Vol</t>
  </si>
  <si>
    <t xml:space="preserve">difficulté de faire le suivi </t>
  </si>
  <si>
    <t>ACHAT &amp; LOGISTIQUE/RH</t>
  </si>
  <si>
    <t>ANALYSE DES RISQUES OPERATIONNELS - INNOVATION &amp; PARTENARIAT</t>
  </si>
  <si>
    <t>INNOVATION ET PARTENARIAT</t>
  </si>
  <si>
    <t>Identification partenaires</t>
  </si>
  <si>
    <t>Sélection d’un partenaire non fiable</t>
  </si>
  <si>
    <t>Risque financier et réputationnel</t>
  </si>
  <si>
    <r>
      <rPr>
        <b/>
        <sz val="11"/>
        <rFont val="Calibri"/>
        <family val="2"/>
        <scheme val="minor"/>
      </rPr>
      <t>Charte partenariale</t>
    </r>
    <r>
      <rPr>
        <sz val="11"/>
        <rFont val="Calibri"/>
        <family val="2"/>
        <scheme val="minor"/>
      </rPr>
      <t xml:space="preserve"> : Document de référence d'ethique et de valeurs
</t>
    </r>
    <r>
      <rPr>
        <b/>
        <sz val="11"/>
        <rFont val="Calibri"/>
        <family val="2"/>
        <scheme val="minor"/>
      </rPr>
      <t>Politique de partenariat</t>
    </r>
    <r>
      <rPr>
        <sz val="11"/>
        <rFont val="Calibri"/>
        <family val="2"/>
        <scheme val="minor"/>
      </rPr>
      <t xml:space="preserve">: Document de référence à la fois stratégique et opérationnel qui permet de s'assurer d'un alignement sur des objectifs communs
</t>
    </r>
    <r>
      <rPr>
        <b/>
        <sz val="11"/>
        <rFont val="Calibri"/>
        <family val="2"/>
        <scheme val="minor"/>
      </rPr>
      <t xml:space="preserve">Politique de crédit: </t>
    </r>
    <r>
      <rPr>
        <sz val="11"/>
        <rFont val="Calibri"/>
        <family val="2"/>
        <scheme val="minor"/>
      </rPr>
      <t>Document de réference en matiere d'octroi de crédit</t>
    </r>
  </si>
  <si>
    <t xml:space="preserve">Existant
En cours
Existant
</t>
  </si>
  <si>
    <t>Responsable département</t>
  </si>
  <si>
    <t>Partenaire impliqué dans des activités illicites</t>
  </si>
  <si>
    <t>Sanctions réglementaires</t>
  </si>
  <si>
    <t>Risque de non confirmité</t>
  </si>
  <si>
    <r>
      <rPr>
        <b/>
        <sz val="10"/>
        <rFont val="Calibri"/>
        <family val="2"/>
        <scheme val="minor"/>
      </rPr>
      <t xml:space="preserve">Charte partenariale </t>
    </r>
    <r>
      <rPr>
        <sz val="10"/>
        <rFont val="Calibri"/>
        <family val="2"/>
        <scheme val="minor"/>
      </rPr>
      <t xml:space="preserve">
</t>
    </r>
    <r>
      <rPr>
        <b/>
        <sz val="10"/>
        <rFont val="Calibri"/>
        <family val="2"/>
        <scheme val="minor"/>
      </rPr>
      <t>Textes réglementaires en vigueur</t>
    </r>
  </si>
  <si>
    <t>Existant
Existant</t>
  </si>
  <si>
    <t>Analyse partenaires</t>
  </si>
  <si>
    <t>Mauvaise évaluation financière du partenaire (Défaillance du partenariat)</t>
  </si>
  <si>
    <t>Financier</t>
  </si>
  <si>
    <t>Risque Financier</t>
  </si>
  <si>
    <t>Business Case à valider avec la finance</t>
  </si>
  <si>
    <t>Elaboré selon le projet</t>
  </si>
  <si>
    <t>Cheffe pole partenariat</t>
  </si>
  <si>
    <t>Sélection partenaires</t>
  </si>
  <si>
    <t>Partenaire non aligné avec la stratégie (Critères stratégiques absents, Partenariat inefficace)</t>
  </si>
  <si>
    <t>Stratégique</t>
  </si>
  <si>
    <t>Charte partenariale 
Politique de partenariat
Document de stratégie innovation &amp; partenariat</t>
  </si>
  <si>
    <t>Existant
Existant
Existant</t>
  </si>
  <si>
    <t>Négociation</t>
  </si>
  <si>
    <t>Clauses contractuelles défavorables (Faible implication du juridique)</t>
  </si>
  <si>
    <t>Litiges ou pertes financières
Risque Juridique</t>
  </si>
  <si>
    <t xml:space="preserve">Conventions et contrats soumis systématiquement au juridique
Document de stratégie innovation &amp; partenariat </t>
  </si>
  <si>
    <t>Absence de contrat formel (Partenariat informel)</t>
  </si>
  <si>
    <t>Signature partenariat</t>
  </si>
  <si>
    <t>Engagement financier mal estimé (Analyse budgétaire insuffisante)</t>
  </si>
  <si>
    <t>Dépassement budgétaire</t>
  </si>
  <si>
    <t>Business Case à valider avec la finance
Document de stratégie innovation &amp; partenariat 
Projet de budget validé</t>
  </si>
  <si>
    <t>Elaboré selon le projet
Existant
Existant</t>
  </si>
  <si>
    <t>Gestion partenariat</t>
  </si>
  <si>
    <t>Non-respect des engagements du partenaire (Suivi contractuel insuffisant)</t>
  </si>
  <si>
    <t>Retard des projets</t>
  </si>
  <si>
    <t xml:space="preserve">Comité de suivi et d'évaluation des partenariats
Proposition d'un avenant
Dénonciation et résiliation </t>
  </si>
  <si>
    <t>Existant
Selon le partenariat
Selon le partenariat</t>
  </si>
  <si>
    <t>Conflit d’intérêt dans la sélection (Manque de transparence)</t>
  </si>
  <si>
    <t>Atteinte à la réputation</t>
  </si>
  <si>
    <t>Charte partenariale 
Politique de partenariat</t>
  </si>
  <si>
    <t>Dépendance excessive à un partenaire (Manque de diversification)</t>
  </si>
  <si>
    <t>Vulnérabilité stratégique</t>
  </si>
  <si>
    <t>Politique de partenariat
Document de stratégie innovation &amp; partenariat</t>
  </si>
  <si>
    <t>Pilotage et Suivi  projets</t>
  </si>
  <si>
    <t>Retard dans la mise en œuvre (Planification insuffisante)</t>
  </si>
  <si>
    <t>Perte d’opportunités</t>
  </si>
  <si>
    <r>
      <rPr>
        <b/>
        <sz val="10"/>
        <rFont val="Calibri"/>
        <family val="2"/>
        <scheme val="minor"/>
      </rPr>
      <t>Note de cadrage</t>
    </r>
    <r>
      <rPr>
        <sz val="10"/>
        <rFont val="Calibri"/>
        <family val="2"/>
        <scheme val="minor"/>
      </rPr>
      <t xml:space="preserve">: définition du périmetre du projet
</t>
    </r>
    <r>
      <rPr>
        <b/>
        <sz val="10"/>
        <rFont val="Calibri"/>
        <family val="2"/>
        <scheme val="minor"/>
      </rPr>
      <t>Document de planification opérationnelle</t>
    </r>
    <r>
      <rPr>
        <sz val="10"/>
        <rFont val="Calibri"/>
        <family val="2"/>
        <scheme val="minor"/>
      </rPr>
      <t>: suivi et exécution du projet</t>
    </r>
  </si>
  <si>
    <t>Selon le projet
Selon le projet</t>
  </si>
  <si>
    <t>Dépassement du budget (Suivi financier faible)</t>
  </si>
  <si>
    <t>Impact sur la rentabilité</t>
  </si>
  <si>
    <t xml:space="preserve">Projet de budget validé
Arbitrage et validation du dépassement par la direction financiére et </t>
  </si>
  <si>
    <t>Existant
Selon le projet</t>
  </si>
  <si>
    <t>Mauvaise coordination des projets (Gouvernance insuffisante)</t>
  </si>
  <si>
    <t>Echec des projets</t>
  </si>
  <si>
    <t>Note de cadrage
Document de stratégie innovation &amp; partenariat</t>
  </si>
  <si>
    <t>Selon le projet
Existant</t>
  </si>
  <si>
    <t>Absence d’indicateurs de performance (Outils de suivi inexistants)</t>
  </si>
  <si>
    <t>Difficulté d’évaluation</t>
  </si>
  <si>
    <t>Document de planification opérationnelle</t>
  </si>
  <si>
    <t>Selon le projet</t>
  </si>
  <si>
    <t>Innovation digitale</t>
  </si>
  <si>
    <t>Défaillance technologique (Infrastructure IT insuffisante)</t>
  </si>
  <si>
    <t>Interruption des services</t>
  </si>
  <si>
    <t>Risque technologique</t>
  </si>
  <si>
    <t xml:space="preserve">Note de cadrage
Document de planification opérationnelle
Document de stratégie innovation &amp; partenariat
Coordination inter-métiers </t>
  </si>
  <si>
    <t>Selon le projet
Selon le projet
Selon le projet
Selon le projet</t>
  </si>
  <si>
    <t>chef pole innovation</t>
  </si>
  <si>
    <t>Cyberattaque (Sécurité informatique faible)</t>
  </si>
  <si>
    <t>Perte de données</t>
  </si>
  <si>
    <t>Gestion données</t>
  </si>
  <si>
    <t>Fuite de données (Protection insuffisante)</t>
  </si>
  <si>
    <t>Risque réputationnel</t>
  </si>
  <si>
    <t>Données de mauvaise qualité (Base de données non fiable)</t>
  </si>
  <si>
    <t>Décisions erronées</t>
  </si>
  <si>
    <t>Financement projets</t>
  </si>
  <si>
    <t>Mauvaise utilisation des fonds</t>
  </si>
  <si>
    <t>Document de planification financiere 
Coordination inter-métiers finance et trésorier</t>
  </si>
  <si>
    <t>Non-respect des exigences bailleurs (Gestion inadéquate)</t>
  </si>
  <si>
    <t>Suspension financement</t>
  </si>
  <si>
    <t xml:space="preserve">Comité de suivi des partenariats
Coordination inter-métiers </t>
  </si>
  <si>
    <t>Mauvaise communication des partenariats (Coordination insuffisante)</t>
  </si>
  <si>
    <t>Atteinte à l’image
Risque réputationnel</t>
  </si>
  <si>
    <t>Accord de confidentialité
Contractualisation des initiatives de communication</t>
  </si>
  <si>
    <t>Gouvernance innovation</t>
  </si>
  <si>
    <t>Absence de stratégie d’innovation (Manque de vision)</t>
  </si>
  <si>
    <t>Projets inefficaces</t>
  </si>
  <si>
    <t>Document de stratégie innovation &amp; partenariat</t>
  </si>
  <si>
    <t>Mauvaise priorisation des projets (Gouvernance faible)</t>
  </si>
  <si>
    <t>Perte de ressources</t>
  </si>
  <si>
    <t>INNOVATION ET PARTENARIATS</t>
  </si>
  <si>
    <t>RGC</t>
  </si>
  <si>
    <t>Veuiller au versement des frais apres ouverture compte .</t>
  </si>
  <si>
    <t>Vérification  des originaux des statuts et pv nomination du gérant ou du Directeur Général pour les SA ; SARL ; SUARL</t>
  </si>
  <si>
    <t>CC/RGC</t>
  </si>
  <si>
    <t>Absence de suivi des clients décédés</t>
  </si>
  <si>
    <t>Mettre en place une liste exhaustive des clients décédés.S'assurer de la correcte gestion des comptes des clients décédés</t>
  </si>
  <si>
    <t>• Ouverture ou fermeture incomplète des comptes dans le SI  (comptes en instance d'ouverture, comptes à valider, demande clôture, à clôturer)</t>
  </si>
  <si>
    <t>Ne pas valider à l'ouverture du compte dans le SI en cas de dossier incomplet</t>
  </si>
  <si>
    <t xml:space="preserve"> Proceder a l'évacuation des dossiers aux archives  et s'assurer d'un systéme d'archivage efficace pour tous les dossiers sans exception</t>
  </si>
  <si>
    <t xml:space="preserve">Veiller à respecter rigoureusement la procédure </t>
  </si>
  <si>
    <t xml:space="preserve">Veiller à une confirmation supplémentaire des modifications (présence du client obligatoire en agence) avant validation dans le SI </t>
  </si>
  <si>
    <t>Assurer un suivi ou monitoring via  crédit flow de toutes les demandes de prêt</t>
  </si>
  <si>
    <t>CC/RGC/RH</t>
  </si>
  <si>
    <t>RESP EPS</t>
  </si>
  <si>
    <t>Delivrance d'une attestation pour une relation ne disposant pas de compte dans nos livres</t>
  </si>
  <si>
    <t xml:space="preserve">s'assurer que la finance nous indique un compte a impacter pour le prelevement des cautions </t>
  </si>
  <si>
    <t xml:space="preserve">• Absence de prélévement des commisions de delivrance  de caution </t>
  </si>
  <si>
    <t xml:space="preserve">S'assurer du prélévement des frais avant delivrance des actes </t>
  </si>
  <si>
    <r>
      <t xml:space="preserve">Identification du client (comptes sans Photo &amp;  comptes sans signature dans le système </t>
    </r>
    <r>
      <rPr>
        <sz val="11"/>
        <rFont val="Calibri"/>
        <family val="2"/>
        <scheme val="minor"/>
      </rPr>
      <t>Flexcube</t>
    </r>
    <r>
      <rPr>
        <sz val="11"/>
        <color theme="1"/>
        <rFont val="Calibri"/>
        <family val="2"/>
        <scheme val="minor"/>
      </rPr>
      <t>)</t>
    </r>
  </si>
  <si>
    <t>Responsable Conformité</t>
  </si>
  <si>
    <t>Non enrôlement des clients dans COFINALAB</t>
  </si>
  <si>
    <t>Défaillance danst la conservation des dossiers et des documents relatifs à l'identification des clients</t>
  </si>
  <si>
    <t xml:space="preserve">Entrée en relation avec un client évoluant dans un secteur à risque ( Finance digitale et les actifs virtuels; financement participattif; les jeux de hasard; l'immobilier; les professions juridiques  indépendantes ; le sport professionnel et le commerce : location de véhicules </t>
  </si>
  <si>
    <t>Défaut de  mise à jour des procédures LBC/FT/ FP</t>
  </si>
  <si>
    <t>Procédure mis  en place conformément à la règlementation et récement mis à jour et validé par le CA le 11-07-2025</t>
  </si>
  <si>
    <t>Dysfonctionnement de l'outil d'alerte et de profilage des clients</t>
  </si>
  <si>
    <t>Non mise en oeuvre du  programme annuel de formation sur les thématiques du BC/FT/FP, l'éthique et la déontologie, la fraude…</t>
  </si>
  <si>
    <r>
      <t>Non-</t>
    </r>
    <r>
      <rPr>
        <sz val="11"/>
        <color rgb="FFFF0000"/>
        <rFont val="Calibri"/>
        <family val="2"/>
        <scheme val="minor"/>
      </rPr>
      <t xml:space="preserve">élaboration et </t>
    </r>
    <r>
      <rPr>
        <sz val="11"/>
        <color theme="1"/>
        <rFont val="Calibri"/>
        <family val="2"/>
        <scheme val="minor"/>
      </rPr>
      <t xml:space="preserve">transmission du rapport annuel de mise en oeuvre du  </t>
    </r>
    <r>
      <rPr>
        <sz val="11"/>
        <color rgb="FFFF0000"/>
        <rFont val="Calibri"/>
        <family val="2"/>
        <scheme val="minor"/>
      </rPr>
      <t>sur le</t>
    </r>
    <r>
      <rPr>
        <sz val="11"/>
        <color theme="1"/>
        <rFont val="Calibri"/>
        <family val="2"/>
        <scheme val="minor"/>
      </rPr>
      <t xml:space="preserve"> dispositif de LBC/FT/FP.</t>
    </r>
  </si>
  <si>
    <t>Non-conformité des piéces d'identité (Présence de clients ayant plusieurs pièces différentes)</t>
  </si>
  <si>
    <t>Méconnaissance et défaut de suivi de la liste des PPE</t>
  </si>
  <si>
    <r>
      <t>Défaut d'affichage du règlement intérieur dan</t>
    </r>
    <r>
      <rPr>
        <sz val="11"/>
        <color theme="1"/>
        <rFont val="Calibri"/>
        <family val="2"/>
        <scheme val="minor"/>
      </rPr>
      <t>s les locaux contrairement aux dispositions de l'Art.L 100 d</t>
    </r>
    <r>
      <rPr>
        <sz val="11"/>
        <rFont val="Calibri"/>
        <family val="2"/>
        <scheme val="minor"/>
      </rPr>
      <t>u code du travail.</t>
    </r>
  </si>
  <si>
    <t>• Identification du client (comptes sans Photo &amp;  comptes sans signature dans le système FLEXCUB)</t>
  </si>
  <si>
    <t>• Ouverture ou fermeture incomplète des comptes dans Flexcub (comptes en instance d'ouverture, comptes à valider, demande clôture, à clôturer)</t>
  </si>
  <si>
    <t>Absence de validation des annulations d'opèrations de caisse</t>
  </si>
  <si>
    <t>Risque de fraude/Vol</t>
  </si>
  <si>
    <t>Contrôle Interne/Chef agence</t>
  </si>
  <si>
    <t>Existence d'un disposirtif de suivi des réclamations</t>
  </si>
  <si>
    <t>En plus des remontées des chefs d'agence des revues semestrielle sont faites</t>
  </si>
  <si>
    <t>Mise en placed d' un plan action annuel avec des revue d'étape</t>
  </si>
  <si>
    <t>Revue semestriel sur l'affichage des conditions générales</t>
  </si>
  <si>
    <t>Mise en plance d'un planning annuel de formation de remise à niveau</t>
  </si>
  <si>
    <t>Existence d'un plannig de formation sur 2026</t>
  </si>
  <si>
    <t>Mise a jour systématique à chaque modification</t>
  </si>
  <si>
    <t>Existence d'un dispositif encadré par une politique de lancement de nouveau produit</t>
  </si>
  <si>
    <t>Procedure encadrant la prise de parole</t>
  </si>
  <si>
    <t xml:space="preserve">Existence d'une politique de formation </t>
  </si>
  <si>
    <t xml:space="preserve">Existence d'une fiche de cesssion de droit d'image </t>
  </si>
  <si>
    <t>Mise en place d'un système de mémo avec validation dela direction générale et finance</t>
  </si>
  <si>
    <t>Prélèvement automatique des FTC paramétré dans le système</t>
  </si>
  <si>
    <t>oui</t>
  </si>
  <si>
    <t>Type de document à receuillir déjà préétabli a l'aide d'une checklist</t>
  </si>
  <si>
    <t>Mise en place d'une cheklist recensant les documents à fournir</t>
  </si>
  <si>
    <t>Procedure de gestion des comptes des cleints décédés retracant les dispositions à mettre en œuvre</t>
  </si>
  <si>
    <t xml:space="preserve">Procedure a double validation mis en place avec initiateur et validateur </t>
  </si>
  <si>
    <t>Existence de procedure d'ouverture ou de fermeture de compte</t>
  </si>
  <si>
    <t>Blocage de la création des mandataires en l'absence de procuration reçues</t>
  </si>
  <si>
    <t xml:space="preserve">Création du service archve </t>
  </si>
  <si>
    <t>Mise en place d'une procédure de fermeture de compte</t>
  </si>
  <si>
    <t>Procedure d'ouverture et de fermeture des agences</t>
  </si>
  <si>
    <t>Création d'une fiche de modification des informations du client</t>
  </si>
  <si>
    <t>Mis en place de blocage système en cas d'omission d'une information KYC</t>
  </si>
  <si>
    <t>Mise en place du contrôle de niveau 1</t>
  </si>
  <si>
    <t>Diffusion d'une note de service fixant les plafond d'encaisse</t>
  </si>
  <si>
    <t>Mise a disposition de detecteurde faux billet au niveau de chaque caisse</t>
  </si>
  <si>
    <t>Validation système paramétré au niveaudu chef d'agence pour chaque opération</t>
  </si>
  <si>
    <t>suivi quotidien des caisses et des contrôles inopinés de caisse</t>
  </si>
  <si>
    <t>Procédure de gestion des clés du coffre et l'accès au coffre.</t>
  </si>
  <si>
    <t>Classement chronologique mis en place avec stokage dans unenarmoire unifuge</t>
  </si>
  <si>
    <t>Procedue de gestion du recritement existant</t>
  </si>
  <si>
    <t>Mis en place d'une checklist des documents a fournir avant le démarrage</t>
  </si>
  <si>
    <t>Mise en plae d'une politique encadrant l'activité</t>
  </si>
  <si>
    <t>Mise en place check-list départ systématiquement avec materiel a rendre</t>
  </si>
  <si>
    <t>Communication systématique sur les départ aux IT et Contrôle interne</t>
  </si>
  <si>
    <t>Existence d'un outils de gestion de la paie</t>
  </si>
  <si>
    <t>Mise n place d'une procedure d'évaluataion</t>
  </si>
  <si>
    <t>Suivi semestriel sur les évaluations</t>
  </si>
  <si>
    <t>Procedure des gestion des évaluation mis en place prenant en compte ce point</t>
  </si>
  <si>
    <t>Outils de gestion des congés existant</t>
  </si>
  <si>
    <t>Politique de sanction mis en place</t>
  </si>
  <si>
    <t>Mis en place d'un comité d'hygiène et de sécurité</t>
  </si>
  <si>
    <t>Procedue de remise exitant</t>
  </si>
  <si>
    <t>Analyse de compte élaborer chque mois</t>
  </si>
  <si>
    <t>Revue des crédits en instance de déblocage journalière</t>
  </si>
  <si>
    <t>Procedure de gestion des comptes dormant existant</t>
  </si>
  <si>
    <t>Contrôle de niveau 1 et 2 mis en place</t>
  </si>
  <si>
    <t>Existence d'une note deservice encadrant le convoyage de fond</t>
  </si>
  <si>
    <t>Procedure de gestion des coffres et caisse disponible</t>
  </si>
  <si>
    <t>Installation d'un certificat de sécurité relié à l'adresse IP</t>
  </si>
  <si>
    <t>1er niveau de vérification au niveau des admin crédit ; 
2e niveau de contrôle systématique à J+1 par les vérificateurs post-déblocage;
Checklist des documents disponible</t>
  </si>
  <si>
    <t>Risque de crédit
Risque de conformité</t>
  </si>
  <si>
    <t>risque de crédit
Risque de conformité</t>
  </si>
  <si>
    <t>Mis a jour du contrat avec toutes les informations relatives au crédit</t>
  </si>
  <si>
    <t>Seuil plafond de concentration sur un produit ou activité prévu par la politique de crédit</t>
  </si>
  <si>
    <t xml:space="preserve">Risque de fraude
</t>
  </si>
  <si>
    <t>Checklise de la documentation disponible</t>
  </si>
  <si>
    <t>Constitution d'un dossier avec garantie a l'appui</t>
  </si>
  <si>
    <t xml:space="preserve">Risque financier
</t>
  </si>
  <si>
    <t>Risque financier</t>
  </si>
  <si>
    <t>Risque opérationnels</t>
  </si>
  <si>
    <t>Procedure de ges gestion des inventaires existant</t>
  </si>
  <si>
    <t>Analyse des comptes effectué chaque mois</t>
  </si>
  <si>
    <t>Contrôle de second mis en place mensuellement</t>
  </si>
  <si>
    <t>Note de service existant limtant le plaffond des solde de congés à 72 jours</t>
  </si>
  <si>
    <t>Analyse des comptes d'attente effectué chaque mois 
Contrôle de second mesuel instauré</t>
  </si>
  <si>
    <t>Validation du CFO avnat la transmission des informations</t>
  </si>
  <si>
    <t>Risque opérationnelle</t>
  </si>
  <si>
    <t>Nstauration d'un point de suivi recos 2 fois par mois</t>
  </si>
  <si>
    <t>Revue des procedure annuelle</t>
  </si>
  <si>
    <t>Base de donnée des contrats liant COFINA aux tiers mis en place avec une revue semestrielle</t>
  </si>
  <si>
    <t>Contracter avec des expert agrée</t>
  </si>
  <si>
    <t>Materialiser les revue de portefeuille avec l'huissier et l'avocat</t>
  </si>
  <si>
    <t>Contrôle de 1er niveau sur les traitement effectués par l'assistant juridique</t>
  </si>
  <si>
    <t>S'assurer que les écritures de passage en pertes sont correctement traitées et approuvées par les personnes autorisées. Acccompagné d'un PV  de carence</t>
  </si>
  <si>
    <t>Risque oérationnel</t>
  </si>
  <si>
    <t>JURIDIQUE</t>
  </si>
  <si>
    <t>Calendrier prévisionnel mis en place et monitoré</t>
  </si>
  <si>
    <t>risque opérationnel</t>
  </si>
  <si>
    <t>Etablissement d'une liste de prstataire agrée +évaluation annuel</t>
  </si>
  <si>
    <t>Contrat d'entretien signée avec des prestataire pour le nétoyage</t>
  </si>
  <si>
    <t>Acquisition d'outils qui gere le stock de facon automatique</t>
  </si>
  <si>
    <t>Politique d'achat encadrant la gestion des dépense disponible</t>
  </si>
  <si>
    <t>Mettre à jour systématiquement le fichier des immobilisations/Procdure d'inventaire rédigée</t>
  </si>
  <si>
    <t>Contrôle de niveau trimestriel liste staff vs facture flotte</t>
  </si>
  <si>
    <t>Politique d'archivage disponible 
S</t>
  </si>
  <si>
    <t>Mise en place d'un tableaud de bord lié à la gestion du parc automobile</t>
  </si>
  <si>
    <t>Transmission effectué par un prestataire experrt en la matière</t>
  </si>
  <si>
    <t>Système de badge installé avec restiction des accés</t>
  </si>
  <si>
    <t>ACHAT &amp; LOGISTIQUE/IT</t>
  </si>
  <si>
    <t>Assurance global dommage, RC souscrit</t>
  </si>
  <si>
    <t>Contrôle de second de la conformité lors de la revue docuentaire</t>
  </si>
  <si>
    <t>Disponibilité d'une politique d'archivage et numérisation en cours</t>
  </si>
  <si>
    <t xml:space="preserve">Mise en place d'un outilsde profilage REIS KYC </t>
  </si>
  <si>
    <t>Outils fonctionnel</t>
  </si>
  <si>
    <t>Planning disponible et exécuté avec feulle de présence a l'appui</t>
  </si>
  <si>
    <t>Tableau de bord des reporting réglementaire établi</t>
  </si>
  <si>
    <t>Outils de profilage REIS KYC</t>
  </si>
  <si>
    <t>Miise en place de  seuil d'alerte et suivi assuré par un outils de surveillance</t>
  </si>
  <si>
    <t>Validation systèmatique des produit par la conformité avant lancement encadré par la polititque des gestion des nouveau produit</t>
  </si>
  <si>
    <t>Validation systématique de la conformié</t>
  </si>
  <si>
    <t>Mis a du fichier immobilisation</t>
  </si>
  <si>
    <t>Correction des écarts</t>
  </si>
  <si>
    <t>Validation de Responsable achat logistique avec matérialisation avant ransmission à la DFC</t>
  </si>
  <si>
    <t>Mise en place d'un controele de niveau1</t>
  </si>
  <si>
    <t>Mise en place d'un suivi budgetaire par département</t>
  </si>
  <si>
    <t>INNOVATION ET PARTENANNA</t>
  </si>
  <si>
    <t>risque de conformité</t>
  </si>
  <si>
    <t>risque technologique</t>
  </si>
  <si>
    <t>GRAND COMPTE</t>
  </si>
  <si>
    <t>RESSOURCE HUMAINE</t>
  </si>
  <si>
    <t>OPERATION</t>
  </si>
  <si>
    <t>FINANCE</t>
  </si>
  <si>
    <t>PRODUIT DIGITAUX</t>
  </si>
  <si>
    <t>GOUV ET CONTRÔLE INTERNE</t>
  </si>
  <si>
    <t>JURIDIQUE ET CONTENTIEUX</t>
  </si>
  <si>
    <t>ACHAT LOGISTIQUE</t>
  </si>
  <si>
    <t xml:space="preserve">AGENCES </t>
  </si>
  <si>
    <t>FINANCES § REPORTING</t>
  </si>
  <si>
    <t>PRODUITS DIGITAUX</t>
  </si>
  <si>
    <t>JURIDIQUE § CONTENTIEUX</t>
  </si>
  <si>
    <t>ACHATS § LOGISTIQUE</t>
  </si>
  <si>
    <t>4
○→  GOUV &amp; CI</t>
  </si>
  <si>
    <t>8
○→ CREDIT &amp; RISQUES
○→ IT
○→ JURIDIQUE &amp; CONTENTIEUX</t>
  </si>
  <si>
    <t xml:space="preserve">8
○→ RECOUVREMENT
○→ PRODUITS DIGITAUX &amp; CHANGE
○→ FINANCE
</t>
  </si>
  <si>
    <t xml:space="preserve">4
○→ ACHAT LOGIST
</t>
  </si>
  <si>
    <t xml:space="preserve">6
○→ CONFORMITE
</t>
  </si>
  <si>
    <t>3
○→ RESS HUM
○→INNOVATION ET PARTENARIAT</t>
  </si>
  <si>
    <t>5
○→ MARKETING &amp; PRODUITS
○→ AGENCES
○→ GRAND COMPTE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</si>
</sst>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 #,##0.00_-;_-* &quot;-&quot;??_-;_-@_-"/>
    <numFmt numFmtId="164" formatCode="0.0%"/>
    <numFmt numFmtId="165" formatCode="_-* #,##0.0_-;\-* #,##0.0_-;_-* &quot;-&quot;??_-;_-@_-"/>
  </numFmts>
  <fonts count="66">
    <font>
      <sz val="11"/>
      <color theme="1"/>
      <name val="Calibri"/>
      <family val="2"/>
      <scheme val="minor"/>
    </font>
    <font>
      <sz val="11"/>
      <color theme="1"/>
      <name val="Calibri"/>
      <family val="2"/>
      <scheme val="minor"/>
    </font>
    <font>
      <b/>
      <sz val="11"/>
      <color theme="1"/>
      <name val="Arial"/>
      <family val="2"/>
    </font>
    <font>
      <sz val="11"/>
      <color theme="1"/>
      <name val="Arial"/>
      <family val="2"/>
    </font>
    <font>
      <sz val="11"/>
      <name val="Arial"/>
      <family val="2"/>
    </font>
    <font>
      <sz val="9"/>
      <color theme="1"/>
      <name val="Calibri"/>
      <family val="2"/>
      <scheme val="minor"/>
    </font>
    <font>
      <b/>
      <sz val="10.5"/>
      <name val="Calibri Light"/>
      <family val="2"/>
      <scheme val="major"/>
    </font>
    <font>
      <b/>
      <sz val="10.5"/>
      <color theme="1"/>
      <name val="Calibri Light"/>
      <family val="2"/>
      <scheme val="major"/>
    </font>
    <font>
      <sz val="10.5"/>
      <name val="Calibri Light"/>
      <family val="2"/>
      <scheme val="major"/>
    </font>
    <font>
      <b/>
      <sz val="10.5"/>
      <color rgb="FFFF0000"/>
      <name val="Calibri Light"/>
      <family val="2"/>
      <scheme val="major"/>
    </font>
    <font>
      <sz val="10.5"/>
      <color rgb="FFFF0000"/>
      <name val="Calibri Light"/>
      <family val="2"/>
      <scheme val="major"/>
    </font>
    <font>
      <b/>
      <sz val="11"/>
      <color theme="1"/>
      <name val="Calibri"/>
      <family val="2"/>
      <scheme val="minor"/>
    </font>
    <font>
      <sz val="11"/>
      <color theme="0"/>
      <name val="Calibri"/>
      <family val="2"/>
      <scheme val="minor"/>
    </font>
    <font>
      <b/>
      <sz val="11"/>
      <color rgb="FFFF0000"/>
      <name val="Calibri"/>
      <family val="2"/>
      <scheme val="minor"/>
    </font>
    <font>
      <b/>
      <sz val="11"/>
      <color theme="0"/>
      <name val="Calibri Light"/>
      <family val="2"/>
      <scheme val="major"/>
    </font>
    <font>
      <b/>
      <sz val="12"/>
      <name val="Calibri Light"/>
      <family val="2"/>
      <scheme val="major"/>
    </font>
    <font>
      <b/>
      <sz val="12"/>
      <color rgb="FFFF0000"/>
      <name val="Calibri Light"/>
      <family val="2"/>
      <scheme val="major"/>
    </font>
    <font>
      <b/>
      <sz val="12"/>
      <color theme="0"/>
      <name val="Calibri Light"/>
      <family val="2"/>
      <scheme val="major"/>
    </font>
    <font>
      <sz val="10"/>
      <color theme="1"/>
      <name val="Calibri"/>
      <family val="2"/>
      <scheme val="minor"/>
    </font>
    <font>
      <sz val="12"/>
      <color theme="1"/>
      <name val="Calibri"/>
      <family val="2"/>
      <scheme val="minor"/>
    </font>
    <font>
      <b/>
      <sz val="12"/>
      <color theme="1"/>
      <name val="Calibri"/>
      <family val="2"/>
      <scheme val="minor"/>
    </font>
    <font>
      <i/>
      <sz val="11"/>
      <color theme="1"/>
      <name val="Calibri"/>
      <family val="2"/>
      <scheme val="minor"/>
    </font>
    <font>
      <b/>
      <sz val="14"/>
      <color theme="1"/>
      <name val="Calibri"/>
      <family val="2"/>
      <scheme val="minor"/>
    </font>
    <font>
      <b/>
      <sz val="14"/>
      <color rgb="FF0070C0"/>
      <name val="Calibri"/>
      <family val="2"/>
      <scheme val="minor"/>
    </font>
    <font>
      <sz val="14"/>
      <color rgb="FF0070C0"/>
      <name val="Calibri"/>
      <family val="2"/>
      <scheme val="minor"/>
    </font>
    <font>
      <b/>
      <sz val="16"/>
      <color theme="0"/>
      <name val="Calibri"/>
      <family val="2"/>
      <scheme val="minor"/>
    </font>
    <font>
      <b/>
      <sz val="20"/>
      <color theme="1"/>
      <name val="Calibri"/>
      <family val="2"/>
      <scheme val="minor"/>
    </font>
    <font>
      <sz val="10"/>
      <name val="Calibri"/>
      <family val="2"/>
      <scheme val="minor"/>
    </font>
    <font>
      <b/>
      <sz val="9"/>
      <name val="Calibri "/>
    </font>
    <font>
      <b/>
      <sz val="9"/>
      <color rgb="FFFF0000"/>
      <name val="Calibri "/>
    </font>
    <font>
      <b/>
      <sz val="9"/>
      <color theme="1"/>
      <name val="Calibri "/>
    </font>
    <font>
      <sz val="9"/>
      <name val="Calibri "/>
    </font>
    <font>
      <b/>
      <sz val="9"/>
      <color theme="0"/>
      <name val="Calibri "/>
    </font>
    <font>
      <sz val="9"/>
      <color theme="0"/>
      <name val="Calibri "/>
    </font>
    <font>
      <sz val="9"/>
      <color rgb="FFFF0000"/>
      <name val="Calibri "/>
    </font>
    <font>
      <b/>
      <sz val="12"/>
      <color theme="1"/>
      <name val="Arial"/>
      <family val="2"/>
    </font>
    <font>
      <b/>
      <sz val="12"/>
      <name val="Calibri "/>
    </font>
    <font>
      <b/>
      <sz val="10"/>
      <name val="Calibri "/>
    </font>
    <font>
      <b/>
      <sz val="11"/>
      <color rgb="FF00B050"/>
      <name val="Calibri"/>
      <family val="2"/>
      <scheme val="minor"/>
    </font>
    <font>
      <b/>
      <sz val="11"/>
      <name val="Calibri "/>
    </font>
    <font>
      <b/>
      <sz val="9"/>
      <color rgb="FF00B050"/>
      <name val="Calibri "/>
    </font>
    <font>
      <b/>
      <sz val="24"/>
      <color theme="0"/>
      <name val="Calibri"/>
      <family val="2"/>
      <scheme val="minor"/>
    </font>
    <font>
      <b/>
      <sz val="14"/>
      <color theme="0"/>
      <name val="Arial"/>
      <family val="2"/>
    </font>
    <font>
      <sz val="11"/>
      <color theme="0"/>
      <name val="Arial"/>
      <family val="2"/>
    </font>
    <font>
      <sz val="12"/>
      <color theme="1"/>
      <name val="Arial"/>
      <family val="2"/>
    </font>
    <font>
      <b/>
      <sz val="11"/>
      <color rgb="FFC00000"/>
      <name val="Calibri"/>
      <family val="2"/>
      <scheme val="minor"/>
    </font>
    <font>
      <b/>
      <i/>
      <sz val="11"/>
      <color theme="1"/>
      <name val="Calibri"/>
      <family val="2"/>
      <scheme val="minor"/>
    </font>
    <font>
      <sz val="11"/>
      <color rgb="FFFF0000"/>
      <name val="Calibri"/>
      <family val="2"/>
      <scheme val="minor"/>
    </font>
    <font>
      <sz val="9"/>
      <color indexed="81"/>
      <name val="Tahoma"/>
      <family val="2"/>
    </font>
    <font>
      <b/>
      <sz val="9"/>
      <color indexed="81"/>
      <name val="Tahoma"/>
      <family val="2"/>
    </font>
    <font>
      <sz val="11"/>
      <color rgb="FF00B050"/>
      <name val="Calibri"/>
      <family val="2"/>
      <scheme val="minor"/>
    </font>
    <font>
      <i/>
      <sz val="10"/>
      <color theme="1"/>
      <name val="Calibri"/>
      <family val="2"/>
      <scheme val="minor"/>
    </font>
    <font>
      <sz val="11"/>
      <name val="Calibri"/>
      <family val="2"/>
      <scheme val="minor"/>
    </font>
    <font>
      <b/>
      <sz val="11"/>
      <name val="Calibri"/>
      <family val="2"/>
      <scheme val="minor"/>
    </font>
    <font>
      <sz val="14"/>
      <color theme="1"/>
      <name val="Calibri"/>
      <family val="2"/>
      <scheme val="minor"/>
    </font>
    <font>
      <b/>
      <sz val="16"/>
      <color theme="1"/>
      <name val="Calibri"/>
      <family val="2"/>
      <scheme val="minor"/>
    </font>
    <font>
      <b/>
      <sz val="16"/>
      <name val="Calibri"/>
      <family val="2"/>
      <scheme val="minor"/>
    </font>
    <font>
      <b/>
      <sz val="20"/>
      <name val="Calibri"/>
      <family val="2"/>
      <scheme val="minor"/>
    </font>
    <font>
      <b/>
      <sz val="18"/>
      <color theme="0"/>
      <name val="Calibri"/>
      <family val="2"/>
      <scheme val="minor"/>
    </font>
    <font>
      <sz val="11"/>
      <name val="Calibri "/>
    </font>
    <font>
      <b/>
      <sz val="22"/>
      <color theme="0"/>
      <name val="Calibri"/>
      <family val="2"/>
      <scheme val="minor"/>
    </font>
    <font>
      <b/>
      <sz val="9"/>
      <color indexed="81"/>
      <name val="Tahoma"/>
      <charset val="1"/>
    </font>
    <font>
      <sz val="9"/>
      <color indexed="81"/>
      <name val="Tahoma"/>
      <charset val="1"/>
    </font>
    <font>
      <b/>
      <sz val="11"/>
      <color rgb="FF92D050"/>
      <name val="Calibri"/>
      <family val="2"/>
      <scheme val="minor"/>
    </font>
    <font>
      <b/>
      <sz val="10"/>
      <name val="Calibri"/>
      <family val="2"/>
      <scheme val="minor"/>
    </font>
    <font>
      <sz val="10"/>
      <name val="Calibri "/>
    </font>
  </fonts>
  <fills count="24">
    <fill>
      <patternFill patternType="none"/>
    </fill>
    <fill>
      <patternFill patternType="gray125"/>
    </fill>
    <fill>
      <patternFill patternType="solid">
        <fgColor rgb="FFFFFF00"/>
        <bgColor indexed="64"/>
      </patternFill>
    </fill>
    <fill>
      <patternFill patternType="solid">
        <fgColor theme="7" tint="0.59999389629810485"/>
        <bgColor indexed="64"/>
      </patternFill>
    </fill>
    <fill>
      <patternFill patternType="solid">
        <fgColor rgb="FFFF0000"/>
        <bgColor indexed="64"/>
      </patternFill>
    </fill>
    <fill>
      <patternFill patternType="solid">
        <fgColor theme="0"/>
        <bgColor indexed="64"/>
      </patternFill>
    </fill>
    <fill>
      <patternFill patternType="solid">
        <fgColor theme="2"/>
        <bgColor indexed="64"/>
      </patternFill>
    </fill>
    <fill>
      <patternFill patternType="solid">
        <fgColor theme="5" tint="0.59999389629810485"/>
        <bgColor indexed="64"/>
      </patternFill>
    </fill>
    <fill>
      <patternFill patternType="solid">
        <fgColor rgb="FF92D050"/>
        <bgColor indexed="64"/>
      </patternFill>
    </fill>
    <fill>
      <patternFill patternType="solid">
        <fgColor rgb="FFFFC000"/>
        <bgColor indexed="64"/>
      </patternFill>
    </fill>
    <fill>
      <patternFill patternType="solid">
        <fgColor theme="0" tint="-0.14999847407452621"/>
        <bgColor indexed="64"/>
      </patternFill>
    </fill>
    <fill>
      <patternFill patternType="solid">
        <fgColor theme="7"/>
        <bgColor indexed="64"/>
      </patternFill>
    </fill>
    <fill>
      <patternFill patternType="solid">
        <fgColor rgb="FFC00000"/>
        <bgColor indexed="64"/>
      </patternFill>
    </fill>
    <fill>
      <patternFill patternType="solid">
        <fgColor theme="5"/>
        <bgColor indexed="64"/>
      </patternFill>
    </fill>
    <fill>
      <patternFill patternType="solid">
        <fgColor rgb="FF002060"/>
        <bgColor indexed="64"/>
      </patternFill>
    </fill>
    <fill>
      <patternFill patternType="solid">
        <fgColor theme="0" tint="-4.9989318521683403E-2"/>
        <bgColor indexed="64"/>
      </patternFill>
    </fill>
    <fill>
      <patternFill patternType="solid">
        <fgColor theme="2" tint="-0.499984740745262"/>
        <bgColor indexed="64"/>
      </patternFill>
    </fill>
    <fill>
      <patternFill patternType="solid">
        <fgColor theme="2" tint="-9.9978637043366805E-2"/>
        <bgColor indexed="64"/>
      </patternFill>
    </fill>
    <fill>
      <patternFill patternType="solid">
        <fgColor theme="9" tint="0.79998168889431442"/>
        <bgColor indexed="64"/>
      </patternFill>
    </fill>
    <fill>
      <patternFill patternType="solid">
        <fgColor theme="4" tint="0.79998168889431442"/>
        <bgColor indexed="64"/>
      </patternFill>
    </fill>
    <fill>
      <patternFill patternType="solid">
        <fgColor rgb="FF00B050"/>
        <bgColor indexed="64"/>
      </patternFill>
    </fill>
    <fill>
      <patternFill patternType="solid">
        <fgColor theme="9" tint="0.59999389629810485"/>
        <bgColor indexed="64"/>
      </patternFill>
    </fill>
    <fill>
      <patternFill patternType="solid">
        <fgColor theme="1"/>
        <bgColor indexed="64"/>
      </patternFill>
    </fill>
    <fill>
      <patternFill patternType="solid">
        <fgColor theme="9"/>
        <bgColor indexed="64"/>
      </patternFill>
    </fill>
  </fills>
  <borders count="4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medium">
        <color indexed="64"/>
      </right>
      <top/>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medium">
        <color indexed="64"/>
      </right>
      <top style="medium">
        <color indexed="64"/>
      </top>
      <bottom/>
      <diagonal/>
    </border>
    <border>
      <left/>
      <right style="medium">
        <color indexed="64"/>
      </right>
      <top/>
      <bottom style="medium">
        <color indexed="64"/>
      </bottom>
      <diagonal/>
    </border>
    <border>
      <left/>
      <right style="medium">
        <color theme="0"/>
      </right>
      <top style="medium">
        <color theme="0"/>
      </top>
      <bottom style="medium">
        <color theme="0"/>
      </bottom>
      <diagonal/>
    </border>
    <border>
      <left style="medium">
        <color theme="0"/>
      </left>
      <right style="medium">
        <color theme="0"/>
      </right>
      <top style="medium">
        <color theme="0"/>
      </top>
      <bottom style="medium">
        <color theme="0"/>
      </bottom>
      <diagonal/>
    </border>
    <border>
      <left style="medium">
        <color indexed="64"/>
      </left>
      <right style="medium">
        <color indexed="64"/>
      </right>
      <top/>
      <bottom/>
      <diagonal/>
    </border>
    <border>
      <left style="medium">
        <color theme="0"/>
      </left>
      <right style="medium">
        <color theme="0"/>
      </right>
      <top/>
      <bottom style="medium">
        <color theme="0"/>
      </bottom>
      <diagonal/>
    </border>
    <border>
      <left style="medium">
        <color indexed="64"/>
      </left>
      <right/>
      <top style="medium">
        <color indexed="64"/>
      </top>
      <bottom/>
      <diagonal/>
    </border>
    <border>
      <left/>
      <right/>
      <top style="medium">
        <color indexed="64"/>
      </top>
      <bottom/>
      <diagonal/>
    </border>
    <border>
      <left style="medium">
        <color indexed="64"/>
      </left>
      <right/>
      <top/>
      <bottom style="medium">
        <color indexed="64"/>
      </bottom>
      <diagonal/>
    </border>
    <border>
      <left/>
      <right/>
      <top/>
      <bottom style="medium">
        <color indexed="64"/>
      </bottom>
      <diagonal/>
    </border>
    <border>
      <left/>
      <right/>
      <top/>
      <bottom style="thin">
        <color indexed="64"/>
      </bottom>
      <diagonal/>
    </border>
    <border>
      <left style="medium">
        <color indexed="64"/>
      </left>
      <right/>
      <top/>
      <bottom/>
      <diagonal/>
    </border>
    <border>
      <left/>
      <right style="thin">
        <color indexed="64"/>
      </right>
      <top/>
      <bottom/>
      <diagonal/>
    </border>
    <border>
      <left style="medium">
        <color theme="0"/>
      </left>
      <right/>
      <top style="medium">
        <color theme="0"/>
      </top>
      <bottom style="medium">
        <color theme="0"/>
      </bottom>
      <diagonal/>
    </border>
    <border>
      <left/>
      <right style="medium">
        <color theme="0"/>
      </right>
      <top/>
      <bottom style="medium">
        <color theme="0"/>
      </bottom>
      <diagonal/>
    </border>
    <border>
      <left style="medium">
        <color indexed="64"/>
      </left>
      <right style="medium">
        <color indexed="64"/>
      </right>
      <top style="medium">
        <color indexed="64"/>
      </top>
      <bottom style="thin">
        <color indexed="64"/>
      </bottom>
      <diagonal/>
    </border>
    <border>
      <left/>
      <right style="medium">
        <color theme="0"/>
      </right>
      <top style="medium">
        <color theme="0"/>
      </top>
      <bottom style="thin">
        <color indexed="64"/>
      </bottom>
      <diagonal/>
    </border>
    <border>
      <left style="medium">
        <color theme="0"/>
      </left>
      <right style="medium">
        <color theme="0"/>
      </right>
      <top style="medium">
        <color theme="0"/>
      </top>
      <bottom style="thin">
        <color indexed="64"/>
      </bottom>
      <diagonal/>
    </border>
    <border>
      <left/>
      <right style="medium">
        <color indexed="64"/>
      </right>
      <top style="medium">
        <color indexed="64"/>
      </top>
      <bottom style="thin">
        <color indexed="64"/>
      </bottom>
      <diagonal/>
    </border>
  </borders>
  <cellStyleXfs count="3">
    <xf numFmtId="0" fontId="0" fillId="0" borderId="0"/>
    <xf numFmtId="9" fontId="1" fillId="0" borderId="0" applyFont="0" applyFill="0" applyBorder="0" applyAlignment="0" applyProtection="0"/>
    <xf numFmtId="43" fontId="1" fillId="0" borderId="0" applyFont="0" applyFill="0" applyBorder="0" applyAlignment="0" applyProtection="0"/>
  </cellStyleXfs>
  <cellXfs count="678">
    <xf numFmtId="0" fontId="0" fillId="0" borderId="0" xfId="0"/>
    <xf numFmtId="0" fontId="3" fillId="5" borderId="1" xfId="0" applyFont="1" applyFill="1" applyBorder="1" applyAlignment="1">
      <alignment vertical="center" wrapText="1"/>
    </xf>
    <xf numFmtId="0" fontId="3" fillId="5" borderId="1" xfId="0" applyFont="1" applyFill="1" applyBorder="1" applyAlignment="1">
      <alignment vertical="center"/>
    </xf>
    <xf numFmtId="0" fontId="4" fillId="5" borderId="1" xfId="0" applyFont="1" applyFill="1" applyBorder="1" applyAlignment="1">
      <alignment vertical="center" wrapText="1"/>
    </xf>
    <xf numFmtId="0" fontId="3" fillId="5" borderId="0" xfId="0" applyFont="1" applyFill="1" applyAlignment="1">
      <alignment vertical="center"/>
    </xf>
    <xf numFmtId="0" fontId="3" fillId="5" borderId="0" xfId="0" applyFont="1" applyFill="1"/>
    <xf numFmtId="0" fontId="2" fillId="5" borderId="1" xfId="0" applyFont="1" applyFill="1" applyBorder="1" applyAlignment="1">
      <alignment horizontal="center" vertical="center"/>
    </xf>
    <xf numFmtId="0" fontId="4" fillId="5" borderId="1" xfId="0" applyFont="1" applyFill="1" applyBorder="1" applyAlignment="1">
      <alignment vertical="center"/>
    </xf>
    <xf numFmtId="0" fontId="2" fillId="5" borderId="0" xfId="0" applyFont="1" applyFill="1" applyAlignment="1">
      <alignment horizontal="center" vertical="center"/>
    </xf>
    <xf numFmtId="0" fontId="3" fillId="5" borderId="0" xfId="0" applyFont="1" applyFill="1" applyAlignment="1">
      <alignment vertical="center" wrapText="1"/>
    </xf>
    <xf numFmtId="0" fontId="2" fillId="3" borderId="1" xfId="0" applyFont="1" applyFill="1" applyBorder="1" applyAlignment="1">
      <alignment horizontal="center" vertical="center"/>
    </xf>
    <xf numFmtId="0" fontId="2" fillId="3" borderId="1" xfId="0" applyFont="1" applyFill="1" applyBorder="1" applyAlignment="1">
      <alignment vertical="center"/>
    </xf>
    <xf numFmtId="0" fontId="2" fillId="7" borderId="1" xfId="0" applyFont="1" applyFill="1" applyBorder="1" applyAlignment="1">
      <alignment horizontal="center" vertical="center"/>
    </xf>
    <xf numFmtId="0" fontId="2" fillId="7" borderId="1" xfId="0" applyFont="1" applyFill="1" applyBorder="1" applyAlignment="1">
      <alignment vertical="center"/>
    </xf>
    <xf numFmtId="0" fontId="2" fillId="7" borderId="1" xfId="0" applyFont="1" applyFill="1" applyBorder="1" applyAlignment="1">
      <alignment vertical="center" wrapText="1"/>
    </xf>
    <xf numFmtId="0" fontId="5" fillId="2" borderId="4" xfId="0" applyFont="1" applyFill="1" applyBorder="1" applyAlignment="1">
      <alignment horizontal="center" vertical="center"/>
    </xf>
    <xf numFmtId="0" fontId="5" fillId="4" borderId="5" xfId="0" applyFont="1" applyFill="1" applyBorder="1" applyAlignment="1">
      <alignment horizontal="center" vertical="center"/>
    </xf>
    <xf numFmtId="0" fontId="5" fillId="4" borderId="6" xfId="0" applyFont="1" applyFill="1" applyBorder="1" applyAlignment="1">
      <alignment horizontal="center" vertical="center"/>
    </xf>
    <xf numFmtId="0" fontId="5" fillId="2" borderId="7" xfId="0" applyFont="1" applyFill="1" applyBorder="1" applyAlignment="1">
      <alignment horizontal="center" vertical="center"/>
    </xf>
    <xf numFmtId="0" fontId="5" fillId="2" borderId="1" xfId="0" applyFont="1" applyFill="1" applyBorder="1" applyAlignment="1">
      <alignment horizontal="center" vertical="center"/>
    </xf>
    <xf numFmtId="0" fontId="5" fillId="4" borderId="1" xfId="0" applyFont="1" applyFill="1" applyBorder="1" applyAlignment="1">
      <alignment horizontal="center" vertical="center"/>
    </xf>
    <xf numFmtId="0" fontId="5" fillId="4" borderId="8" xfId="0" applyFont="1" applyFill="1" applyBorder="1" applyAlignment="1">
      <alignment horizontal="center" vertical="center"/>
    </xf>
    <xf numFmtId="0" fontId="5" fillId="8" borderId="7" xfId="0" applyFont="1" applyFill="1" applyBorder="1" applyAlignment="1">
      <alignment horizontal="center" vertical="center"/>
    </xf>
    <xf numFmtId="0" fontId="5" fillId="8" borderId="1" xfId="0" applyFont="1" applyFill="1" applyBorder="1" applyAlignment="1">
      <alignment horizontal="center" vertical="center"/>
    </xf>
    <xf numFmtId="0" fontId="5" fillId="8" borderId="9" xfId="0" applyFont="1" applyFill="1" applyBorder="1" applyAlignment="1">
      <alignment horizontal="center" vertical="center"/>
    </xf>
    <xf numFmtId="0" fontId="5" fillId="8" borderId="10" xfId="0" applyFont="1" applyFill="1" applyBorder="1" applyAlignment="1">
      <alignment horizontal="center" vertical="center"/>
    </xf>
    <xf numFmtId="0" fontId="5" fillId="2" borderId="10" xfId="0" applyFont="1" applyFill="1" applyBorder="1" applyAlignment="1">
      <alignment horizontal="center" vertical="center"/>
    </xf>
    <xf numFmtId="0" fontId="5" fillId="2" borderId="11" xfId="0" applyFont="1" applyFill="1" applyBorder="1" applyAlignment="1">
      <alignment horizontal="center" vertical="center"/>
    </xf>
    <xf numFmtId="0" fontId="8" fillId="5" borderId="0" xfId="0" applyFont="1" applyFill="1" applyAlignment="1">
      <alignment vertical="center"/>
    </xf>
    <xf numFmtId="0" fontId="8" fillId="5" borderId="0" xfId="0" applyFont="1" applyFill="1" applyAlignment="1">
      <alignment horizontal="center" vertical="center"/>
    </xf>
    <xf numFmtId="0" fontId="8" fillId="5" borderId="1" xfId="0" applyFont="1" applyFill="1" applyBorder="1" applyAlignment="1">
      <alignment vertical="center" wrapText="1"/>
    </xf>
    <xf numFmtId="0" fontId="8" fillId="5" borderId="1" xfId="0" applyFont="1" applyFill="1" applyBorder="1" applyAlignment="1">
      <alignment vertical="center"/>
    </xf>
    <xf numFmtId="20" fontId="8" fillId="5" borderId="1" xfId="0" applyNumberFormat="1" applyFont="1" applyFill="1" applyBorder="1" applyAlignment="1">
      <alignment vertical="center" wrapText="1"/>
    </xf>
    <xf numFmtId="20" fontId="8" fillId="5" borderId="1" xfId="0" applyNumberFormat="1" applyFont="1" applyFill="1" applyBorder="1" applyAlignment="1">
      <alignment vertical="center"/>
    </xf>
    <xf numFmtId="0" fontId="8" fillId="5" borderId="0" xfId="0" applyFont="1" applyFill="1" applyAlignment="1">
      <alignment vertical="center" wrapText="1"/>
    </xf>
    <xf numFmtId="0" fontId="8" fillId="5" borderId="0" xfId="0" applyFont="1" applyFill="1" applyAlignment="1">
      <alignment horizontal="left" vertical="center" wrapText="1"/>
    </xf>
    <xf numFmtId="0" fontId="6" fillId="5" borderId="0" xfId="0" applyFont="1" applyFill="1" applyAlignment="1">
      <alignment horizontal="center" vertical="center"/>
    </xf>
    <xf numFmtId="20" fontId="8" fillId="5" borderId="2" xfId="0" applyNumberFormat="1" applyFont="1" applyFill="1" applyBorder="1" applyAlignment="1">
      <alignment vertical="center" wrapText="1"/>
    </xf>
    <xf numFmtId="0" fontId="10" fillId="5" borderId="0" xfId="0" applyFont="1" applyFill="1" applyAlignment="1">
      <alignment horizontal="right" vertical="center"/>
    </xf>
    <xf numFmtId="0" fontId="6" fillId="5" borderId="1" xfId="0" applyFont="1" applyFill="1" applyBorder="1" applyAlignment="1">
      <alignment horizontal="center" vertical="center"/>
    </xf>
    <xf numFmtId="0" fontId="7" fillId="3" borderId="1" xfId="0" applyFont="1" applyFill="1" applyBorder="1" applyAlignment="1">
      <alignment horizontal="center" vertical="center" wrapText="1"/>
    </xf>
    <xf numFmtId="0" fontId="7" fillId="3" borderId="2" xfId="0" applyFont="1" applyFill="1" applyBorder="1" applyAlignment="1">
      <alignment horizontal="center" vertical="center" wrapText="1"/>
    </xf>
    <xf numFmtId="1" fontId="11" fillId="10" borderId="1" xfId="0" applyNumberFormat="1" applyFont="1" applyFill="1" applyBorder="1" applyAlignment="1">
      <alignment horizontal="center" vertical="center"/>
    </xf>
    <xf numFmtId="0" fontId="8" fillId="5" borderId="1" xfId="0" applyFont="1" applyFill="1" applyBorder="1" applyAlignment="1">
      <alignment horizontal="center" vertical="center"/>
    </xf>
    <xf numFmtId="1" fontId="13" fillId="10" borderId="1" xfId="0" applyNumberFormat="1" applyFont="1" applyFill="1" applyBorder="1" applyAlignment="1">
      <alignment horizontal="center" vertical="center"/>
    </xf>
    <xf numFmtId="0" fontId="6" fillId="5" borderId="0" xfId="0" applyFont="1" applyFill="1" applyAlignment="1">
      <alignment horizontal="center" vertical="center" wrapText="1"/>
    </xf>
    <xf numFmtId="9" fontId="9" fillId="5" borderId="0" xfId="1" applyFont="1" applyFill="1" applyBorder="1" applyAlignment="1">
      <alignment horizontal="center" vertical="center"/>
    </xf>
    <xf numFmtId="0" fontId="9" fillId="5" borderId="0" xfId="0" applyFont="1" applyFill="1" applyAlignment="1">
      <alignment horizontal="center" vertical="center"/>
    </xf>
    <xf numFmtId="1" fontId="11" fillId="5" borderId="0" xfId="0" applyNumberFormat="1" applyFont="1" applyFill="1" applyAlignment="1">
      <alignment horizontal="center" vertical="center"/>
    </xf>
    <xf numFmtId="1" fontId="13" fillId="5" borderId="0" xfId="0" applyNumberFormat="1" applyFont="1" applyFill="1" applyAlignment="1">
      <alignment horizontal="center" vertical="center"/>
    </xf>
    <xf numFmtId="9" fontId="9" fillId="5" borderId="20" xfId="1" applyFont="1" applyFill="1" applyBorder="1" applyAlignment="1">
      <alignment horizontal="center" vertical="center"/>
    </xf>
    <xf numFmtId="0" fontId="14" fillId="4" borderId="19" xfId="0" applyFont="1" applyFill="1" applyBorder="1" applyAlignment="1">
      <alignment horizontal="center" vertical="center"/>
    </xf>
    <xf numFmtId="1" fontId="12" fillId="4" borderId="16" xfId="0" applyNumberFormat="1" applyFont="1" applyFill="1" applyBorder="1" applyAlignment="1">
      <alignment horizontal="center" vertical="center"/>
    </xf>
    <xf numFmtId="9" fontId="16" fillId="5" borderId="20" xfId="1" applyFont="1" applyFill="1" applyBorder="1" applyAlignment="1">
      <alignment horizontal="center" vertical="center"/>
    </xf>
    <xf numFmtId="0" fontId="17" fillId="4" borderId="21" xfId="0" applyFont="1" applyFill="1" applyBorder="1" applyAlignment="1">
      <alignment horizontal="center" vertical="center"/>
    </xf>
    <xf numFmtId="0" fontId="17" fillId="4" borderId="16" xfId="0" applyFont="1" applyFill="1" applyBorder="1" applyAlignment="1">
      <alignment horizontal="center" vertical="center"/>
    </xf>
    <xf numFmtId="0" fontId="17" fillId="4" borderId="19" xfId="0" applyFont="1" applyFill="1" applyBorder="1" applyAlignment="1">
      <alignment horizontal="center" vertical="center"/>
    </xf>
    <xf numFmtId="0" fontId="20" fillId="8" borderId="7" xfId="0" applyFont="1" applyFill="1" applyBorder="1" applyAlignment="1">
      <alignment horizontal="center" vertical="center"/>
    </xf>
    <xf numFmtId="0" fontId="20" fillId="8" borderId="10" xfId="0" applyFont="1" applyFill="1" applyBorder="1" applyAlignment="1">
      <alignment horizontal="center" vertical="center"/>
    </xf>
    <xf numFmtId="0" fontId="19" fillId="5" borderId="0" xfId="0" applyFont="1" applyFill="1" applyAlignment="1">
      <alignment horizontal="center" vertical="center" wrapText="1"/>
    </xf>
    <xf numFmtId="0" fontId="0" fillId="5" borderId="0" xfId="0" applyFill="1" applyAlignment="1">
      <alignment vertical="center"/>
    </xf>
    <xf numFmtId="0" fontId="21" fillId="5" borderId="0" xfId="0" applyFont="1" applyFill="1" applyAlignment="1">
      <alignment vertical="center"/>
    </xf>
    <xf numFmtId="0" fontId="22" fillId="5" borderId="0" xfId="0" applyFont="1" applyFill="1" applyAlignment="1">
      <alignment horizontal="right" vertical="top"/>
    </xf>
    <xf numFmtId="0" fontId="23" fillId="5" borderId="0" xfId="0" applyFont="1" applyFill="1" applyAlignment="1">
      <alignment vertical="top"/>
    </xf>
    <xf numFmtId="0" fontId="23" fillId="5" borderId="0" xfId="0" applyFont="1" applyFill="1" applyAlignment="1">
      <alignment horizontal="center" vertical="top"/>
    </xf>
    <xf numFmtId="0" fontId="23" fillId="5" borderId="0" xfId="0" applyFont="1" applyFill="1" applyAlignment="1">
      <alignment horizontal="center" vertical="top" wrapText="1"/>
    </xf>
    <xf numFmtId="0" fontId="23" fillId="5" borderId="12" xfId="0" applyFont="1" applyFill="1" applyBorder="1" applyAlignment="1">
      <alignment horizontal="right" vertical="center" textRotation="255"/>
    </xf>
    <xf numFmtId="0" fontId="24" fillId="5" borderId="0" xfId="0" applyFont="1" applyFill="1" applyAlignment="1">
      <alignment horizontal="right" vertical="center"/>
    </xf>
    <xf numFmtId="0" fontId="20" fillId="4" borderId="5" xfId="0" applyFont="1" applyFill="1" applyBorder="1" applyAlignment="1">
      <alignment horizontal="center" vertical="center"/>
    </xf>
    <xf numFmtId="0" fontId="20" fillId="2" borderId="1" xfId="0" applyFont="1" applyFill="1" applyBorder="1" applyAlignment="1">
      <alignment horizontal="center" vertical="center"/>
    </xf>
    <xf numFmtId="0" fontId="20" fillId="4" borderId="1" xfId="0" applyFont="1" applyFill="1" applyBorder="1" applyAlignment="1">
      <alignment horizontal="center" vertical="center"/>
    </xf>
    <xf numFmtId="0" fontId="20" fillId="4" borderId="8" xfId="0" applyFont="1" applyFill="1" applyBorder="1" applyAlignment="1">
      <alignment horizontal="center" vertical="center"/>
    </xf>
    <xf numFmtId="0" fontId="20" fillId="8" borderId="1" xfId="0" applyFont="1" applyFill="1" applyBorder="1" applyAlignment="1">
      <alignment horizontal="center" vertical="center"/>
    </xf>
    <xf numFmtId="0" fontId="25" fillId="4" borderId="1" xfId="0" applyFont="1" applyFill="1" applyBorder="1" applyAlignment="1">
      <alignment horizontal="center" vertical="center" wrapText="1"/>
    </xf>
    <xf numFmtId="0" fontId="0" fillId="4" borderId="22" xfId="0" applyFill="1" applyBorder="1" applyAlignment="1">
      <alignment vertical="center"/>
    </xf>
    <xf numFmtId="0" fontId="20" fillId="8" borderId="23" xfId="0" applyFont="1" applyFill="1" applyBorder="1" applyAlignment="1">
      <alignment horizontal="center" vertical="center"/>
    </xf>
    <xf numFmtId="0" fontId="0" fillId="2" borderId="16" xfId="0" applyFill="1" applyBorder="1" applyAlignment="1">
      <alignment vertical="center"/>
    </xf>
    <xf numFmtId="0" fontId="22" fillId="5" borderId="24" xfId="0" applyFont="1" applyFill="1" applyBorder="1" applyAlignment="1">
      <alignment vertical="center"/>
    </xf>
    <xf numFmtId="0" fontId="22" fillId="5" borderId="16" xfId="0" applyFont="1" applyFill="1" applyBorder="1" applyAlignment="1">
      <alignment vertical="center"/>
    </xf>
    <xf numFmtId="0" fontId="22" fillId="5" borderId="25" xfId="0" applyFont="1" applyFill="1" applyBorder="1" applyAlignment="1">
      <alignment vertical="center"/>
    </xf>
    <xf numFmtId="0" fontId="0" fillId="5" borderId="0" xfId="0" applyFill="1" applyAlignment="1">
      <alignment horizontal="center" vertical="center"/>
    </xf>
    <xf numFmtId="0" fontId="0" fillId="5" borderId="0" xfId="0" applyFill="1"/>
    <xf numFmtId="0" fontId="18" fillId="5" borderId="0" xfId="0" applyFont="1" applyFill="1"/>
    <xf numFmtId="0" fontId="0" fillId="5" borderId="0" xfId="0" applyFill="1" applyAlignment="1">
      <alignment horizontal="center"/>
    </xf>
    <xf numFmtId="0" fontId="5" fillId="11" borderId="5" xfId="0" applyFont="1" applyFill="1" applyBorder="1" applyAlignment="1">
      <alignment horizontal="center" vertical="center"/>
    </xf>
    <xf numFmtId="0" fontId="5" fillId="11" borderId="1" xfId="0" applyFont="1" applyFill="1" applyBorder="1" applyAlignment="1">
      <alignment horizontal="center" vertical="center"/>
    </xf>
    <xf numFmtId="0" fontId="5" fillId="11" borderId="8" xfId="0" applyFont="1" applyFill="1" applyBorder="1" applyAlignment="1">
      <alignment horizontal="center" vertical="center"/>
    </xf>
    <xf numFmtId="0" fontId="18" fillId="5" borderId="1" xfId="0" applyFont="1" applyFill="1" applyBorder="1" applyAlignment="1">
      <alignment vertical="center" wrapText="1"/>
    </xf>
    <xf numFmtId="0" fontId="27" fillId="5" borderId="1" xfId="0" applyFont="1" applyFill="1" applyBorder="1" applyAlignment="1">
      <alignment vertical="center" wrapText="1"/>
    </xf>
    <xf numFmtId="0" fontId="20" fillId="5" borderId="1" xfId="0" applyFont="1" applyFill="1" applyBorder="1" applyAlignment="1">
      <alignment vertical="center"/>
    </xf>
    <xf numFmtId="0" fontId="20" fillId="5" borderId="0" xfId="0" applyFont="1" applyFill="1" applyAlignment="1">
      <alignment horizontal="left" vertical="center"/>
    </xf>
    <xf numFmtId="0" fontId="30" fillId="10" borderId="1" xfId="0" applyFont="1" applyFill="1" applyBorder="1" applyAlignment="1">
      <alignment horizontal="center" vertical="center" wrapText="1"/>
    </xf>
    <xf numFmtId="0" fontId="31" fillId="5" borderId="0" xfId="0" applyFont="1" applyFill="1" applyAlignment="1">
      <alignment horizontal="center" vertical="center"/>
    </xf>
    <xf numFmtId="20" fontId="31" fillId="5" borderId="1" xfId="0" applyNumberFormat="1" applyFont="1" applyFill="1" applyBorder="1" applyAlignment="1">
      <alignment horizontal="left" vertical="center" wrapText="1"/>
    </xf>
    <xf numFmtId="20" fontId="31" fillId="5" borderId="1" xfId="0" quotePrefix="1" applyNumberFormat="1" applyFont="1" applyFill="1" applyBorder="1" applyAlignment="1">
      <alignment horizontal="left" vertical="center" wrapText="1"/>
    </xf>
    <xf numFmtId="0" fontId="31" fillId="5" borderId="1" xfId="0" applyFont="1" applyFill="1" applyBorder="1" applyAlignment="1">
      <alignment horizontal="center" vertical="center"/>
    </xf>
    <xf numFmtId="0" fontId="28" fillId="5" borderId="1" xfId="0" applyFont="1" applyFill="1" applyBorder="1" applyAlignment="1">
      <alignment horizontal="center" vertical="center"/>
    </xf>
    <xf numFmtId="0" fontId="28" fillId="4" borderId="1" xfId="0" applyFont="1" applyFill="1" applyBorder="1" applyAlignment="1">
      <alignment vertical="center"/>
    </xf>
    <xf numFmtId="0" fontId="31" fillId="5" borderId="0" xfId="0" applyFont="1" applyFill="1" applyAlignment="1">
      <alignment vertical="center"/>
    </xf>
    <xf numFmtId="0" fontId="28" fillId="9" borderId="1" xfId="0" applyFont="1" applyFill="1" applyBorder="1" applyAlignment="1">
      <alignment vertical="center"/>
    </xf>
    <xf numFmtId="0" fontId="29" fillId="6" borderId="1" xfId="0" applyFont="1" applyFill="1" applyBorder="1" applyAlignment="1">
      <alignment horizontal="left" vertical="center"/>
    </xf>
    <xf numFmtId="0" fontId="29" fillId="6" borderId="1" xfId="0" applyFont="1" applyFill="1" applyBorder="1" applyAlignment="1">
      <alignment horizontal="center" vertical="center" wrapText="1"/>
    </xf>
    <xf numFmtId="1" fontId="30" fillId="10" borderId="1" xfId="0" applyNumberFormat="1" applyFont="1" applyFill="1" applyBorder="1" applyAlignment="1">
      <alignment horizontal="center" vertical="center"/>
    </xf>
    <xf numFmtId="1" fontId="29" fillId="10" borderId="1" xfId="0" applyNumberFormat="1" applyFont="1" applyFill="1" applyBorder="1" applyAlignment="1">
      <alignment horizontal="center" vertical="center"/>
    </xf>
    <xf numFmtId="20" fontId="31" fillId="5" borderId="1" xfId="0" quotePrefix="1" applyNumberFormat="1" applyFont="1" applyFill="1" applyBorder="1" applyAlignment="1">
      <alignment vertical="center" wrapText="1"/>
    </xf>
    <xf numFmtId="20" fontId="31" fillId="5" borderId="1" xfId="0" applyNumberFormat="1" applyFont="1" applyFill="1" applyBorder="1" applyAlignment="1">
      <alignment vertical="center" wrapText="1"/>
    </xf>
    <xf numFmtId="0" fontId="31" fillId="5" borderId="1" xfId="0" applyFont="1" applyFill="1" applyBorder="1" applyAlignment="1">
      <alignment horizontal="left" vertical="center"/>
    </xf>
    <xf numFmtId="0" fontId="31" fillId="5" borderId="1" xfId="0" quotePrefix="1" applyFont="1" applyFill="1" applyBorder="1" applyAlignment="1">
      <alignment vertical="center" wrapText="1"/>
    </xf>
    <xf numFmtId="20" fontId="31" fillId="5" borderId="1" xfId="0" applyNumberFormat="1" applyFont="1" applyFill="1" applyBorder="1" applyAlignment="1">
      <alignment horizontal="left" vertical="center"/>
    </xf>
    <xf numFmtId="0" fontId="28" fillId="2" borderId="1" xfId="0" applyFont="1" applyFill="1" applyBorder="1" applyAlignment="1">
      <alignment vertical="center"/>
    </xf>
    <xf numFmtId="9" fontId="29" fillId="5" borderId="1" xfId="1" applyFont="1" applyFill="1" applyBorder="1" applyAlignment="1">
      <alignment horizontal="center" vertical="center"/>
    </xf>
    <xf numFmtId="0" fontId="32" fillId="4" borderId="1" xfId="0" applyFont="1" applyFill="1" applyBorder="1" applyAlignment="1">
      <alignment horizontal="left" vertical="center"/>
    </xf>
    <xf numFmtId="0" fontId="32" fillId="4" borderId="1" xfId="0" applyFont="1" applyFill="1" applyBorder="1" applyAlignment="1">
      <alignment horizontal="center" vertical="center" wrapText="1"/>
    </xf>
    <xf numFmtId="0" fontId="32" fillId="4" borderId="1" xfId="0" applyFont="1" applyFill="1" applyBorder="1" applyAlignment="1">
      <alignment horizontal="center" vertical="center"/>
    </xf>
    <xf numFmtId="9" fontId="29" fillId="5" borderId="20" xfId="1" applyFont="1" applyFill="1" applyBorder="1" applyAlignment="1">
      <alignment horizontal="center" vertical="center"/>
    </xf>
    <xf numFmtId="0" fontId="32" fillId="4" borderId="21" xfId="0" applyFont="1" applyFill="1" applyBorder="1" applyAlignment="1">
      <alignment horizontal="left" vertical="center"/>
    </xf>
    <xf numFmtId="0" fontId="32" fillId="4" borderId="21" xfId="0" applyFont="1" applyFill="1" applyBorder="1" applyAlignment="1">
      <alignment horizontal="center" vertical="center" wrapText="1"/>
    </xf>
    <xf numFmtId="1" fontId="33" fillId="4" borderId="16" xfId="0" applyNumberFormat="1" applyFont="1" applyFill="1" applyBorder="1" applyAlignment="1">
      <alignment horizontal="center" vertical="center"/>
    </xf>
    <xf numFmtId="0" fontId="32" fillId="4" borderId="19" xfId="0" applyFont="1" applyFill="1" applyBorder="1" applyAlignment="1">
      <alignment horizontal="center" vertical="center"/>
    </xf>
    <xf numFmtId="0" fontId="28" fillId="5" borderId="0" xfId="0" applyFont="1" applyFill="1" applyAlignment="1">
      <alignment vertical="center"/>
    </xf>
    <xf numFmtId="0" fontId="28" fillId="5" borderId="0" xfId="0" applyFont="1" applyFill="1" applyAlignment="1">
      <alignment horizontal="center" vertical="center"/>
    </xf>
    <xf numFmtId="0" fontId="31" fillId="5" borderId="0" xfId="0" applyFont="1" applyFill="1" applyAlignment="1">
      <alignment horizontal="left" vertical="center" wrapText="1"/>
    </xf>
    <xf numFmtId="0" fontId="34" fillId="5" borderId="0" xfId="0" applyFont="1" applyFill="1" applyAlignment="1">
      <alignment horizontal="right" vertical="center"/>
    </xf>
    <xf numFmtId="0" fontId="31" fillId="5" borderId="0" xfId="0" applyFont="1" applyFill="1" applyAlignment="1">
      <alignment horizontal="left" vertical="center"/>
    </xf>
    <xf numFmtId="0" fontId="31" fillId="5" borderId="0" xfId="0" applyFont="1" applyFill="1" applyAlignment="1">
      <alignment vertical="center" wrapText="1"/>
    </xf>
    <xf numFmtId="0" fontId="0" fillId="0" borderId="26" xfId="0" applyBorder="1" applyAlignment="1">
      <alignment vertical="center"/>
    </xf>
    <xf numFmtId="0" fontId="0" fillId="0" borderId="27" xfId="0" applyBorder="1" applyAlignment="1">
      <alignment vertical="center"/>
    </xf>
    <xf numFmtId="0" fontId="30" fillId="10" borderId="16" xfId="0" applyFont="1" applyFill="1" applyBorder="1" applyAlignment="1">
      <alignment horizontal="center" vertical="center" wrapText="1"/>
    </xf>
    <xf numFmtId="0" fontId="0" fillId="0" borderId="16" xfId="0" quotePrefix="1" applyBorder="1" applyAlignment="1">
      <alignment vertical="center" wrapText="1"/>
    </xf>
    <xf numFmtId="0" fontId="11" fillId="0" borderId="16" xfId="0" applyFont="1" applyBorder="1" applyAlignment="1">
      <alignment horizontal="center" vertical="center"/>
    </xf>
    <xf numFmtId="0" fontId="11" fillId="12" borderId="16" xfId="0" applyFont="1" applyFill="1" applyBorder="1" applyAlignment="1">
      <alignment horizontal="center" vertical="center"/>
    </xf>
    <xf numFmtId="0" fontId="0" fillId="0" borderId="16" xfId="0" applyBorder="1" applyAlignment="1">
      <alignment vertical="center" wrapText="1"/>
    </xf>
    <xf numFmtId="0" fontId="11" fillId="2" borderId="16" xfId="0" applyFont="1" applyFill="1" applyBorder="1" applyAlignment="1">
      <alignment horizontal="center" vertical="center"/>
    </xf>
    <xf numFmtId="1" fontId="30" fillId="10" borderId="16" xfId="0" applyNumberFormat="1" applyFont="1" applyFill="1" applyBorder="1" applyAlignment="1">
      <alignment horizontal="center" vertical="center"/>
    </xf>
    <xf numFmtId="0" fontId="0" fillId="0" borderId="29" xfId="0" applyBorder="1" applyAlignment="1">
      <alignment vertical="center"/>
    </xf>
    <xf numFmtId="0" fontId="0" fillId="0" borderId="29" xfId="0" applyBorder="1" applyAlignment="1">
      <alignment vertical="center" wrapText="1"/>
    </xf>
    <xf numFmtId="0" fontId="11" fillId="0" borderId="29" xfId="0" applyFont="1" applyBorder="1" applyAlignment="1">
      <alignment horizontal="center" vertical="center"/>
    </xf>
    <xf numFmtId="0" fontId="0" fillId="0" borderId="27" xfId="0" applyBorder="1" applyAlignment="1">
      <alignment vertical="center" wrapText="1"/>
    </xf>
    <xf numFmtId="0" fontId="11" fillId="0" borderId="27" xfId="0" applyFont="1" applyBorder="1" applyAlignment="1">
      <alignment horizontal="center" vertical="center"/>
    </xf>
    <xf numFmtId="0" fontId="0" fillId="0" borderId="26" xfId="0" applyBorder="1"/>
    <xf numFmtId="0" fontId="0" fillId="0" borderId="27" xfId="0" applyBorder="1"/>
    <xf numFmtId="0" fontId="0" fillId="0" borderId="16" xfId="0" applyBorder="1" applyAlignment="1">
      <alignment wrapText="1"/>
    </xf>
    <xf numFmtId="0" fontId="0" fillId="0" borderId="16" xfId="0" applyBorder="1" applyAlignment="1">
      <alignment horizontal="left" vertical="center" wrapText="1"/>
    </xf>
    <xf numFmtId="20" fontId="37" fillId="5" borderId="16" xfId="0" applyNumberFormat="1" applyFont="1" applyFill="1" applyBorder="1" applyAlignment="1">
      <alignment horizontal="center" vertical="center" wrapText="1"/>
    </xf>
    <xf numFmtId="0" fontId="0" fillId="0" borderId="29" xfId="0" applyBorder="1"/>
    <xf numFmtId="0" fontId="0" fillId="0" borderId="29" xfId="0" applyBorder="1" applyAlignment="1">
      <alignment wrapText="1"/>
    </xf>
    <xf numFmtId="0" fontId="0" fillId="0" borderId="27" xfId="0" applyBorder="1" applyAlignment="1">
      <alignment wrapText="1"/>
    </xf>
    <xf numFmtId="0" fontId="0" fillId="0" borderId="29" xfId="0" applyBorder="1" applyAlignment="1">
      <alignment horizontal="center" vertical="center"/>
    </xf>
    <xf numFmtId="0" fontId="0" fillId="0" borderId="27" xfId="0" applyBorder="1" applyAlignment="1">
      <alignment horizontal="center" vertical="center"/>
    </xf>
    <xf numFmtId="0" fontId="38" fillId="0" borderId="16" xfId="0" applyFont="1" applyBorder="1" applyAlignment="1">
      <alignment horizontal="center" vertical="center" wrapText="1"/>
    </xf>
    <xf numFmtId="0" fontId="0" fillId="0" borderId="29" xfId="0" applyBorder="1" applyAlignment="1">
      <alignment horizontal="center" wrapText="1"/>
    </xf>
    <xf numFmtId="0" fontId="0" fillId="0" borderId="27" xfId="0" applyBorder="1" applyAlignment="1">
      <alignment horizontal="center" wrapText="1"/>
    </xf>
    <xf numFmtId="0" fontId="20" fillId="2" borderId="1" xfId="0" applyFont="1" applyFill="1" applyBorder="1" applyAlignment="1">
      <alignment horizontal="center" vertical="center" wrapText="1"/>
    </xf>
    <xf numFmtId="0" fontId="20" fillId="4" borderId="1" xfId="0" applyFont="1" applyFill="1" applyBorder="1" applyAlignment="1">
      <alignment horizontal="center" vertical="center" wrapText="1"/>
    </xf>
    <xf numFmtId="0" fontId="20" fillId="13" borderId="5" xfId="0" applyFont="1" applyFill="1" applyBorder="1" applyAlignment="1">
      <alignment horizontal="center" vertical="center"/>
    </xf>
    <xf numFmtId="0" fontId="20" fillId="13" borderId="1" xfId="0" applyFont="1" applyFill="1" applyBorder="1" applyAlignment="1">
      <alignment horizontal="left" vertical="center" wrapText="1"/>
    </xf>
    <xf numFmtId="0" fontId="20" fillId="13" borderId="8" xfId="0" applyFont="1" applyFill="1" applyBorder="1" applyAlignment="1">
      <alignment horizontal="center" vertical="center"/>
    </xf>
    <xf numFmtId="0" fontId="0" fillId="13" borderId="16" xfId="0" applyFill="1" applyBorder="1" applyAlignment="1">
      <alignment vertical="center"/>
    </xf>
    <xf numFmtId="0" fontId="11" fillId="13" borderId="16" xfId="0" applyFont="1" applyFill="1" applyBorder="1" applyAlignment="1">
      <alignment horizontal="center" vertical="center"/>
    </xf>
    <xf numFmtId="0" fontId="40" fillId="10" borderId="16" xfId="0" applyFont="1" applyFill="1" applyBorder="1" applyAlignment="1">
      <alignment horizontal="center" vertical="center" wrapText="1"/>
    </xf>
    <xf numFmtId="0" fontId="38" fillId="0" borderId="16" xfId="0" applyFont="1" applyBorder="1" applyAlignment="1">
      <alignment horizontal="center" vertical="center"/>
    </xf>
    <xf numFmtId="0" fontId="20" fillId="13" borderId="16" xfId="0" applyFont="1" applyFill="1" applyBorder="1" applyAlignment="1">
      <alignment horizontal="center" vertical="center" wrapText="1"/>
    </xf>
    <xf numFmtId="20" fontId="28" fillId="5" borderId="16" xfId="0" applyNumberFormat="1" applyFont="1" applyFill="1" applyBorder="1" applyAlignment="1">
      <alignment horizontal="center" vertical="center" wrapText="1"/>
    </xf>
    <xf numFmtId="0" fontId="38" fillId="0" borderId="29" xfId="0" applyFont="1" applyBorder="1" applyAlignment="1">
      <alignment horizontal="center" wrapText="1"/>
    </xf>
    <xf numFmtId="0" fontId="38" fillId="0" borderId="27" xfId="0" applyFont="1" applyBorder="1" applyAlignment="1">
      <alignment horizontal="center" wrapText="1"/>
    </xf>
    <xf numFmtId="0" fontId="20" fillId="8" borderId="7" xfId="0" applyFont="1" applyFill="1" applyBorder="1" applyAlignment="1">
      <alignment horizontal="center" vertical="center" wrapText="1"/>
    </xf>
    <xf numFmtId="0" fontId="20" fillId="13" borderId="1" xfId="0" applyFont="1" applyFill="1" applyBorder="1" applyAlignment="1">
      <alignment horizontal="center" vertical="center" wrapText="1"/>
    </xf>
    <xf numFmtId="0" fontId="38" fillId="0" borderId="29" xfId="0" applyFont="1" applyBorder="1" applyAlignment="1">
      <alignment horizontal="center" vertical="center" wrapText="1"/>
    </xf>
    <xf numFmtId="0" fontId="38" fillId="0" borderId="27" xfId="0" applyFont="1" applyBorder="1" applyAlignment="1">
      <alignment horizontal="center" vertical="center" wrapText="1"/>
    </xf>
    <xf numFmtId="0" fontId="0" fillId="0" borderId="29" xfId="0" applyBorder="1" applyAlignment="1">
      <alignment horizontal="center"/>
    </xf>
    <xf numFmtId="0" fontId="0" fillId="0" borderId="27" xfId="0" applyBorder="1" applyAlignment="1">
      <alignment horizontal="center"/>
    </xf>
    <xf numFmtId="0" fontId="11" fillId="9" borderId="16" xfId="0" applyFont="1" applyFill="1" applyBorder="1" applyAlignment="1">
      <alignment horizontal="center" vertical="center"/>
    </xf>
    <xf numFmtId="0" fontId="11" fillId="15" borderId="16" xfId="0" quotePrefix="1" applyFont="1" applyFill="1" applyBorder="1" applyAlignment="1">
      <alignment horizontal="center" vertical="center" wrapText="1"/>
    </xf>
    <xf numFmtId="0" fontId="11" fillId="15" borderId="16" xfId="0" applyFont="1" applyFill="1" applyBorder="1" applyAlignment="1">
      <alignment horizontal="center" vertical="center" wrapText="1"/>
    </xf>
    <xf numFmtId="0" fontId="0" fillId="15" borderId="0" xfId="0" applyFill="1"/>
    <xf numFmtId="0" fontId="42" fillId="16" borderId="1" xfId="0" applyFont="1" applyFill="1" applyBorder="1" applyAlignment="1">
      <alignment horizontal="center" vertical="center"/>
    </xf>
    <xf numFmtId="0" fontId="43" fillId="5" borderId="0" xfId="0" applyFont="1" applyFill="1" applyAlignment="1">
      <alignment horizontal="center" vertical="center"/>
    </xf>
    <xf numFmtId="0" fontId="35" fillId="5" borderId="1" xfId="0" applyFont="1" applyFill="1" applyBorder="1" applyAlignment="1">
      <alignment horizontal="center" vertical="center"/>
    </xf>
    <xf numFmtId="0" fontId="44" fillId="5" borderId="1" xfId="0" applyFont="1" applyFill="1" applyBorder="1" applyAlignment="1">
      <alignment vertical="center" wrapText="1"/>
    </xf>
    <xf numFmtId="0" fontId="35" fillId="17" borderId="1" xfId="0" applyFont="1" applyFill="1" applyBorder="1" applyAlignment="1">
      <alignment horizontal="center" vertical="center" wrapText="1"/>
    </xf>
    <xf numFmtId="0" fontId="2" fillId="18" borderId="1" xfId="0" applyFont="1" applyFill="1" applyBorder="1" applyAlignment="1">
      <alignment horizontal="center" vertical="center"/>
    </xf>
    <xf numFmtId="0" fontId="44" fillId="5" borderId="1" xfId="0" applyFont="1" applyFill="1" applyBorder="1" applyAlignment="1">
      <alignment horizontal="center" vertical="center"/>
    </xf>
    <xf numFmtId="0" fontId="11" fillId="15" borderId="29" xfId="0" applyFont="1" applyFill="1" applyBorder="1" applyAlignment="1">
      <alignment horizontal="center" vertical="center"/>
    </xf>
    <xf numFmtId="0" fontId="11" fillId="15" borderId="27" xfId="0" applyFont="1" applyFill="1" applyBorder="1" applyAlignment="1">
      <alignment horizontal="center" vertical="center"/>
    </xf>
    <xf numFmtId="0" fontId="45" fillId="19" borderId="16" xfId="0" applyFont="1" applyFill="1" applyBorder="1" applyAlignment="1">
      <alignment horizontal="center" vertical="center"/>
    </xf>
    <xf numFmtId="0" fontId="45" fillId="19" borderId="21" xfId="0" applyFont="1" applyFill="1" applyBorder="1" applyAlignment="1">
      <alignment horizontal="center" vertical="center"/>
    </xf>
    <xf numFmtId="0" fontId="11" fillId="15" borderId="22" xfId="0" applyFont="1" applyFill="1" applyBorder="1" applyAlignment="1">
      <alignment horizontal="center" vertical="center" wrapText="1"/>
    </xf>
    <xf numFmtId="0" fontId="11" fillId="0" borderId="22" xfId="0" applyFont="1" applyBorder="1" applyAlignment="1">
      <alignment horizontal="center" vertical="center"/>
    </xf>
    <xf numFmtId="0" fontId="11" fillId="2" borderId="22" xfId="0" applyFont="1" applyFill="1" applyBorder="1" applyAlignment="1">
      <alignment horizontal="center" vertical="center"/>
    </xf>
    <xf numFmtId="0" fontId="45" fillId="19" borderId="22" xfId="0" applyFont="1" applyFill="1" applyBorder="1" applyAlignment="1">
      <alignment horizontal="center" vertical="center"/>
    </xf>
    <xf numFmtId="1" fontId="30" fillId="10" borderId="23" xfId="0" applyNumberFormat="1" applyFont="1" applyFill="1" applyBorder="1" applyAlignment="1">
      <alignment horizontal="center" vertical="center"/>
    </xf>
    <xf numFmtId="0" fontId="11" fillId="9" borderId="23" xfId="0" applyFont="1" applyFill="1" applyBorder="1" applyAlignment="1">
      <alignment horizontal="center"/>
    </xf>
    <xf numFmtId="0" fontId="45" fillId="19" borderId="32" xfId="0" applyFont="1" applyFill="1" applyBorder="1" applyAlignment="1">
      <alignment horizontal="center"/>
    </xf>
    <xf numFmtId="0" fontId="11" fillId="15" borderId="1" xfId="0" applyFont="1" applyFill="1" applyBorder="1" applyAlignment="1">
      <alignment horizontal="center" vertical="center" wrapText="1"/>
    </xf>
    <xf numFmtId="0" fontId="11" fillId="0" borderId="1" xfId="0" applyFont="1" applyBorder="1" applyAlignment="1">
      <alignment horizontal="center" vertical="center"/>
    </xf>
    <xf numFmtId="0" fontId="11" fillId="2" borderId="1" xfId="0" applyFont="1" applyFill="1" applyBorder="1" applyAlignment="1">
      <alignment horizontal="center" vertical="center"/>
    </xf>
    <xf numFmtId="0" fontId="0" fillId="0" borderId="22" xfId="0" applyBorder="1" applyAlignment="1">
      <alignment vertical="center" wrapText="1"/>
    </xf>
    <xf numFmtId="0" fontId="20" fillId="20" borderId="7" xfId="0" applyFont="1" applyFill="1" applyBorder="1" applyAlignment="1">
      <alignment horizontal="center" vertical="center"/>
    </xf>
    <xf numFmtId="0" fontId="20" fillId="20" borderId="9" xfId="0" applyFont="1" applyFill="1" applyBorder="1" applyAlignment="1">
      <alignment horizontal="center" vertical="center"/>
    </xf>
    <xf numFmtId="0" fontId="20" fillId="20" borderId="1" xfId="0" applyFont="1" applyFill="1" applyBorder="1" applyAlignment="1">
      <alignment horizontal="center" vertical="center"/>
    </xf>
    <xf numFmtId="0" fontId="20" fillId="20" borderId="10" xfId="0" applyFont="1" applyFill="1" applyBorder="1" applyAlignment="1">
      <alignment horizontal="center" vertical="center"/>
    </xf>
    <xf numFmtId="0" fontId="20" fillId="8" borderId="11" xfId="0" applyFont="1" applyFill="1" applyBorder="1" applyAlignment="1">
      <alignment horizontal="center" vertical="center"/>
    </xf>
    <xf numFmtId="0" fontId="20" fillId="8" borderId="1" xfId="0" applyFont="1" applyFill="1" applyBorder="1" applyAlignment="1">
      <alignment horizontal="left" vertical="center" wrapText="1"/>
    </xf>
    <xf numFmtId="0" fontId="20" fillId="8" borderId="1" xfId="0" applyFont="1" applyFill="1" applyBorder="1" applyAlignment="1">
      <alignment horizontal="center" vertical="center" wrapText="1"/>
    </xf>
    <xf numFmtId="0" fontId="20" fillId="8" borderId="4" xfId="0" applyFont="1" applyFill="1" applyBorder="1" applyAlignment="1">
      <alignment horizontal="center" vertical="center"/>
    </xf>
    <xf numFmtId="0" fontId="20" fillId="2" borderId="5" xfId="0" applyFont="1" applyFill="1" applyBorder="1" applyAlignment="1">
      <alignment horizontal="center" vertical="center"/>
    </xf>
    <xf numFmtId="0" fontId="20" fillId="2" borderId="8" xfId="0" applyFont="1" applyFill="1" applyBorder="1" applyAlignment="1">
      <alignment horizontal="center" vertical="center"/>
    </xf>
    <xf numFmtId="0" fontId="20" fillId="12" borderId="5" xfId="0" applyFont="1" applyFill="1" applyBorder="1" applyAlignment="1">
      <alignment horizontal="center" vertical="center"/>
    </xf>
    <xf numFmtId="0" fontId="20" fillId="12" borderId="6" xfId="0" applyFont="1" applyFill="1" applyBorder="1" applyAlignment="1">
      <alignment horizontal="center" vertical="center"/>
    </xf>
    <xf numFmtId="0" fontId="20" fillId="12" borderId="1" xfId="0" applyFont="1" applyFill="1" applyBorder="1" applyAlignment="1">
      <alignment horizontal="center" vertical="center" wrapText="1"/>
    </xf>
    <xf numFmtId="0" fontId="20" fillId="12" borderId="8" xfId="0" applyFont="1" applyFill="1" applyBorder="1" applyAlignment="1">
      <alignment horizontal="center" vertical="center"/>
    </xf>
    <xf numFmtId="0" fontId="11" fillId="0" borderId="16" xfId="0" applyFont="1" applyBorder="1" applyAlignment="1">
      <alignment vertical="center"/>
    </xf>
    <xf numFmtId="0" fontId="11" fillId="0" borderId="16" xfId="0" applyFont="1" applyBorder="1"/>
    <xf numFmtId="0" fontId="0" fillId="0" borderId="1" xfId="0" applyBorder="1"/>
    <xf numFmtId="1" fontId="0" fillId="0" borderId="1" xfId="0" applyNumberFormat="1" applyBorder="1"/>
    <xf numFmtId="0" fontId="11" fillId="13" borderId="1" xfId="0" applyFont="1" applyFill="1" applyBorder="1"/>
    <xf numFmtId="0" fontId="20" fillId="20" borderId="23" xfId="0" applyFont="1" applyFill="1" applyBorder="1" applyAlignment="1">
      <alignment horizontal="center" vertical="center"/>
    </xf>
    <xf numFmtId="0" fontId="0" fillId="12" borderId="22" xfId="0" applyFill="1" applyBorder="1" applyAlignment="1">
      <alignment vertical="center"/>
    </xf>
    <xf numFmtId="0" fontId="21" fillId="5" borderId="1" xfId="0" applyFont="1" applyFill="1" applyBorder="1" applyAlignment="1">
      <alignment vertical="center"/>
    </xf>
    <xf numFmtId="0" fontId="0" fillId="5" borderId="1" xfId="0" applyFill="1" applyBorder="1" applyAlignment="1">
      <alignment vertical="center"/>
    </xf>
    <xf numFmtId="0" fontId="46" fillId="13" borderId="1" xfId="0" applyFont="1" applyFill="1" applyBorder="1" applyAlignment="1">
      <alignment vertical="center"/>
    </xf>
    <xf numFmtId="1" fontId="21" fillId="5" borderId="1" xfId="0" applyNumberFormat="1" applyFont="1" applyFill="1" applyBorder="1" applyAlignment="1">
      <alignment vertical="center"/>
    </xf>
    <xf numFmtId="1" fontId="0" fillId="5" borderId="1" xfId="0" applyNumberFormat="1" applyFill="1" applyBorder="1" applyAlignment="1">
      <alignment vertical="center"/>
    </xf>
    <xf numFmtId="0" fontId="11" fillId="0" borderId="16" xfId="0" quotePrefix="1" applyFont="1" applyBorder="1" applyAlignment="1">
      <alignment horizontal="center" vertical="center"/>
    </xf>
    <xf numFmtId="0" fontId="5" fillId="8" borderId="4" xfId="0" applyFont="1" applyFill="1" applyBorder="1" applyAlignment="1">
      <alignment horizontal="center" vertical="center"/>
    </xf>
    <xf numFmtId="0" fontId="5" fillId="2" borderId="5" xfId="0" applyFont="1" applyFill="1" applyBorder="1" applyAlignment="1">
      <alignment horizontal="center" vertical="center"/>
    </xf>
    <xf numFmtId="0" fontId="5" fillId="9" borderId="5" xfId="0" applyFont="1" applyFill="1" applyBorder="1" applyAlignment="1">
      <alignment horizontal="center" vertical="center"/>
    </xf>
    <xf numFmtId="0" fontId="5" fillId="12" borderId="5" xfId="0" applyFont="1" applyFill="1" applyBorder="1" applyAlignment="1">
      <alignment horizontal="center" vertical="center"/>
    </xf>
    <xf numFmtId="0" fontId="5" fillId="12" borderId="6" xfId="0" applyFont="1" applyFill="1" applyBorder="1" applyAlignment="1">
      <alignment horizontal="center" vertical="center"/>
    </xf>
    <xf numFmtId="0" fontId="5" fillId="12" borderId="1" xfId="0" applyFont="1" applyFill="1" applyBorder="1" applyAlignment="1">
      <alignment horizontal="center" vertical="center"/>
    </xf>
    <xf numFmtId="0" fontId="5" fillId="12" borderId="8" xfId="0" applyFont="1" applyFill="1" applyBorder="1" applyAlignment="1">
      <alignment horizontal="center" vertical="center"/>
    </xf>
    <xf numFmtId="0" fontId="5" fillId="20" borderId="7" xfId="0" applyFont="1" applyFill="1" applyBorder="1" applyAlignment="1">
      <alignment horizontal="center" vertical="center"/>
    </xf>
    <xf numFmtId="0" fontId="5" fillId="9" borderId="8" xfId="0" applyFont="1" applyFill="1" applyBorder="1" applyAlignment="1">
      <alignment horizontal="center" vertical="center"/>
    </xf>
    <xf numFmtId="0" fontId="5" fillId="20" borderId="1" xfId="0" applyFont="1" applyFill="1" applyBorder="1" applyAlignment="1">
      <alignment horizontal="center" vertical="center"/>
    </xf>
    <xf numFmtId="0" fontId="5" fillId="2" borderId="8" xfId="0" applyFont="1" applyFill="1" applyBorder="1" applyAlignment="1">
      <alignment horizontal="center" vertical="center"/>
    </xf>
    <xf numFmtId="0" fontId="5" fillId="20" borderId="9" xfId="0" applyFont="1" applyFill="1" applyBorder="1" applyAlignment="1">
      <alignment horizontal="center" vertical="center"/>
    </xf>
    <xf numFmtId="0" fontId="5" fillId="20" borderId="10" xfId="0" applyFont="1" applyFill="1" applyBorder="1" applyAlignment="1">
      <alignment horizontal="center" vertical="center"/>
    </xf>
    <xf numFmtId="0" fontId="5" fillId="8" borderId="11" xfId="0" applyFont="1" applyFill="1" applyBorder="1" applyAlignment="1">
      <alignment horizontal="center" vertical="center"/>
    </xf>
    <xf numFmtId="0" fontId="20" fillId="8" borderId="4" xfId="0" applyFont="1" applyFill="1" applyBorder="1" applyAlignment="1">
      <alignment horizontal="center" vertical="center" wrapText="1"/>
    </xf>
    <xf numFmtId="0" fontId="20" fillId="2" borderId="5" xfId="0" applyFont="1" applyFill="1" applyBorder="1" applyAlignment="1">
      <alignment horizontal="center" vertical="center" wrapText="1"/>
    </xf>
    <xf numFmtId="0" fontId="20" fillId="13" borderId="5" xfId="0" applyFont="1" applyFill="1" applyBorder="1" applyAlignment="1">
      <alignment horizontal="center" vertical="center" wrapText="1"/>
    </xf>
    <xf numFmtId="0" fontId="20" fillId="4" borderId="5" xfId="0" applyFont="1" applyFill="1" applyBorder="1" applyAlignment="1">
      <alignment horizontal="center" vertical="center" wrapText="1"/>
    </xf>
    <xf numFmtId="0" fontId="20" fillId="12" borderId="5" xfId="0" applyFont="1" applyFill="1" applyBorder="1" applyAlignment="1">
      <alignment horizontal="center" vertical="center" wrapText="1"/>
    </xf>
    <xf numFmtId="0" fontId="20" fillId="12" borderId="6" xfId="0" applyFont="1" applyFill="1" applyBorder="1" applyAlignment="1">
      <alignment horizontal="center" vertical="center" wrapText="1"/>
    </xf>
    <xf numFmtId="0" fontId="20" fillId="12" borderId="8" xfId="0" applyFont="1" applyFill="1" applyBorder="1" applyAlignment="1">
      <alignment horizontal="center" vertical="center" wrapText="1"/>
    </xf>
    <xf numFmtId="0" fontId="20" fillId="20" borderId="7" xfId="0" applyFont="1" applyFill="1" applyBorder="1" applyAlignment="1">
      <alignment horizontal="center" vertical="center" wrapText="1"/>
    </xf>
    <xf numFmtId="0" fontId="20" fillId="4" borderId="8" xfId="0" applyFont="1" applyFill="1" applyBorder="1" applyAlignment="1">
      <alignment horizontal="center" vertical="center" wrapText="1"/>
    </xf>
    <xf numFmtId="0" fontId="20" fillId="13" borderId="8" xfId="0" applyFont="1" applyFill="1" applyBorder="1" applyAlignment="1">
      <alignment horizontal="center" vertical="center" wrapText="1"/>
    </xf>
    <xf numFmtId="0" fontId="20" fillId="20" borderId="1" xfId="0" applyFont="1" applyFill="1" applyBorder="1" applyAlignment="1">
      <alignment horizontal="center" vertical="center" wrapText="1"/>
    </xf>
    <xf numFmtId="0" fontId="20" fillId="2" borderId="8" xfId="0" applyFont="1" applyFill="1" applyBorder="1" applyAlignment="1">
      <alignment horizontal="center" vertical="center" wrapText="1"/>
    </xf>
    <xf numFmtId="0" fontId="20" fillId="20" borderId="9" xfId="0" applyFont="1" applyFill="1" applyBorder="1" applyAlignment="1">
      <alignment horizontal="center" vertical="center" wrapText="1"/>
    </xf>
    <xf numFmtId="0" fontId="20" fillId="20" borderId="10" xfId="0" applyFont="1" applyFill="1" applyBorder="1" applyAlignment="1">
      <alignment horizontal="center" vertical="center" wrapText="1"/>
    </xf>
    <xf numFmtId="0" fontId="20" fillId="8" borderId="10" xfId="0" applyFont="1" applyFill="1" applyBorder="1" applyAlignment="1">
      <alignment horizontal="center" vertical="center" wrapText="1"/>
    </xf>
    <xf numFmtId="0" fontId="20" fillId="8" borderId="11" xfId="0" applyFont="1" applyFill="1" applyBorder="1" applyAlignment="1">
      <alignment horizontal="center" vertical="center" wrapText="1"/>
    </xf>
    <xf numFmtId="0" fontId="47" fillId="0" borderId="16" xfId="0" applyFont="1" applyBorder="1" applyAlignment="1">
      <alignment vertical="center" wrapText="1"/>
    </xf>
    <xf numFmtId="0" fontId="50" fillId="0" borderId="16" xfId="0" applyFont="1" applyBorder="1" applyAlignment="1">
      <alignment vertical="center" wrapText="1"/>
    </xf>
    <xf numFmtId="0" fontId="13" fillId="0" borderId="16" xfId="0" applyFont="1" applyBorder="1" applyAlignment="1">
      <alignment horizontal="center" vertical="center"/>
    </xf>
    <xf numFmtId="0" fontId="13" fillId="19" borderId="16" xfId="0" applyFont="1" applyFill="1" applyBorder="1" applyAlignment="1">
      <alignment horizontal="center" vertical="center"/>
    </xf>
    <xf numFmtId="0" fontId="11" fillId="15" borderId="19" xfId="0" applyFont="1" applyFill="1" applyBorder="1" applyAlignment="1">
      <alignment horizontal="center" vertical="center" wrapText="1"/>
    </xf>
    <xf numFmtId="0" fontId="0" fillId="0" borderId="21" xfId="0" applyBorder="1" applyAlignment="1">
      <alignment vertical="center" wrapText="1"/>
    </xf>
    <xf numFmtId="0" fontId="0" fillId="0" borderId="16" xfId="0" applyBorder="1" applyAlignment="1">
      <alignment horizontal="center" vertical="center" wrapText="1"/>
    </xf>
    <xf numFmtId="0" fontId="0" fillId="0" borderId="22" xfId="0" applyBorder="1" applyAlignment="1">
      <alignment horizontal="center" vertical="center" wrapText="1"/>
    </xf>
    <xf numFmtId="0" fontId="0" fillId="0" borderId="1" xfId="0" applyBorder="1" applyAlignment="1">
      <alignment horizontal="center" vertical="center" wrapText="1"/>
    </xf>
    <xf numFmtId="0" fontId="0" fillId="0" borderId="29" xfId="0" applyBorder="1" applyAlignment="1">
      <alignment horizontal="center" vertical="center" wrapText="1"/>
    </xf>
    <xf numFmtId="0" fontId="0" fillId="0" borderId="27" xfId="0" applyBorder="1" applyAlignment="1">
      <alignment horizontal="center" vertical="center" wrapText="1"/>
    </xf>
    <xf numFmtId="0" fontId="0" fillId="0" borderId="1" xfId="0" applyBorder="1" applyAlignment="1">
      <alignment vertical="center" wrapText="1"/>
    </xf>
    <xf numFmtId="0" fontId="13" fillId="19" borderId="1" xfId="0" applyFont="1" applyFill="1" applyBorder="1" applyAlignment="1">
      <alignment horizontal="center" vertical="center"/>
    </xf>
    <xf numFmtId="165" fontId="11" fillId="2" borderId="16" xfId="2" applyNumberFormat="1" applyFont="1" applyFill="1" applyBorder="1" applyAlignment="1">
      <alignment horizontal="center" vertical="center"/>
    </xf>
    <xf numFmtId="165" fontId="11" fillId="0" borderId="16" xfId="2" applyNumberFormat="1" applyFont="1" applyBorder="1" applyAlignment="1">
      <alignment horizontal="center" vertical="center"/>
    </xf>
    <xf numFmtId="165" fontId="11" fillId="13" borderId="16" xfId="2" applyNumberFormat="1" applyFont="1" applyFill="1" applyBorder="1" applyAlignment="1">
      <alignment horizontal="center" vertical="center"/>
    </xf>
    <xf numFmtId="0" fontId="38" fillId="2" borderId="16" xfId="0" applyFont="1" applyFill="1" applyBorder="1" applyAlignment="1">
      <alignment horizontal="center" vertical="center"/>
    </xf>
    <xf numFmtId="0" fontId="38" fillId="19" borderId="16" xfId="0" applyFont="1" applyFill="1" applyBorder="1" applyAlignment="1">
      <alignment horizontal="center" vertical="center"/>
    </xf>
    <xf numFmtId="0" fontId="52" fillId="0" borderId="16" xfId="0" quotePrefix="1" applyFont="1" applyBorder="1" applyAlignment="1">
      <alignment horizontal="left" wrapText="1"/>
    </xf>
    <xf numFmtId="0" fontId="52" fillId="0" borderId="1" xfId="0" applyFont="1" applyBorder="1" applyAlignment="1">
      <alignment horizontal="left" wrapText="1"/>
    </xf>
    <xf numFmtId="0" fontId="52" fillId="0" borderId="16" xfId="0" applyFont="1" applyBorder="1" applyAlignment="1">
      <alignment vertical="center" wrapText="1"/>
    </xf>
    <xf numFmtId="0" fontId="52" fillId="0" borderId="16" xfId="0" applyFont="1" applyBorder="1" applyAlignment="1">
      <alignment wrapText="1"/>
    </xf>
    <xf numFmtId="0" fontId="52" fillId="0" borderId="16" xfId="0" applyFont="1" applyBorder="1" applyAlignment="1">
      <alignment horizontal="left" vertical="center" wrapText="1"/>
    </xf>
    <xf numFmtId="0" fontId="27" fillId="0" borderId="1" xfId="0" applyFont="1" applyBorder="1" applyAlignment="1">
      <alignment horizontal="left" vertical="center" wrapText="1"/>
    </xf>
    <xf numFmtId="0" fontId="52" fillId="0" borderId="16" xfId="0" quotePrefix="1" applyFont="1" applyBorder="1" applyAlignment="1">
      <alignment vertical="center" wrapText="1"/>
    </xf>
    <xf numFmtId="0" fontId="53" fillId="15" borderId="16" xfId="0" applyFont="1" applyFill="1" applyBorder="1" applyAlignment="1">
      <alignment horizontal="center" vertical="center" wrapText="1"/>
    </xf>
    <xf numFmtId="0" fontId="53" fillId="15" borderId="16" xfId="0" quotePrefix="1" applyFont="1" applyFill="1" applyBorder="1" applyAlignment="1">
      <alignment horizontal="center" vertical="center" wrapText="1"/>
    </xf>
    <xf numFmtId="0" fontId="52" fillId="0" borderId="16" xfId="0" quotePrefix="1" applyFont="1" applyBorder="1" applyAlignment="1">
      <alignment horizontal="left" vertical="center" wrapText="1"/>
    </xf>
    <xf numFmtId="0" fontId="52" fillId="0" borderId="22" xfId="0" applyFont="1" applyBorder="1" applyAlignment="1">
      <alignment vertical="center" wrapText="1"/>
    </xf>
    <xf numFmtId="0" fontId="0" fillId="0" borderId="16" xfId="0" applyBorder="1" applyAlignment="1">
      <alignment vertical="top" wrapText="1"/>
    </xf>
    <xf numFmtId="0" fontId="28" fillId="5" borderId="28" xfId="0" applyFont="1" applyFill="1" applyBorder="1" applyAlignment="1">
      <alignment horizontal="center" vertical="center"/>
    </xf>
    <xf numFmtId="0" fontId="28" fillId="5" borderId="23" xfId="0" applyFont="1" applyFill="1" applyBorder="1" applyAlignment="1">
      <alignment horizontal="center" vertical="center"/>
    </xf>
    <xf numFmtId="0" fontId="36" fillId="5" borderId="28" xfId="0" applyFont="1" applyFill="1" applyBorder="1" applyAlignment="1">
      <alignment horizontal="center" vertical="center" wrapText="1"/>
    </xf>
    <xf numFmtId="9" fontId="29" fillId="5" borderId="23" xfId="1" applyFont="1" applyFill="1" applyBorder="1" applyAlignment="1">
      <alignment horizontal="center" vertical="center"/>
    </xf>
    <xf numFmtId="0" fontId="39" fillId="5" borderId="23" xfId="0" applyFont="1" applyFill="1" applyBorder="1" applyAlignment="1">
      <alignment horizontal="center" vertical="center" wrapText="1"/>
    </xf>
    <xf numFmtId="0" fontId="0" fillId="5" borderId="16" xfId="0" applyFill="1" applyBorder="1" applyAlignment="1">
      <alignment vertical="center" wrapText="1"/>
    </xf>
    <xf numFmtId="0" fontId="53" fillId="0" borderId="16" xfId="0" applyFont="1" applyBorder="1" applyAlignment="1">
      <alignment horizontal="center" vertical="center"/>
    </xf>
    <xf numFmtId="0" fontId="52" fillId="0" borderId="21" xfId="0" applyFont="1" applyBorder="1" applyAlignment="1">
      <alignment vertical="center" wrapText="1"/>
    </xf>
    <xf numFmtId="0" fontId="38" fillId="0" borderId="19" xfId="0" applyFont="1" applyBorder="1" applyAlignment="1">
      <alignment horizontal="center" vertical="center" wrapText="1"/>
    </xf>
    <xf numFmtId="0" fontId="11" fillId="0" borderId="23" xfId="0" applyFont="1" applyBorder="1" applyAlignment="1">
      <alignment vertical="center"/>
    </xf>
    <xf numFmtId="0" fontId="52" fillId="18" borderId="16" xfId="0" applyFont="1" applyFill="1" applyBorder="1" applyAlignment="1">
      <alignment vertical="center" wrapText="1"/>
    </xf>
    <xf numFmtId="0" fontId="11" fillId="18" borderId="16" xfId="0" applyFont="1" applyFill="1" applyBorder="1" applyAlignment="1">
      <alignment horizontal="center" vertical="center" wrapText="1"/>
    </xf>
    <xf numFmtId="0" fontId="18" fillId="0" borderId="1" xfId="0" applyFont="1" applyBorder="1" applyAlignment="1">
      <alignment horizontal="left" vertical="center" wrapText="1"/>
    </xf>
    <xf numFmtId="0" fontId="18" fillId="0" borderId="1" xfId="0" applyFont="1" applyBorder="1" applyAlignment="1">
      <alignment wrapText="1"/>
    </xf>
    <xf numFmtId="0" fontId="11" fillId="9" borderId="32" xfId="0" applyFont="1" applyFill="1" applyBorder="1" applyAlignment="1">
      <alignment horizontal="center" vertical="center"/>
    </xf>
    <xf numFmtId="0" fontId="45" fillId="19" borderId="3" xfId="0" applyFont="1" applyFill="1" applyBorder="1" applyAlignment="1">
      <alignment horizontal="center" vertical="center"/>
    </xf>
    <xf numFmtId="0" fontId="11" fillId="2" borderId="23" xfId="0" applyFont="1" applyFill="1" applyBorder="1" applyAlignment="1">
      <alignment horizontal="center" vertical="center"/>
    </xf>
    <xf numFmtId="20" fontId="28" fillId="5" borderId="16" xfId="0" applyNumberFormat="1" applyFont="1" applyFill="1" applyBorder="1" applyAlignment="1">
      <alignment vertical="center" wrapText="1"/>
    </xf>
    <xf numFmtId="0" fontId="39" fillId="5" borderId="16" xfId="0" applyFont="1" applyFill="1" applyBorder="1" applyAlignment="1">
      <alignment vertical="center"/>
    </xf>
    <xf numFmtId="0" fontId="39" fillId="5" borderId="16" xfId="0" applyFont="1" applyFill="1" applyBorder="1" applyAlignment="1">
      <alignment vertical="center" wrapText="1"/>
    </xf>
    <xf numFmtId="0" fontId="52" fillId="0" borderId="19" xfId="0" applyFont="1" applyBorder="1" applyAlignment="1">
      <alignment vertical="center"/>
    </xf>
    <xf numFmtId="0" fontId="53" fillId="0" borderId="16" xfId="0" applyFont="1" applyBorder="1" applyAlignment="1">
      <alignment horizontal="center" vertical="center" wrapText="1"/>
    </xf>
    <xf numFmtId="0" fontId="53" fillId="2" borderId="16" xfId="0" applyFont="1" applyFill="1" applyBorder="1" applyAlignment="1">
      <alignment horizontal="center" vertical="center"/>
    </xf>
    <xf numFmtId="0" fontId="53" fillId="19" borderId="16" xfId="0" applyFont="1" applyFill="1" applyBorder="1" applyAlignment="1">
      <alignment horizontal="center" vertical="center"/>
    </xf>
    <xf numFmtId="0" fontId="52" fillId="0" borderId="23" xfId="0" applyFont="1" applyBorder="1" applyAlignment="1">
      <alignment horizontal="left" vertical="center" wrapText="1"/>
    </xf>
    <xf numFmtId="0" fontId="52" fillId="0" borderId="0" xfId="0" applyFont="1" applyAlignment="1">
      <alignment vertical="center"/>
    </xf>
    <xf numFmtId="0" fontId="53" fillId="0" borderId="16" xfId="0" applyFont="1" applyBorder="1" applyAlignment="1">
      <alignment horizontal="center" wrapText="1"/>
    </xf>
    <xf numFmtId="0" fontId="52" fillId="0" borderId="19" xfId="0" applyFont="1" applyBorder="1"/>
    <xf numFmtId="0" fontId="53" fillId="0" borderId="36" xfId="0" applyFont="1" applyBorder="1" applyAlignment="1">
      <alignment horizontal="center" wrapText="1"/>
    </xf>
    <xf numFmtId="0" fontId="52" fillId="0" borderId="34" xfId="0" applyFont="1" applyBorder="1" applyAlignment="1">
      <alignment vertical="center"/>
    </xf>
    <xf numFmtId="0" fontId="11" fillId="0" borderId="16" xfId="0" applyFont="1" applyBorder="1" applyAlignment="1">
      <alignment horizontal="center" vertical="center" wrapText="1"/>
    </xf>
    <xf numFmtId="0" fontId="20" fillId="13" borderId="19" xfId="0" applyFont="1" applyFill="1" applyBorder="1" applyAlignment="1">
      <alignment horizontal="center" vertical="center" wrapText="1"/>
    </xf>
    <xf numFmtId="0" fontId="20" fillId="2" borderId="19" xfId="0" applyFont="1" applyFill="1" applyBorder="1" applyAlignment="1">
      <alignment horizontal="center" vertical="center" wrapText="1"/>
    </xf>
    <xf numFmtId="0" fontId="20" fillId="13" borderId="25" xfId="0" applyFont="1" applyFill="1" applyBorder="1" applyAlignment="1">
      <alignment horizontal="center" vertical="center" wrapText="1"/>
    </xf>
    <xf numFmtId="0" fontId="20" fillId="2" borderId="16" xfId="0" applyFont="1" applyFill="1" applyBorder="1" applyAlignment="1">
      <alignment horizontal="center" vertical="center"/>
    </xf>
    <xf numFmtId="0" fontId="20" fillId="9" borderId="25" xfId="0" applyFont="1" applyFill="1" applyBorder="1" applyAlignment="1">
      <alignment horizontal="center" vertical="center" wrapText="1"/>
    </xf>
    <xf numFmtId="0" fontId="20" fillId="13" borderId="16" xfId="0" applyFont="1" applyFill="1" applyBorder="1" applyAlignment="1">
      <alignment horizontal="center" vertical="center"/>
    </xf>
    <xf numFmtId="0" fontId="11" fillId="0" borderId="1" xfId="0" applyFont="1" applyBorder="1" applyAlignment="1">
      <alignment vertical="center" wrapText="1"/>
    </xf>
    <xf numFmtId="0" fontId="11" fillId="0" borderId="1" xfId="0" applyFont="1" applyBorder="1" applyAlignment="1">
      <alignment horizontal="center" vertical="center" wrapText="1"/>
    </xf>
    <xf numFmtId="0" fontId="11" fillId="0" borderId="19" xfId="0" applyFont="1" applyBorder="1" applyAlignment="1">
      <alignment horizontal="center" vertical="center"/>
    </xf>
    <xf numFmtId="0" fontId="11" fillId="15" borderId="23" xfId="0" applyFont="1" applyFill="1" applyBorder="1" applyAlignment="1">
      <alignment horizontal="center" vertical="center" wrapText="1"/>
    </xf>
    <xf numFmtId="0" fontId="56" fillId="5" borderId="1" xfId="0" applyFont="1" applyFill="1" applyBorder="1" applyAlignment="1">
      <alignment horizontal="center" vertical="center" wrapText="1"/>
    </xf>
    <xf numFmtId="0" fontId="22" fillId="5" borderId="1" xfId="0" applyFont="1" applyFill="1" applyBorder="1" applyAlignment="1">
      <alignment horizontal="left" vertical="center"/>
    </xf>
    <xf numFmtId="0" fontId="54" fillId="5" borderId="1" xfId="0" applyFont="1" applyFill="1" applyBorder="1" applyAlignment="1">
      <alignment horizontal="left" vertical="center"/>
    </xf>
    <xf numFmtId="0" fontId="22" fillId="5" borderId="2" xfId="0" applyFont="1" applyFill="1" applyBorder="1" applyAlignment="1">
      <alignment horizontal="left" vertical="center"/>
    </xf>
    <xf numFmtId="0" fontId="54" fillId="5" borderId="2" xfId="0" applyFont="1" applyFill="1" applyBorder="1" applyAlignment="1">
      <alignment horizontal="left" vertical="center"/>
    </xf>
    <xf numFmtId="0" fontId="57" fillId="5" borderId="1" xfId="0" applyFont="1" applyFill="1" applyBorder="1" applyAlignment="1">
      <alignment horizontal="center" vertical="center" wrapText="1"/>
    </xf>
    <xf numFmtId="0" fontId="22" fillId="0" borderId="1" xfId="0" applyFont="1" applyBorder="1" applyAlignment="1">
      <alignment horizontal="center" vertical="center"/>
    </xf>
    <xf numFmtId="0" fontId="22" fillId="0" borderId="2" xfId="0" applyFont="1" applyBorder="1" applyAlignment="1">
      <alignment horizontal="center" vertical="center"/>
    </xf>
    <xf numFmtId="0" fontId="55" fillId="5" borderId="1" xfId="0" applyFont="1" applyFill="1" applyBorder="1" applyAlignment="1">
      <alignment horizontal="center" vertical="center"/>
    </xf>
    <xf numFmtId="0" fontId="58" fillId="12" borderId="1" xfId="0" applyFont="1" applyFill="1" applyBorder="1" applyAlignment="1">
      <alignment horizontal="center" vertical="center"/>
    </xf>
    <xf numFmtId="0" fontId="0" fillId="0" borderId="1" xfId="0" quotePrefix="1" applyBorder="1" applyAlignment="1">
      <alignment vertical="center" wrapText="1"/>
    </xf>
    <xf numFmtId="0" fontId="52" fillId="0" borderId="1" xfId="0" applyFont="1" applyBorder="1" applyAlignment="1">
      <alignment vertical="center" wrapText="1"/>
    </xf>
    <xf numFmtId="0" fontId="52" fillId="0" borderId="1" xfId="0" quotePrefix="1" applyFont="1" applyBorder="1" applyAlignment="1">
      <alignment vertical="center" wrapText="1"/>
    </xf>
    <xf numFmtId="20" fontId="28" fillId="5" borderId="1" xfId="0" applyNumberFormat="1" applyFont="1" applyFill="1" applyBorder="1" applyAlignment="1">
      <alignment horizontal="left" vertical="center" wrapText="1"/>
    </xf>
    <xf numFmtId="1" fontId="11" fillId="0" borderId="16" xfId="0" applyNumberFormat="1" applyFont="1" applyBorder="1" applyAlignment="1">
      <alignment horizontal="center" vertical="center"/>
    </xf>
    <xf numFmtId="0" fontId="0" fillId="21" borderId="16" xfId="0" applyFill="1" applyBorder="1" applyAlignment="1">
      <alignment vertical="center" wrapText="1"/>
    </xf>
    <xf numFmtId="1" fontId="11" fillId="2" borderId="16" xfId="0" applyNumberFormat="1" applyFont="1" applyFill="1" applyBorder="1" applyAlignment="1">
      <alignment horizontal="center" vertical="center"/>
    </xf>
    <xf numFmtId="20" fontId="28" fillId="0" borderId="16" xfId="0" applyNumberFormat="1" applyFont="1" applyBorder="1" applyAlignment="1">
      <alignment horizontal="center" vertical="center" wrapText="1"/>
    </xf>
    <xf numFmtId="0" fontId="0" fillId="18" borderId="16" xfId="0" quotePrefix="1" applyFill="1" applyBorder="1" applyAlignment="1">
      <alignment vertical="center" wrapText="1"/>
    </xf>
    <xf numFmtId="0" fontId="11" fillId="18" borderId="16" xfId="0" quotePrefix="1" applyFont="1" applyFill="1" applyBorder="1" applyAlignment="1">
      <alignment horizontal="center" vertical="center" wrapText="1"/>
    </xf>
    <xf numFmtId="0" fontId="53" fillId="18" borderId="16" xfId="0" applyFont="1" applyFill="1" applyBorder="1" applyAlignment="1">
      <alignment horizontal="center" vertical="center" wrapText="1"/>
    </xf>
    <xf numFmtId="0" fontId="0" fillId="0" borderId="1" xfId="0" applyBorder="1" applyAlignment="1">
      <alignment horizontal="left" vertical="center" wrapText="1"/>
    </xf>
    <xf numFmtId="0" fontId="0" fillId="18" borderId="16" xfId="0" applyFill="1" applyBorder="1" applyAlignment="1">
      <alignment vertical="center" wrapText="1"/>
    </xf>
    <xf numFmtId="0" fontId="0" fillId="22" borderId="0" xfId="0" applyFill="1"/>
    <xf numFmtId="0" fontId="20" fillId="5" borderId="1" xfId="0" applyFont="1" applyFill="1" applyBorder="1" applyAlignment="1">
      <alignment horizontal="center" vertical="center"/>
    </xf>
    <xf numFmtId="0" fontId="0" fillId="0" borderId="0" xfId="0" applyAlignment="1">
      <alignment horizontal="center" vertical="center" wrapText="1"/>
    </xf>
    <xf numFmtId="0" fontId="0" fillId="0" borderId="37" xfId="0" applyBorder="1" applyAlignment="1">
      <alignment vertical="center"/>
    </xf>
    <xf numFmtId="0" fontId="28" fillId="5" borderId="22" xfId="0" applyFont="1" applyFill="1" applyBorder="1" applyAlignment="1">
      <alignment horizontal="center" vertical="center"/>
    </xf>
    <xf numFmtId="164" fontId="29" fillId="5" borderId="16" xfId="1" applyNumberFormat="1" applyFont="1" applyFill="1" applyBorder="1" applyAlignment="1">
      <alignment horizontal="center" vertical="center"/>
    </xf>
    <xf numFmtId="0" fontId="28" fillId="5" borderId="16" xfId="0" applyFont="1" applyFill="1" applyBorder="1" applyAlignment="1">
      <alignment horizontal="center" vertical="center"/>
    </xf>
    <xf numFmtId="164" fontId="29" fillId="5" borderId="23" xfId="1" applyNumberFormat="1" applyFont="1" applyFill="1" applyBorder="1" applyAlignment="1">
      <alignment horizontal="center" vertical="center"/>
    </xf>
    <xf numFmtId="0" fontId="36" fillId="5" borderId="22" xfId="0" applyFont="1" applyFill="1" applyBorder="1" applyAlignment="1">
      <alignment horizontal="center" vertical="center" wrapText="1"/>
    </xf>
    <xf numFmtId="0" fontId="36" fillId="5" borderId="23" xfId="0" applyFont="1" applyFill="1" applyBorder="1" applyAlignment="1">
      <alignment horizontal="center" vertical="center" wrapText="1"/>
    </xf>
    <xf numFmtId="0" fontId="11" fillId="0" borderId="22" xfId="0" applyFont="1" applyBorder="1" applyAlignment="1">
      <alignment horizontal="center" vertical="center" wrapText="1"/>
    </xf>
    <xf numFmtId="0" fontId="11" fillId="0" borderId="23" xfId="0" applyFont="1" applyBorder="1" applyAlignment="1">
      <alignment horizontal="center" vertical="center" wrapText="1"/>
    </xf>
    <xf numFmtId="0" fontId="39" fillId="5" borderId="16" xfId="0" applyFont="1" applyFill="1" applyBorder="1" applyAlignment="1">
      <alignment horizontal="center" vertical="center" wrapText="1"/>
    </xf>
    <xf numFmtId="0" fontId="45" fillId="0" borderId="16" xfId="0" applyFont="1" applyBorder="1" applyAlignment="1">
      <alignment horizontal="center" vertical="center"/>
    </xf>
    <xf numFmtId="0" fontId="0" fillId="8" borderId="27" xfId="0" applyFill="1" applyBorder="1"/>
    <xf numFmtId="0" fontId="28" fillId="20" borderId="16" xfId="0" applyFont="1" applyFill="1" applyBorder="1" applyAlignment="1">
      <alignment horizontal="center" vertical="center"/>
    </xf>
    <xf numFmtId="0" fontId="28" fillId="20" borderId="16" xfId="0" applyFont="1" applyFill="1" applyBorder="1" applyAlignment="1">
      <alignment horizontal="center" vertical="center" wrapText="1"/>
    </xf>
    <xf numFmtId="0" fontId="0" fillId="20" borderId="16" xfId="0" quotePrefix="1" applyFill="1" applyBorder="1" applyAlignment="1">
      <alignment vertical="center" wrapText="1"/>
    </xf>
    <xf numFmtId="0" fontId="11" fillId="20" borderId="16" xfId="0" applyFont="1" applyFill="1" applyBorder="1" applyAlignment="1">
      <alignment horizontal="center" vertical="center" wrapText="1"/>
    </xf>
    <xf numFmtId="0" fontId="30" fillId="20" borderId="16" xfId="0" applyFont="1" applyFill="1" applyBorder="1" applyAlignment="1">
      <alignment horizontal="center" vertical="center" wrapText="1"/>
    </xf>
    <xf numFmtId="0" fontId="11" fillId="20" borderId="16" xfId="0" applyFont="1" applyFill="1" applyBorder="1" applyAlignment="1">
      <alignment horizontal="center" vertical="center"/>
    </xf>
    <xf numFmtId="0" fontId="30" fillId="20" borderId="23" xfId="0" applyFont="1" applyFill="1" applyBorder="1" applyAlignment="1">
      <alignment horizontal="center" vertical="center" wrapText="1"/>
    </xf>
    <xf numFmtId="0" fontId="40" fillId="20" borderId="16" xfId="0" applyFont="1" applyFill="1" applyBorder="1" applyAlignment="1">
      <alignment horizontal="center" vertical="center" wrapText="1"/>
    </xf>
    <xf numFmtId="0" fontId="0" fillId="20" borderId="26" xfId="0" applyFill="1" applyBorder="1"/>
    <xf numFmtId="0" fontId="0" fillId="20" borderId="27" xfId="0" applyFill="1" applyBorder="1"/>
    <xf numFmtId="0" fontId="0" fillId="20" borderId="16" xfId="0" applyFill="1" applyBorder="1" applyAlignment="1">
      <alignment vertical="center" wrapText="1"/>
    </xf>
    <xf numFmtId="0" fontId="45" fillId="20" borderId="16" xfId="0" applyFont="1" applyFill="1" applyBorder="1" applyAlignment="1">
      <alignment horizontal="center" vertical="center"/>
    </xf>
    <xf numFmtId="0" fontId="38" fillId="20" borderId="16" xfId="0" applyFont="1" applyFill="1" applyBorder="1" applyAlignment="1">
      <alignment horizontal="center" vertical="center" wrapText="1"/>
    </xf>
    <xf numFmtId="0" fontId="11" fillId="4" borderId="16" xfId="0" applyFont="1" applyFill="1" applyBorder="1" applyAlignment="1">
      <alignment horizontal="center" vertical="center" wrapText="1"/>
    </xf>
    <xf numFmtId="0" fontId="11" fillId="4" borderId="16" xfId="0" applyFont="1" applyFill="1" applyBorder="1" applyAlignment="1">
      <alignment horizontal="center" vertical="center"/>
    </xf>
    <xf numFmtId="0" fontId="0" fillId="4" borderId="26" xfId="0" applyFill="1" applyBorder="1"/>
    <xf numFmtId="0" fontId="0" fillId="4" borderId="27" xfId="0" applyFill="1" applyBorder="1"/>
    <xf numFmtId="0" fontId="52" fillId="20" borderId="16" xfId="0" quotePrefix="1" applyFont="1" applyFill="1" applyBorder="1" applyAlignment="1">
      <alignment vertical="center" wrapText="1"/>
    </xf>
    <xf numFmtId="0" fontId="11" fillId="5" borderId="16" xfId="0" applyFont="1" applyFill="1" applyBorder="1" applyAlignment="1">
      <alignment horizontal="center" vertical="center" wrapText="1"/>
    </xf>
    <xf numFmtId="0" fontId="11" fillId="5" borderId="16" xfId="0" applyFont="1" applyFill="1" applyBorder="1" applyAlignment="1">
      <alignment horizontal="center" vertical="center"/>
    </xf>
    <xf numFmtId="0" fontId="45" fillId="5" borderId="16" xfId="0" applyFont="1" applyFill="1" applyBorder="1" applyAlignment="1">
      <alignment horizontal="center" vertical="center"/>
    </xf>
    <xf numFmtId="0" fontId="0" fillId="5" borderId="16" xfId="0" applyFill="1" applyBorder="1" applyAlignment="1">
      <alignment horizontal="center" vertical="center" wrapText="1"/>
    </xf>
    <xf numFmtId="0" fontId="38" fillId="5" borderId="16" xfId="0" applyFont="1" applyFill="1" applyBorder="1" applyAlignment="1">
      <alignment horizontal="center" vertical="center" wrapText="1"/>
    </xf>
    <xf numFmtId="0" fontId="0" fillId="5" borderId="26" xfId="0" applyFill="1" applyBorder="1"/>
    <xf numFmtId="0" fontId="0" fillId="5" borderId="27" xfId="0" applyFill="1" applyBorder="1"/>
    <xf numFmtId="0" fontId="52" fillId="5" borderId="16" xfId="0" quotePrefix="1" applyFont="1" applyFill="1" applyBorder="1" applyAlignment="1">
      <alignment vertical="center" wrapText="1"/>
    </xf>
    <xf numFmtId="0" fontId="11" fillId="0" borderId="16" xfId="0" quotePrefix="1" applyFont="1" applyBorder="1" applyAlignment="1">
      <alignment horizontal="center" vertical="center" wrapText="1"/>
    </xf>
    <xf numFmtId="20" fontId="37" fillId="0" borderId="28" xfId="0" applyNumberFormat="1" applyFont="1" applyBorder="1" applyAlignment="1">
      <alignment horizontal="center" vertical="center" wrapText="1"/>
    </xf>
    <xf numFmtId="0" fontId="45" fillId="0" borderId="22" xfId="0" applyFont="1" applyBorder="1" applyAlignment="1">
      <alignment horizontal="center" vertical="center"/>
    </xf>
    <xf numFmtId="0" fontId="28" fillId="20" borderId="28" xfId="0" applyFont="1" applyFill="1" applyBorder="1" applyAlignment="1">
      <alignment horizontal="center" vertical="center"/>
    </xf>
    <xf numFmtId="0" fontId="28" fillId="20" borderId="28" xfId="0" applyFont="1" applyFill="1" applyBorder="1" applyAlignment="1">
      <alignment horizontal="center" vertical="center" wrapText="1"/>
    </xf>
    <xf numFmtId="0" fontId="29" fillId="20" borderId="28" xfId="0" applyFont="1" applyFill="1" applyBorder="1" applyAlignment="1">
      <alignment horizontal="center" vertical="center"/>
    </xf>
    <xf numFmtId="0" fontId="32" fillId="20" borderId="23" xfId="0" applyFont="1" applyFill="1" applyBorder="1" applyAlignment="1">
      <alignment horizontal="center" vertical="center" wrapText="1"/>
    </xf>
    <xf numFmtId="0" fontId="0" fillId="20" borderId="0" xfId="0" applyFill="1"/>
    <xf numFmtId="0" fontId="52" fillId="20" borderId="16" xfId="0" applyFont="1" applyFill="1" applyBorder="1" applyAlignment="1">
      <alignment vertical="center" wrapText="1"/>
    </xf>
    <xf numFmtId="0" fontId="53" fillId="20" borderId="16" xfId="0" applyFont="1" applyFill="1" applyBorder="1" applyAlignment="1">
      <alignment horizontal="center" vertical="center" wrapText="1"/>
    </xf>
    <xf numFmtId="0" fontId="53" fillId="20" borderId="16" xfId="0" applyFont="1" applyFill="1" applyBorder="1" applyAlignment="1">
      <alignment horizontal="center" vertical="center"/>
    </xf>
    <xf numFmtId="0" fontId="38" fillId="20" borderId="16" xfId="0" applyFont="1" applyFill="1" applyBorder="1" applyAlignment="1">
      <alignment horizontal="center" vertical="center"/>
    </xf>
    <xf numFmtId="0" fontId="53" fillId="20" borderId="16" xfId="0" quotePrefix="1" applyFont="1" applyFill="1" applyBorder="1" applyAlignment="1">
      <alignment horizontal="center" vertical="center" wrapText="1"/>
    </xf>
    <xf numFmtId="0" fontId="52" fillId="4" borderId="1" xfId="0" applyFont="1" applyFill="1" applyBorder="1" applyAlignment="1">
      <alignment horizontal="left" wrapText="1"/>
    </xf>
    <xf numFmtId="0" fontId="0" fillId="8" borderId="16" xfId="0" applyFill="1" applyBorder="1" applyAlignment="1">
      <alignment vertical="center" wrapText="1"/>
    </xf>
    <xf numFmtId="0" fontId="11" fillId="8" borderId="16" xfId="0" applyFont="1" applyFill="1" applyBorder="1" applyAlignment="1">
      <alignment horizontal="center" vertical="center" wrapText="1"/>
    </xf>
    <xf numFmtId="0" fontId="0" fillId="8" borderId="16" xfId="0" quotePrefix="1" applyFill="1" applyBorder="1" applyAlignment="1">
      <alignment vertical="center" wrapText="1"/>
    </xf>
    <xf numFmtId="0" fontId="52" fillId="0" borderId="19" xfId="0" quotePrefix="1" applyFont="1" applyBorder="1" applyAlignment="1">
      <alignment horizontal="left" vertical="center" wrapText="1"/>
    </xf>
    <xf numFmtId="165" fontId="11" fillId="0" borderId="16" xfId="2" applyNumberFormat="1" applyFont="1" applyFill="1" applyBorder="1" applyAlignment="1">
      <alignment horizontal="center" vertical="center"/>
    </xf>
    <xf numFmtId="0" fontId="0" fillId="0" borderId="16" xfId="0" applyBorder="1" applyAlignment="1">
      <alignment horizontal="center" vertical="center"/>
    </xf>
    <xf numFmtId="0" fontId="45" fillId="19" borderId="16" xfId="0" applyFont="1" applyFill="1" applyBorder="1" applyAlignment="1">
      <alignment horizontal="center" vertical="center" wrapText="1"/>
    </xf>
    <xf numFmtId="0" fontId="27" fillId="0" borderId="2" xfId="0" applyFont="1" applyBorder="1" applyAlignment="1">
      <alignment horizontal="left" vertical="center" wrapText="1"/>
    </xf>
    <xf numFmtId="0" fontId="0" fillId="0" borderId="26" xfId="0" applyBorder="1" applyAlignment="1">
      <alignment vertical="center" wrapText="1"/>
    </xf>
    <xf numFmtId="0" fontId="28" fillId="5" borderId="20" xfId="0" applyFont="1" applyFill="1" applyBorder="1" applyAlignment="1">
      <alignment vertical="center" wrapText="1"/>
    </xf>
    <xf numFmtId="0" fontId="11" fillId="0" borderId="21" xfId="0" applyFont="1" applyBorder="1" applyAlignment="1">
      <alignment horizontal="center" vertical="center" wrapText="1"/>
    </xf>
    <xf numFmtId="0" fontId="64" fillId="0" borderId="22" xfId="0" applyFont="1" applyBorder="1" applyAlignment="1">
      <alignment horizontal="left" vertical="center" wrapText="1"/>
    </xf>
    <xf numFmtId="0" fontId="11" fillId="0" borderId="0" xfId="0" applyFont="1" applyAlignment="1">
      <alignment horizontal="center" vertical="center" wrapText="1"/>
    </xf>
    <xf numFmtId="0" fontId="0" fillId="0" borderId="19" xfId="0" applyBorder="1" applyAlignment="1">
      <alignment horizontal="center" vertical="center" wrapText="1"/>
    </xf>
    <xf numFmtId="0" fontId="64" fillId="0" borderId="16" xfId="0" applyFont="1" applyBorder="1" applyAlignment="1">
      <alignment horizontal="left" vertical="center" wrapText="1"/>
    </xf>
    <xf numFmtId="0" fontId="11" fillId="0" borderId="22" xfId="0" quotePrefix="1" applyFont="1" applyBorder="1" applyAlignment="1">
      <alignment horizontal="center" vertical="center" wrapText="1"/>
    </xf>
    <xf numFmtId="0" fontId="0" fillId="0" borderId="28" xfId="0" applyBorder="1" applyAlignment="1">
      <alignment horizontal="left" vertical="center" wrapText="1"/>
    </xf>
    <xf numFmtId="0" fontId="0" fillId="0" borderId="22" xfId="0" applyBorder="1" applyAlignment="1">
      <alignment horizontal="left" vertical="center" wrapText="1"/>
    </xf>
    <xf numFmtId="0" fontId="0" fillId="0" borderId="24" xfId="0" applyBorder="1" applyAlignment="1">
      <alignment horizontal="center" vertical="center" wrapText="1"/>
    </xf>
    <xf numFmtId="0" fontId="0" fillId="0" borderId="25" xfId="0" applyBorder="1" applyAlignment="1">
      <alignment horizontal="center" vertical="center" wrapText="1"/>
    </xf>
    <xf numFmtId="0" fontId="27" fillId="0" borderId="16" xfId="0" applyFont="1" applyBorder="1" applyAlignment="1">
      <alignment horizontal="left" vertical="center" wrapText="1"/>
    </xf>
    <xf numFmtId="0" fontId="0" fillId="0" borderId="23" xfId="0" applyBorder="1" applyAlignment="1">
      <alignment horizontal="left" vertical="center" wrapText="1"/>
    </xf>
    <xf numFmtId="0" fontId="20" fillId="0" borderId="16" xfId="0" applyFont="1" applyBorder="1" applyAlignment="1">
      <alignment vertical="center" wrapText="1"/>
    </xf>
    <xf numFmtId="1" fontId="11" fillId="0" borderId="16" xfId="0" applyNumberFormat="1" applyFont="1" applyBorder="1" applyAlignment="1">
      <alignment horizontal="center" vertical="center" wrapText="1"/>
    </xf>
    <xf numFmtId="0" fontId="0" fillId="0" borderId="0" xfId="0" applyAlignment="1">
      <alignment horizontal="center"/>
    </xf>
    <xf numFmtId="0" fontId="0" fillId="0" borderId="29" xfId="0" applyBorder="1" applyAlignment="1">
      <alignment horizontal="left" vertical="center" wrapText="1"/>
    </xf>
    <xf numFmtId="0" fontId="0" fillId="0" borderId="27" xfId="0" applyBorder="1" applyAlignment="1">
      <alignment horizontal="left" vertical="center" wrapText="1"/>
    </xf>
    <xf numFmtId="0" fontId="30" fillId="10" borderId="16" xfId="0" applyFont="1" applyFill="1" applyBorder="1" applyAlignment="1">
      <alignment vertical="center" wrapText="1"/>
    </xf>
    <xf numFmtId="0" fontId="52" fillId="5" borderId="16" xfId="0" applyFont="1" applyFill="1" applyBorder="1" applyAlignment="1">
      <alignment vertical="center" wrapText="1"/>
    </xf>
    <xf numFmtId="0" fontId="53" fillId="5" borderId="16" xfId="0" applyFont="1" applyFill="1" applyBorder="1" applyAlignment="1">
      <alignment horizontal="center" vertical="center" wrapText="1"/>
    </xf>
    <xf numFmtId="0" fontId="0" fillId="5" borderId="16" xfId="0" applyFill="1" applyBorder="1" applyAlignment="1">
      <alignment horizontal="left" vertical="center" wrapText="1"/>
    </xf>
    <xf numFmtId="0" fontId="0" fillId="5" borderId="26" xfId="0" applyFill="1" applyBorder="1" applyAlignment="1">
      <alignment vertical="center"/>
    </xf>
    <xf numFmtId="0" fontId="0" fillId="5" borderId="27" xfId="0" applyFill="1" applyBorder="1" applyAlignment="1">
      <alignment vertical="center"/>
    </xf>
    <xf numFmtId="0" fontId="53" fillId="15" borderId="22" xfId="0" applyFont="1" applyFill="1" applyBorder="1" applyAlignment="1">
      <alignment horizontal="center" vertical="center" wrapText="1"/>
    </xf>
    <xf numFmtId="9" fontId="29" fillId="5" borderId="30" xfId="1" applyFont="1" applyFill="1" applyBorder="1" applyAlignment="1">
      <alignment horizontal="center" vertical="center"/>
    </xf>
    <xf numFmtId="0" fontId="52" fillId="0" borderId="24" xfId="0" applyFont="1" applyBorder="1" applyAlignment="1">
      <alignment wrapText="1"/>
    </xf>
    <xf numFmtId="9" fontId="29" fillId="5" borderId="35" xfId="1" applyFont="1" applyFill="1" applyBorder="1" applyAlignment="1">
      <alignment horizontal="center" vertical="center"/>
    </xf>
    <xf numFmtId="0" fontId="52" fillId="23" borderId="24" xfId="0" applyFont="1" applyFill="1" applyBorder="1" applyAlignment="1">
      <alignment wrapText="1"/>
    </xf>
    <xf numFmtId="0" fontId="11" fillId="23" borderId="22" xfId="0" applyFont="1" applyFill="1" applyBorder="1" applyAlignment="1">
      <alignment horizontal="center" vertical="center" wrapText="1"/>
    </xf>
    <xf numFmtId="0" fontId="11" fillId="23" borderId="22" xfId="0" applyFont="1" applyFill="1" applyBorder="1" applyAlignment="1">
      <alignment horizontal="center" vertical="center"/>
    </xf>
    <xf numFmtId="0" fontId="45" fillId="23" borderId="22" xfId="0" applyFont="1" applyFill="1" applyBorder="1" applyAlignment="1">
      <alignment horizontal="center" vertical="center"/>
    </xf>
    <xf numFmtId="0" fontId="0" fillId="23" borderId="22" xfId="0" applyFill="1" applyBorder="1" applyAlignment="1">
      <alignment vertical="center" wrapText="1"/>
    </xf>
    <xf numFmtId="0" fontId="38" fillId="23" borderId="16" xfId="0" applyFont="1" applyFill="1" applyBorder="1" applyAlignment="1">
      <alignment horizontal="center" vertical="center" wrapText="1"/>
    </xf>
    <xf numFmtId="0" fontId="11" fillId="23" borderId="16" xfId="0" applyFont="1" applyFill="1" applyBorder="1" applyAlignment="1">
      <alignment horizontal="center" vertical="center"/>
    </xf>
    <xf numFmtId="0" fontId="0" fillId="23" borderId="27" xfId="0" applyFill="1" applyBorder="1"/>
    <xf numFmtId="9" fontId="29" fillId="5" borderId="32" xfId="1" applyFont="1" applyFill="1" applyBorder="1" applyAlignment="1">
      <alignment horizontal="center" vertical="center"/>
    </xf>
    <xf numFmtId="0" fontId="11" fillId="0" borderId="32" xfId="0" applyFont="1" applyBorder="1" applyAlignment="1">
      <alignment vertical="center"/>
    </xf>
    <xf numFmtId="0" fontId="11" fillId="0" borderId="1" xfId="0" applyFont="1" applyBorder="1" applyAlignment="1">
      <alignment vertical="center"/>
    </xf>
    <xf numFmtId="0" fontId="45" fillId="19" borderId="1" xfId="0" applyFont="1" applyFill="1" applyBorder="1" applyAlignment="1">
      <alignment horizontal="center" vertical="center"/>
    </xf>
    <xf numFmtId="0" fontId="52" fillId="8" borderId="16" xfId="0" applyFont="1" applyFill="1" applyBorder="1" applyAlignment="1">
      <alignment vertical="center" wrapText="1"/>
    </xf>
    <xf numFmtId="0" fontId="53" fillId="8" borderId="16" xfId="0" applyFont="1" applyFill="1" applyBorder="1" applyAlignment="1">
      <alignment horizontal="center" vertical="center" wrapText="1"/>
    </xf>
    <xf numFmtId="0" fontId="52" fillId="2" borderId="16" xfId="0" quotePrefix="1" applyFont="1" applyFill="1" applyBorder="1" applyAlignment="1">
      <alignment vertical="center" wrapText="1"/>
    </xf>
    <xf numFmtId="0" fontId="53" fillId="2" borderId="16" xfId="0" applyFont="1" applyFill="1" applyBorder="1" applyAlignment="1">
      <alignment horizontal="center" vertical="center" wrapText="1"/>
    </xf>
    <xf numFmtId="0" fontId="45" fillId="2" borderId="16" xfId="0" applyFont="1" applyFill="1" applyBorder="1" applyAlignment="1">
      <alignment horizontal="center" vertical="center"/>
    </xf>
    <xf numFmtId="0" fontId="0" fillId="2" borderId="16" xfId="0" applyFill="1" applyBorder="1" applyAlignment="1">
      <alignment vertical="center" wrapText="1"/>
    </xf>
    <xf numFmtId="0" fontId="38" fillId="2" borderId="16" xfId="0" applyFont="1" applyFill="1" applyBorder="1" applyAlignment="1">
      <alignment horizontal="center" vertical="center" wrapText="1"/>
    </xf>
    <xf numFmtId="0" fontId="36" fillId="5" borderId="16" xfId="0" applyFont="1" applyFill="1" applyBorder="1" applyAlignment="1">
      <alignment vertical="center" wrapText="1"/>
    </xf>
    <xf numFmtId="0" fontId="0" fillId="2" borderId="16" xfId="0" applyFill="1" applyBorder="1" applyAlignment="1">
      <alignment horizontal="left" vertical="center" wrapText="1"/>
    </xf>
    <xf numFmtId="0" fontId="30" fillId="20" borderId="16" xfId="0" quotePrefix="1" applyFont="1" applyFill="1" applyBorder="1" applyAlignment="1">
      <alignment horizontal="center" vertical="center" wrapText="1"/>
    </xf>
    <xf numFmtId="164" fontId="29" fillId="5" borderId="22" xfId="1" applyNumberFormat="1" applyFont="1" applyFill="1" applyBorder="1" applyAlignment="1">
      <alignment vertical="center"/>
    </xf>
    <xf numFmtId="164" fontId="29" fillId="5" borderId="28" xfId="1" applyNumberFormat="1" applyFont="1" applyFill="1" applyBorder="1" applyAlignment="1">
      <alignment vertical="center"/>
    </xf>
    <xf numFmtId="0" fontId="36" fillId="5" borderId="22" xfId="0" applyFont="1" applyFill="1" applyBorder="1" applyAlignment="1">
      <alignment vertical="center" wrapText="1"/>
    </xf>
    <xf numFmtId="0" fontId="36" fillId="5" borderId="28" xfId="0" applyFont="1" applyFill="1" applyBorder="1" applyAlignment="1">
      <alignment vertical="center" wrapText="1"/>
    </xf>
    <xf numFmtId="164" fontId="29" fillId="5" borderId="16" xfId="1" applyNumberFormat="1" applyFont="1" applyFill="1" applyBorder="1" applyAlignment="1">
      <alignment vertical="center"/>
    </xf>
    <xf numFmtId="165" fontId="53" fillId="2" borderId="16" xfId="2" applyNumberFormat="1" applyFont="1" applyFill="1" applyBorder="1" applyAlignment="1">
      <alignment horizontal="center" vertical="center"/>
    </xf>
    <xf numFmtId="0" fontId="52" fillId="0" borderId="19" xfId="0" applyFont="1" applyBorder="1" applyAlignment="1">
      <alignment vertical="center" wrapText="1"/>
    </xf>
    <xf numFmtId="0" fontId="0" fillId="8" borderId="26" xfId="0" applyFill="1" applyBorder="1" applyAlignment="1">
      <alignment wrapText="1"/>
    </xf>
    <xf numFmtId="0" fontId="52" fillId="18" borderId="19" xfId="0" applyFont="1" applyFill="1" applyBorder="1" applyAlignment="1">
      <alignment vertical="center" wrapText="1"/>
    </xf>
    <xf numFmtId="0" fontId="52" fillId="0" borderId="20" xfId="0" applyFont="1" applyBorder="1"/>
    <xf numFmtId="0" fontId="53" fillId="0" borderId="19" xfId="0" applyFont="1" applyBorder="1" applyAlignment="1">
      <alignment horizontal="center" wrapText="1"/>
    </xf>
    <xf numFmtId="0" fontId="53" fillId="0" borderId="22" xfId="0" applyFont="1" applyBorder="1" applyAlignment="1">
      <alignment horizontal="center" wrapText="1"/>
    </xf>
    <xf numFmtId="0" fontId="53" fillId="0" borderId="1" xfId="0" applyFont="1" applyBorder="1" applyAlignment="1">
      <alignment horizontal="center" wrapText="1"/>
    </xf>
    <xf numFmtId="0" fontId="30" fillId="5" borderId="16" xfId="0" applyFont="1" applyFill="1" applyBorder="1" applyAlignment="1">
      <alignment horizontal="center" vertical="center" wrapText="1"/>
    </xf>
    <xf numFmtId="0" fontId="52" fillId="5" borderId="23" xfId="0" quotePrefix="1" applyFont="1" applyFill="1" applyBorder="1" applyAlignment="1">
      <alignment vertical="center" wrapText="1"/>
    </xf>
    <xf numFmtId="0" fontId="11" fillId="5" borderId="23" xfId="0" applyFont="1" applyFill="1" applyBorder="1" applyAlignment="1">
      <alignment horizontal="center" vertical="center" wrapText="1"/>
    </xf>
    <xf numFmtId="0" fontId="11" fillId="5" borderId="23" xfId="0" applyFont="1" applyFill="1" applyBorder="1" applyAlignment="1">
      <alignment horizontal="center" vertical="center"/>
    </xf>
    <xf numFmtId="0" fontId="45" fillId="5" borderId="23" xfId="0" applyFont="1" applyFill="1" applyBorder="1" applyAlignment="1">
      <alignment horizontal="center" vertical="center"/>
    </xf>
    <xf numFmtId="0" fontId="0" fillId="5" borderId="23" xfId="0" applyFill="1" applyBorder="1" applyAlignment="1">
      <alignment vertical="center" wrapText="1"/>
    </xf>
    <xf numFmtId="0" fontId="0" fillId="5" borderId="23" xfId="0" applyFill="1" applyBorder="1" applyAlignment="1">
      <alignment horizontal="center" vertical="center" wrapText="1"/>
    </xf>
    <xf numFmtId="0" fontId="38" fillId="5" borderId="23" xfId="0" applyFont="1" applyFill="1" applyBorder="1" applyAlignment="1">
      <alignment horizontal="center" vertical="center" wrapText="1"/>
    </xf>
    <xf numFmtId="0" fontId="0" fillId="5" borderId="38" xfId="0" applyFill="1" applyBorder="1"/>
    <xf numFmtId="0" fontId="0" fillId="5" borderId="29" xfId="0" applyFill="1" applyBorder="1"/>
    <xf numFmtId="0" fontId="52" fillId="20" borderId="39" xfId="0" quotePrefix="1" applyFont="1" applyFill="1" applyBorder="1" applyAlignment="1">
      <alignment vertical="center" wrapText="1"/>
    </xf>
    <xf numFmtId="0" fontId="11" fillId="5" borderId="39" xfId="0" applyFont="1" applyFill="1" applyBorder="1" applyAlignment="1">
      <alignment horizontal="center" vertical="center" wrapText="1"/>
    </xf>
    <xf numFmtId="0" fontId="11" fillId="5" borderId="39" xfId="0" applyFont="1" applyFill="1" applyBorder="1" applyAlignment="1">
      <alignment horizontal="center" vertical="center"/>
    </xf>
    <xf numFmtId="0" fontId="11" fillId="4" borderId="39" xfId="0" applyFont="1" applyFill="1" applyBorder="1" applyAlignment="1">
      <alignment horizontal="center" vertical="center"/>
    </xf>
    <xf numFmtId="0" fontId="45" fillId="5" borderId="39" xfId="0" applyFont="1" applyFill="1" applyBorder="1" applyAlignment="1">
      <alignment horizontal="center" vertical="center"/>
    </xf>
    <xf numFmtId="0" fontId="0" fillId="5" borderId="39" xfId="0" applyFill="1" applyBorder="1" applyAlignment="1">
      <alignment vertical="center" wrapText="1"/>
    </xf>
    <xf numFmtId="0" fontId="0" fillId="5" borderId="39" xfId="0" applyFill="1" applyBorder="1" applyAlignment="1">
      <alignment horizontal="center" vertical="center" wrapText="1"/>
    </xf>
    <xf numFmtId="0" fontId="38" fillId="5" borderId="39" xfId="0" applyFont="1" applyFill="1" applyBorder="1" applyAlignment="1">
      <alignment horizontal="center" vertical="center" wrapText="1"/>
    </xf>
    <xf numFmtId="0" fontId="0" fillId="5" borderId="40" xfId="0" applyFill="1" applyBorder="1"/>
    <xf numFmtId="0" fontId="0" fillId="5" borderId="41" xfId="0" applyFill="1" applyBorder="1"/>
    <xf numFmtId="0" fontId="0" fillId="5" borderId="19" xfId="0" quotePrefix="1" applyFill="1" applyBorder="1" applyAlignment="1">
      <alignment vertical="center" wrapText="1"/>
    </xf>
    <xf numFmtId="0" fontId="0" fillId="0" borderId="19" xfId="0" applyBorder="1" applyAlignment="1">
      <alignment vertical="center" wrapText="1"/>
    </xf>
    <xf numFmtId="0" fontId="52" fillId="0" borderId="19" xfId="0" quotePrefix="1" applyFont="1" applyBorder="1" applyAlignment="1">
      <alignment vertical="center" wrapText="1"/>
    </xf>
    <xf numFmtId="0" fontId="52" fillId="5" borderId="19" xfId="0" quotePrefix="1" applyFont="1" applyFill="1" applyBorder="1" applyAlignment="1">
      <alignment vertical="center" wrapText="1"/>
    </xf>
    <xf numFmtId="0" fontId="52" fillId="20" borderId="19" xfId="0" quotePrefix="1" applyFont="1" applyFill="1" applyBorder="1" applyAlignment="1">
      <alignment vertical="center" wrapText="1"/>
    </xf>
    <xf numFmtId="0" fontId="52" fillId="20" borderId="42" xfId="0" quotePrefix="1" applyFont="1" applyFill="1" applyBorder="1" applyAlignment="1">
      <alignment vertical="center" wrapText="1"/>
    </xf>
    <xf numFmtId="0" fontId="52" fillId="5" borderId="25" xfId="0" quotePrefix="1" applyFont="1" applyFill="1" applyBorder="1" applyAlignment="1">
      <alignment vertical="center" wrapText="1"/>
    </xf>
    <xf numFmtId="0" fontId="52" fillId="0" borderId="24" xfId="0" applyFont="1" applyBorder="1" applyAlignment="1">
      <alignment vertical="center" wrapText="1"/>
    </xf>
    <xf numFmtId="0" fontId="0" fillId="5" borderId="19" xfId="0" applyFill="1" applyBorder="1" applyAlignment="1">
      <alignment vertical="center" wrapText="1"/>
    </xf>
    <xf numFmtId="0" fontId="0" fillId="0" borderId="19" xfId="0" quotePrefix="1" applyBorder="1" applyAlignment="1">
      <alignment vertical="center" wrapText="1"/>
    </xf>
    <xf numFmtId="0" fontId="0" fillId="0" borderId="20" xfId="0" applyBorder="1" applyAlignment="1">
      <alignment vertical="center" wrapText="1"/>
    </xf>
    <xf numFmtId="0" fontId="52" fillId="0" borderId="19" xfId="0" quotePrefix="1" applyFont="1" applyBorder="1" applyAlignment="1">
      <alignment horizontal="left" wrapText="1"/>
    </xf>
    <xf numFmtId="0" fontId="52" fillId="0" borderId="15" xfId="0" applyFont="1" applyBorder="1" applyAlignment="1">
      <alignment horizontal="left" wrapText="1"/>
    </xf>
    <xf numFmtId="0" fontId="0" fillId="18" borderId="19" xfId="0" applyFill="1" applyBorder="1" applyAlignment="1">
      <alignment vertical="center" wrapText="1"/>
    </xf>
    <xf numFmtId="0" fontId="52" fillId="0" borderId="19" xfId="0" applyFont="1" applyBorder="1" applyAlignment="1">
      <alignment wrapText="1"/>
    </xf>
    <xf numFmtId="0" fontId="52" fillId="5" borderId="19" xfId="0" applyFont="1" applyFill="1" applyBorder="1" applyAlignment="1">
      <alignment vertical="center" wrapText="1"/>
    </xf>
    <xf numFmtId="0" fontId="22" fillId="5" borderId="0" xfId="0" applyFont="1" applyFill="1" applyAlignment="1">
      <alignment horizontal="right" vertical="top" textRotation="255"/>
    </xf>
    <xf numFmtId="0" fontId="26" fillId="5" borderId="21" xfId="0" applyFont="1" applyFill="1" applyBorder="1" applyAlignment="1">
      <alignment horizontal="center" vertical="center"/>
    </xf>
    <xf numFmtId="0" fontId="26" fillId="5" borderId="19" xfId="0" applyFont="1" applyFill="1" applyBorder="1" applyAlignment="1">
      <alignment horizontal="center" vertical="center"/>
    </xf>
    <xf numFmtId="0" fontId="41" fillId="12" borderId="16" xfId="0" applyFont="1" applyFill="1" applyBorder="1" applyAlignment="1">
      <alignment horizontal="center" vertical="center" wrapText="1"/>
    </xf>
    <xf numFmtId="0" fontId="41" fillId="5" borderId="31" xfId="0" applyFont="1" applyFill="1" applyBorder="1" applyAlignment="1">
      <alignment horizontal="center" vertical="center" wrapText="1"/>
    </xf>
    <xf numFmtId="0" fontId="28" fillId="5" borderId="1" xfId="0" applyFont="1" applyFill="1" applyBorder="1" applyAlignment="1">
      <alignment horizontal="center" vertical="center"/>
    </xf>
    <xf numFmtId="0" fontId="28" fillId="5" borderId="1" xfId="0" applyFont="1" applyFill="1" applyBorder="1" applyAlignment="1">
      <alignment horizontal="center" vertical="center" wrapText="1"/>
    </xf>
    <xf numFmtId="164" fontId="29" fillId="5" borderId="1" xfId="1" applyNumberFormat="1" applyFont="1" applyFill="1" applyBorder="1" applyAlignment="1">
      <alignment horizontal="center" vertical="center"/>
    </xf>
    <xf numFmtId="0" fontId="28" fillId="4" borderId="1" xfId="0" applyFont="1" applyFill="1" applyBorder="1" applyAlignment="1">
      <alignment horizontal="left" vertical="center"/>
    </xf>
    <xf numFmtId="0" fontId="28" fillId="4" borderId="17" xfId="0" applyFont="1" applyFill="1" applyBorder="1" applyAlignment="1">
      <alignment horizontal="left" vertical="center"/>
    </xf>
    <xf numFmtId="0" fontId="28" fillId="4" borderId="18" xfId="0" applyFont="1" applyFill="1" applyBorder="1" applyAlignment="1">
      <alignment horizontal="left" vertical="center"/>
    </xf>
    <xf numFmtId="9" fontId="29" fillId="5" borderId="1" xfId="1" applyFont="1" applyFill="1" applyBorder="1" applyAlignment="1">
      <alignment horizontal="center" vertical="center"/>
    </xf>
    <xf numFmtId="0" fontId="28" fillId="10" borderId="2" xfId="0" applyFont="1" applyFill="1" applyBorder="1" applyAlignment="1">
      <alignment horizontal="center" vertical="center" wrapText="1"/>
    </xf>
    <xf numFmtId="0" fontId="28" fillId="10" borderId="3" xfId="0" applyFont="1" applyFill="1" applyBorder="1" applyAlignment="1">
      <alignment horizontal="center" vertical="center" wrapText="1"/>
    </xf>
    <xf numFmtId="0" fontId="28" fillId="10" borderId="1" xfId="0" applyFont="1" applyFill="1" applyBorder="1" applyAlignment="1">
      <alignment horizontal="center" vertical="center"/>
    </xf>
    <xf numFmtId="0" fontId="28" fillId="10" borderId="1" xfId="0" applyFont="1" applyFill="1" applyBorder="1" applyAlignment="1">
      <alignment horizontal="center" vertical="center" wrapText="1"/>
    </xf>
    <xf numFmtId="0" fontId="29" fillId="10" borderId="1" xfId="0" applyFont="1" applyFill="1" applyBorder="1" applyAlignment="1">
      <alignment horizontal="center" vertical="center"/>
    </xf>
    <xf numFmtId="0" fontId="42" fillId="14" borderId="1" xfId="0" applyFont="1" applyFill="1" applyBorder="1" applyAlignment="1">
      <alignment horizontal="center" vertical="center"/>
    </xf>
    <xf numFmtId="0" fontId="6" fillId="3" borderId="1" xfId="0" applyFont="1" applyFill="1" applyBorder="1" applyAlignment="1">
      <alignment horizontal="center" vertical="center"/>
    </xf>
    <xf numFmtId="0" fontId="6" fillId="3" borderId="1" xfId="0" applyFont="1" applyFill="1" applyBorder="1" applyAlignment="1">
      <alignment horizontal="center" vertical="center" wrapText="1"/>
    </xf>
    <xf numFmtId="0" fontId="6" fillId="5" borderId="2" xfId="0" applyFont="1" applyFill="1" applyBorder="1" applyAlignment="1">
      <alignment horizontal="center" vertical="center"/>
    </xf>
    <xf numFmtId="0" fontId="6" fillId="5" borderId="13" xfId="0" applyFont="1" applyFill="1" applyBorder="1" applyAlignment="1">
      <alignment horizontal="center" vertical="center"/>
    </xf>
    <xf numFmtId="0" fontId="6" fillId="5" borderId="3" xfId="0" applyFont="1" applyFill="1" applyBorder="1" applyAlignment="1">
      <alignment horizontal="center" vertical="center"/>
    </xf>
    <xf numFmtId="0" fontId="6" fillId="5" borderId="2" xfId="0" applyFont="1" applyFill="1" applyBorder="1" applyAlignment="1">
      <alignment horizontal="center" vertical="center" wrapText="1"/>
    </xf>
    <xf numFmtId="0" fontId="6" fillId="5" borderId="13" xfId="0" applyFont="1" applyFill="1" applyBorder="1" applyAlignment="1">
      <alignment horizontal="center" vertical="center" wrapText="1"/>
    </xf>
    <xf numFmtId="0" fontId="6" fillId="5" borderId="3" xfId="0" applyFont="1" applyFill="1" applyBorder="1" applyAlignment="1">
      <alignment horizontal="center" vertical="center" wrapText="1"/>
    </xf>
    <xf numFmtId="9" fontId="9" fillId="5" borderId="2" xfId="1" applyFont="1" applyFill="1" applyBorder="1" applyAlignment="1">
      <alignment horizontal="center" vertical="center"/>
    </xf>
    <xf numFmtId="9" fontId="9" fillId="5" borderId="13" xfId="1" applyFont="1" applyFill="1" applyBorder="1" applyAlignment="1">
      <alignment horizontal="center" vertical="center"/>
    </xf>
    <xf numFmtId="9" fontId="9" fillId="5" borderId="3" xfId="1" applyFont="1" applyFill="1" applyBorder="1" applyAlignment="1">
      <alignment horizontal="center" vertical="center"/>
    </xf>
    <xf numFmtId="0" fontId="9" fillId="3" borderId="1" xfId="0" applyFont="1" applyFill="1" applyBorder="1" applyAlignment="1">
      <alignment horizontal="center" vertical="center"/>
    </xf>
    <xf numFmtId="20" fontId="8" fillId="5" borderId="2" xfId="0" applyNumberFormat="1" applyFont="1" applyFill="1" applyBorder="1" applyAlignment="1">
      <alignment horizontal="left" vertical="center" wrapText="1"/>
    </xf>
    <xf numFmtId="20" fontId="8" fillId="5" borderId="13" xfId="0" applyNumberFormat="1" applyFont="1" applyFill="1" applyBorder="1" applyAlignment="1">
      <alignment horizontal="left" vertical="center" wrapText="1"/>
    </xf>
    <xf numFmtId="20" fontId="8" fillId="5" borderId="3" xfId="0" applyNumberFormat="1" applyFont="1" applyFill="1" applyBorder="1" applyAlignment="1">
      <alignment horizontal="left" vertical="center" wrapText="1"/>
    </xf>
    <xf numFmtId="0" fontId="9" fillId="6" borderId="14" xfId="0" applyFont="1" applyFill="1" applyBorder="1" applyAlignment="1">
      <alignment horizontal="center" vertical="center"/>
    </xf>
    <xf numFmtId="0" fontId="9" fillId="6" borderId="15" xfId="0" applyFont="1" applyFill="1" applyBorder="1" applyAlignment="1">
      <alignment horizontal="center" vertical="center"/>
    </xf>
    <xf numFmtId="0" fontId="14" fillId="4" borderId="21" xfId="0" applyFont="1" applyFill="1" applyBorder="1" applyAlignment="1">
      <alignment horizontal="center" vertical="center"/>
    </xf>
    <xf numFmtId="0" fontId="14" fillId="4" borderId="19" xfId="0" applyFont="1" applyFill="1" applyBorder="1" applyAlignment="1">
      <alignment horizontal="center" vertical="center"/>
    </xf>
    <xf numFmtId="0" fontId="15" fillId="4" borderId="17" xfId="0" applyFont="1" applyFill="1" applyBorder="1" applyAlignment="1">
      <alignment horizontal="left" vertical="center"/>
    </xf>
    <xf numFmtId="0" fontId="15" fillId="4" borderId="18" xfId="0" applyFont="1" applyFill="1" applyBorder="1" applyAlignment="1">
      <alignment horizontal="left" vertical="center"/>
    </xf>
    <xf numFmtId="0" fontId="17" fillId="4" borderId="21" xfId="0" applyFont="1" applyFill="1" applyBorder="1" applyAlignment="1">
      <alignment horizontal="center" vertical="center"/>
    </xf>
    <xf numFmtId="0" fontId="17" fillId="4" borderId="19" xfId="0" applyFont="1" applyFill="1" applyBorder="1" applyAlignment="1">
      <alignment horizontal="center" vertical="center"/>
    </xf>
    <xf numFmtId="0" fontId="9" fillId="6" borderId="1" xfId="0" applyFont="1" applyFill="1" applyBorder="1" applyAlignment="1">
      <alignment horizontal="center" vertical="center"/>
    </xf>
    <xf numFmtId="9" fontId="9" fillId="5" borderId="1" xfId="1" applyFont="1" applyFill="1" applyBorder="1" applyAlignment="1">
      <alignment horizontal="center" vertical="center"/>
    </xf>
    <xf numFmtId="0" fontId="6" fillId="4" borderId="17" xfId="0" applyFont="1" applyFill="1" applyBorder="1" applyAlignment="1">
      <alignment horizontal="left" vertical="center"/>
    </xf>
    <xf numFmtId="0" fontId="6" fillId="4" borderId="18" xfId="0" applyFont="1" applyFill="1" applyBorder="1" applyAlignment="1">
      <alignment horizontal="left" vertical="center"/>
    </xf>
    <xf numFmtId="0" fontId="20" fillId="13" borderId="21" xfId="0" applyFont="1" applyFill="1" applyBorder="1" applyAlignment="1">
      <alignment horizontal="center" vertical="center" wrapText="1"/>
    </xf>
    <xf numFmtId="0" fontId="20" fillId="13" borderId="19" xfId="0" applyFont="1" applyFill="1" applyBorder="1" applyAlignment="1">
      <alignment horizontal="center" vertical="center" wrapText="1"/>
    </xf>
    <xf numFmtId="0" fontId="20" fillId="2" borderId="21" xfId="0" applyFont="1" applyFill="1" applyBorder="1" applyAlignment="1">
      <alignment horizontal="center" vertical="center" wrapText="1"/>
    </xf>
    <xf numFmtId="0" fontId="20" fillId="2" borderId="20" xfId="0" applyFont="1" applyFill="1" applyBorder="1" applyAlignment="1">
      <alignment horizontal="center" vertical="center" wrapText="1"/>
    </xf>
    <xf numFmtId="0" fontId="20" fillId="2" borderId="19" xfId="0" applyFont="1" applyFill="1" applyBorder="1" applyAlignment="1">
      <alignment horizontal="center" vertical="center" wrapText="1"/>
    </xf>
    <xf numFmtId="0" fontId="36" fillId="5" borderId="22" xfId="0" applyFont="1" applyFill="1" applyBorder="1" applyAlignment="1">
      <alignment horizontal="center" vertical="center" wrapText="1"/>
    </xf>
    <xf numFmtId="0" fontId="36" fillId="5" borderId="28" xfId="0" applyFont="1" applyFill="1" applyBorder="1" applyAlignment="1">
      <alignment horizontal="center" vertical="center" wrapText="1"/>
    </xf>
    <xf numFmtId="0" fontId="36" fillId="5" borderId="23" xfId="0" applyFont="1" applyFill="1" applyBorder="1" applyAlignment="1">
      <alignment horizontal="center" vertical="center" wrapText="1"/>
    </xf>
    <xf numFmtId="0" fontId="28" fillId="5" borderId="22" xfId="0" applyFont="1" applyFill="1" applyBorder="1" applyAlignment="1">
      <alignment horizontal="center" vertical="center"/>
    </xf>
    <xf numFmtId="0" fontId="28" fillId="5" borderId="28" xfId="0" applyFont="1" applyFill="1" applyBorder="1" applyAlignment="1">
      <alignment horizontal="center" vertical="center"/>
    </xf>
    <xf numFmtId="0" fontId="28" fillId="5" borderId="23" xfId="0" applyFont="1" applyFill="1" applyBorder="1" applyAlignment="1">
      <alignment horizontal="center" vertical="center"/>
    </xf>
    <xf numFmtId="164" fontId="29" fillId="5" borderId="22" xfId="1" applyNumberFormat="1" applyFont="1" applyFill="1" applyBorder="1" applyAlignment="1">
      <alignment horizontal="center" vertical="center"/>
    </xf>
    <xf numFmtId="164" fontId="29" fillId="5" borderId="28" xfId="1" applyNumberFormat="1" applyFont="1" applyFill="1" applyBorder="1" applyAlignment="1">
      <alignment horizontal="center" vertical="center"/>
    </xf>
    <xf numFmtId="164" fontId="29" fillId="5" borderId="23" xfId="1" applyNumberFormat="1" applyFont="1" applyFill="1" applyBorder="1" applyAlignment="1">
      <alignment horizontal="center" vertical="center"/>
    </xf>
    <xf numFmtId="20" fontId="28" fillId="5" borderId="22" xfId="0" applyNumberFormat="1" applyFont="1" applyFill="1" applyBorder="1" applyAlignment="1">
      <alignment horizontal="center" vertical="center" wrapText="1"/>
    </xf>
    <xf numFmtId="20" fontId="28" fillId="5" borderId="28" xfId="0" applyNumberFormat="1" applyFont="1" applyFill="1" applyBorder="1" applyAlignment="1">
      <alignment horizontal="center" vertical="center" wrapText="1"/>
    </xf>
    <xf numFmtId="20" fontId="28" fillId="5" borderId="23" xfId="0" applyNumberFormat="1" applyFont="1" applyFill="1" applyBorder="1" applyAlignment="1">
      <alignment horizontal="center" vertical="center" wrapText="1"/>
    </xf>
    <xf numFmtId="0" fontId="28" fillId="10" borderId="22" xfId="0" applyFont="1" applyFill="1" applyBorder="1" applyAlignment="1">
      <alignment horizontal="center" vertical="center"/>
    </xf>
    <xf numFmtId="0" fontId="28" fillId="10" borderId="28" xfId="0" applyFont="1" applyFill="1" applyBorder="1" applyAlignment="1">
      <alignment horizontal="center" vertical="center"/>
    </xf>
    <xf numFmtId="0" fontId="28" fillId="10" borderId="23" xfId="0" applyFont="1" applyFill="1" applyBorder="1" applyAlignment="1">
      <alignment horizontal="center" vertical="center"/>
    </xf>
    <xf numFmtId="0" fontId="28" fillId="10" borderId="22" xfId="0" applyFont="1" applyFill="1" applyBorder="1" applyAlignment="1">
      <alignment horizontal="center" vertical="center" wrapText="1"/>
    </xf>
    <xf numFmtId="0" fontId="28" fillId="10" borderId="28" xfId="0" applyFont="1" applyFill="1" applyBorder="1" applyAlignment="1">
      <alignment horizontal="center" vertical="center" wrapText="1"/>
    </xf>
    <xf numFmtId="0" fontId="28" fillId="10" borderId="23" xfId="0" applyFont="1" applyFill="1" applyBorder="1" applyAlignment="1">
      <alignment horizontal="center" vertical="center" wrapText="1"/>
    </xf>
    <xf numFmtId="0" fontId="29" fillId="10" borderId="22" xfId="0" applyFont="1" applyFill="1" applyBorder="1" applyAlignment="1">
      <alignment horizontal="center" vertical="center"/>
    </xf>
    <xf numFmtId="0" fontId="29" fillId="10" borderId="28" xfId="0" applyFont="1" applyFill="1" applyBorder="1" applyAlignment="1">
      <alignment horizontal="center" vertical="center"/>
    </xf>
    <xf numFmtId="0" fontId="29" fillId="10" borderId="23" xfId="0" applyFont="1" applyFill="1" applyBorder="1" applyAlignment="1">
      <alignment horizontal="center" vertical="center"/>
    </xf>
    <xf numFmtId="0" fontId="32" fillId="12" borderId="22" xfId="0" applyFont="1" applyFill="1" applyBorder="1" applyAlignment="1">
      <alignment horizontal="center" vertical="center" wrapText="1"/>
    </xf>
    <xf numFmtId="0" fontId="32" fillId="12" borderId="28" xfId="0" applyFont="1" applyFill="1" applyBorder="1" applyAlignment="1">
      <alignment horizontal="center" vertical="center" wrapText="1"/>
    </xf>
    <xf numFmtId="0" fontId="32" fillId="12" borderId="23" xfId="0" applyFont="1" applyFill="1" applyBorder="1" applyAlignment="1">
      <alignment horizontal="center" vertical="center" wrapText="1"/>
    </xf>
    <xf numFmtId="0" fontId="30" fillId="10" borderId="16" xfId="0" applyFont="1" applyFill="1" applyBorder="1" applyAlignment="1">
      <alignment horizontal="center" vertical="center" wrapText="1"/>
    </xf>
    <xf numFmtId="0" fontId="30" fillId="10" borderId="22" xfId="0" applyFont="1" applyFill="1" applyBorder="1" applyAlignment="1">
      <alignment horizontal="center" vertical="center" wrapText="1"/>
    </xf>
    <xf numFmtId="0" fontId="30" fillId="10" borderId="28" xfId="0" applyFont="1" applyFill="1" applyBorder="1" applyAlignment="1">
      <alignment horizontal="center" vertical="center" wrapText="1"/>
    </xf>
    <xf numFmtId="0" fontId="30" fillId="10" borderId="23" xfId="0" applyFont="1" applyFill="1" applyBorder="1" applyAlignment="1">
      <alignment horizontal="center" vertical="center" wrapText="1"/>
    </xf>
    <xf numFmtId="0" fontId="28" fillId="10" borderId="16" xfId="0" applyFont="1" applyFill="1" applyBorder="1" applyAlignment="1">
      <alignment horizontal="center" vertical="center" wrapText="1"/>
    </xf>
    <xf numFmtId="0" fontId="29" fillId="10" borderId="16" xfId="0" applyFont="1" applyFill="1" applyBorder="1" applyAlignment="1">
      <alignment horizontal="center" vertical="center"/>
    </xf>
    <xf numFmtId="0" fontId="28" fillId="10" borderId="16" xfId="0" applyFont="1" applyFill="1" applyBorder="1" applyAlignment="1">
      <alignment horizontal="center" vertical="center"/>
    </xf>
    <xf numFmtId="0" fontId="28" fillId="5" borderId="16" xfId="0" applyFont="1" applyFill="1" applyBorder="1" applyAlignment="1">
      <alignment horizontal="center" vertical="center"/>
    </xf>
    <xf numFmtId="9" fontId="29" fillId="5" borderId="16" xfId="1" applyFont="1" applyFill="1" applyBorder="1" applyAlignment="1">
      <alignment horizontal="center" vertical="center"/>
    </xf>
    <xf numFmtId="20" fontId="28" fillId="5" borderId="16" xfId="0" applyNumberFormat="1" applyFont="1" applyFill="1" applyBorder="1" applyAlignment="1">
      <alignment horizontal="center" vertical="center" wrapText="1"/>
    </xf>
    <xf numFmtId="0" fontId="20" fillId="13" borderId="32" xfId="0" applyFont="1" applyFill="1" applyBorder="1" applyAlignment="1">
      <alignment horizontal="center" vertical="center" wrapText="1"/>
    </xf>
    <xf numFmtId="0" fontId="20" fillId="13" borderId="25" xfId="0" applyFont="1" applyFill="1" applyBorder="1" applyAlignment="1">
      <alignment horizontal="center" vertical="center" wrapText="1"/>
    </xf>
    <xf numFmtId="0" fontId="20" fillId="2" borderId="33" xfId="0" applyFont="1" applyFill="1" applyBorder="1" applyAlignment="1">
      <alignment horizontal="center" vertical="center" wrapText="1"/>
    </xf>
    <xf numFmtId="0" fontId="20" fillId="2" borderId="25" xfId="0" applyFont="1" applyFill="1" applyBorder="1" applyAlignment="1">
      <alignment horizontal="center" vertical="center" wrapText="1"/>
    </xf>
    <xf numFmtId="0" fontId="20" fillId="2" borderId="16" xfId="0" applyFont="1" applyFill="1" applyBorder="1" applyAlignment="1">
      <alignment horizontal="center" vertical="center"/>
    </xf>
    <xf numFmtId="0" fontId="20" fillId="2" borderId="16" xfId="0" applyFont="1" applyFill="1" applyBorder="1" applyAlignment="1">
      <alignment horizontal="center" wrapText="1"/>
    </xf>
    <xf numFmtId="20" fontId="28" fillId="18" borderId="16" xfId="0" applyNumberFormat="1" applyFont="1" applyFill="1" applyBorder="1" applyAlignment="1">
      <alignment horizontal="center" vertical="center" wrapText="1"/>
    </xf>
    <xf numFmtId="0" fontId="11" fillId="0" borderId="22" xfId="0" applyFont="1" applyBorder="1" applyAlignment="1">
      <alignment horizontal="center" vertical="center" wrapText="1"/>
    </xf>
    <xf numFmtId="0" fontId="11" fillId="0" borderId="28" xfId="0" applyFont="1" applyBorder="1" applyAlignment="1">
      <alignment horizontal="center" vertical="center" wrapText="1"/>
    </xf>
    <xf numFmtId="0" fontId="11" fillId="0" borderId="23" xfId="0" applyFont="1" applyBorder="1" applyAlignment="1">
      <alignment horizontal="center" vertical="center" wrapText="1"/>
    </xf>
    <xf numFmtId="0" fontId="37" fillId="5" borderId="16" xfId="0" applyFont="1" applyFill="1" applyBorder="1" applyAlignment="1">
      <alignment horizontal="center" vertical="center" wrapText="1"/>
    </xf>
    <xf numFmtId="9" fontId="29" fillId="5" borderId="22" xfId="1" applyFont="1" applyFill="1" applyBorder="1" applyAlignment="1">
      <alignment horizontal="center" vertical="center"/>
    </xf>
    <xf numFmtId="9" fontId="29" fillId="5" borderId="28" xfId="1" applyFont="1" applyFill="1" applyBorder="1" applyAlignment="1">
      <alignment horizontal="center" vertical="center"/>
    </xf>
    <xf numFmtId="9" fontId="29" fillId="5" borderId="23" xfId="1" applyFont="1" applyFill="1" applyBorder="1" applyAlignment="1">
      <alignment horizontal="center" vertical="center"/>
    </xf>
    <xf numFmtId="0" fontId="37" fillId="5" borderId="22" xfId="0" applyFont="1" applyFill="1" applyBorder="1" applyAlignment="1">
      <alignment horizontal="center" vertical="center" wrapText="1"/>
    </xf>
    <xf numFmtId="0" fontId="37" fillId="5" borderId="28" xfId="0" applyFont="1" applyFill="1" applyBorder="1" applyAlignment="1">
      <alignment horizontal="center" vertical="center" wrapText="1"/>
    </xf>
    <xf numFmtId="0" fontId="37" fillId="5" borderId="23" xfId="0" applyFont="1" applyFill="1" applyBorder="1" applyAlignment="1">
      <alignment horizontal="center" vertical="center" wrapText="1"/>
    </xf>
    <xf numFmtId="0" fontId="20" fillId="13" borderId="16" xfId="0" applyFont="1" applyFill="1" applyBorder="1" applyAlignment="1">
      <alignment horizontal="center" vertical="center" wrapText="1"/>
    </xf>
    <xf numFmtId="20" fontId="28" fillId="0" borderId="16" xfId="0" applyNumberFormat="1" applyFont="1" applyBorder="1" applyAlignment="1">
      <alignment horizontal="center" vertical="center" wrapText="1"/>
    </xf>
    <xf numFmtId="0" fontId="20" fillId="9" borderId="32" xfId="0" applyFont="1" applyFill="1" applyBorder="1" applyAlignment="1">
      <alignment horizontal="center" vertical="center" wrapText="1"/>
    </xf>
    <xf numFmtId="0" fontId="20" fillId="9" borderId="25" xfId="0" applyFont="1" applyFill="1" applyBorder="1" applyAlignment="1">
      <alignment horizontal="center" vertical="center" wrapText="1"/>
    </xf>
    <xf numFmtId="0" fontId="11" fillId="2" borderId="32" xfId="0" applyFont="1" applyFill="1" applyBorder="1" applyAlignment="1">
      <alignment horizontal="center" vertical="center" wrapText="1"/>
    </xf>
    <xf numFmtId="0" fontId="11" fillId="2" borderId="33" xfId="0" applyFont="1" applyFill="1" applyBorder="1" applyAlignment="1">
      <alignment horizontal="center" vertical="center" wrapText="1"/>
    </xf>
    <xf numFmtId="0" fontId="11" fillId="2" borderId="25" xfId="0" applyFont="1" applyFill="1" applyBorder="1" applyAlignment="1">
      <alignment horizontal="center" vertical="center" wrapText="1"/>
    </xf>
    <xf numFmtId="20" fontId="37" fillId="5" borderId="16" xfId="0" applyNumberFormat="1" applyFont="1" applyFill="1" applyBorder="1" applyAlignment="1">
      <alignment horizontal="center" vertical="center" wrapText="1"/>
    </xf>
    <xf numFmtId="20" fontId="37" fillId="5" borderId="22" xfId="0" applyNumberFormat="1" applyFont="1" applyFill="1" applyBorder="1" applyAlignment="1">
      <alignment horizontal="center" vertical="center" wrapText="1"/>
    </xf>
    <xf numFmtId="20" fontId="37" fillId="5" borderId="28" xfId="0" applyNumberFormat="1" applyFont="1" applyFill="1" applyBorder="1" applyAlignment="1">
      <alignment horizontal="center" vertical="center" wrapText="1"/>
    </xf>
    <xf numFmtId="20" fontId="37" fillId="5" borderId="23" xfId="0" applyNumberFormat="1" applyFont="1" applyFill="1" applyBorder="1" applyAlignment="1">
      <alignment horizontal="center" vertical="center" wrapText="1"/>
    </xf>
    <xf numFmtId="20" fontId="37" fillId="5" borderId="35" xfId="0" applyNumberFormat="1" applyFont="1" applyFill="1" applyBorder="1" applyAlignment="1">
      <alignment horizontal="center" vertical="center" wrapText="1"/>
    </xf>
    <xf numFmtId="0" fontId="41" fillId="12" borderId="21" xfId="0" applyFont="1" applyFill="1" applyBorder="1" applyAlignment="1">
      <alignment horizontal="center" vertical="center" wrapText="1"/>
    </xf>
    <xf numFmtId="0" fontId="41" fillId="12" borderId="20" xfId="0" applyFont="1" applyFill="1" applyBorder="1" applyAlignment="1">
      <alignment horizontal="center" vertical="center" wrapText="1"/>
    </xf>
    <xf numFmtId="0" fontId="41" fillId="12" borderId="19" xfId="0" applyFont="1" applyFill="1" applyBorder="1" applyAlignment="1">
      <alignment horizontal="center" vertical="center" wrapText="1"/>
    </xf>
    <xf numFmtId="0" fontId="30" fillId="10" borderId="30" xfId="0" applyFont="1" applyFill="1" applyBorder="1" applyAlignment="1">
      <alignment horizontal="center" vertical="center" wrapText="1"/>
    </xf>
    <xf numFmtId="0" fontId="30" fillId="10" borderId="31" xfId="0" applyFont="1" applyFill="1" applyBorder="1" applyAlignment="1">
      <alignment horizontal="center" vertical="center" wrapText="1"/>
    </xf>
    <xf numFmtId="0" fontId="30" fillId="10" borderId="24" xfId="0" applyFont="1" applyFill="1" applyBorder="1" applyAlignment="1">
      <alignment horizontal="center" vertical="center" wrapText="1"/>
    </xf>
    <xf numFmtId="0" fontId="30" fillId="10" borderId="32" xfId="0" applyFont="1" applyFill="1" applyBorder="1" applyAlignment="1">
      <alignment horizontal="center" vertical="center" wrapText="1"/>
    </xf>
    <xf numFmtId="0" fontId="30" fillId="10" borderId="33" xfId="0" applyFont="1" applyFill="1" applyBorder="1" applyAlignment="1">
      <alignment horizontal="center" vertical="center" wrapText="1"/>
    </xf>
    <xf numFmtId="0" fontId="30" fillId="10" borderId="25" xfId="0" applyFont="1" applyFill="1" applyBorder="1" applyAlignment="1">
      <alignment horizontal="center" vertical="center" wrapText="1"/>
    </xf>
    <xf numFmtId="0" fontId="28" fillId="5" borderId="22" xfId="0" applyFont="1" applyFill="1" applyBorder="1" applyAlignment="1">
      <alignment horizontal="center" vertical="center" wrapText="1"/>
    </xf>
    <xf numFmtId="0" fontId="28" fillId="5" borderId="28" xfId="0" applyFont="1" applyFill="1" applyBorder="1" applyAlignment="1">
      <alignment horizontal="center" vertical="center" wrapText="1"/>
    </xf>
    <xf numFmtId="0" fontId="28" fillId="5" borderId="23" xfId="0" applyFont="1" applyFill="1" applyBorder="1" applyAlignment="1">
      <alignment horizontal="center" vertical="center" wrapText="1"/>
    </xf>
    <xf numFmtId="0" fontId="39" fillId="5" borderId="22" xfId="0" applyFont="1" applyFill="1" applyBorder="1" applyAlignment="1">
      <alignment horizontal="center" vertical="center" wrapText="1"/>
    </xf>
    <xf numFmtId="0" fontId="39" fillId="5" borderId="28" xfId="0" applyFont="1" applyFill="1" applyBorder="1" applyAlignment="1">
      <alignment horizontal="center" vertical="center" wrapText="1"/>
    </xf>
    <xf numFmtId="0" fontId="39" fillId="5" borderId="23" xfId="0" applyFont="1" applyFill="1" applyBorder="1" applyAlignment="1">
      <alignment horizontal="center" vertical="center" wrapText="1"/>
    </xf>
    <xf numFmtId="0" fontId="20" fillId="2" borderId="16" xfId="0" applyFont="1" applyFill="1" applyBorder="1" applyAlignment="1">
      <alignment horizontal="center" vertical="center" wrapText="1"/>
    </xf>
    <xf numFmtId="20" fontId="40" fillId="5" borderId="22" xfId="0" applyNumberFormat="1" applyFont="1" applyFill="1" applyBorder="1" applyAlignment="1">
      <alignment horizontal="center" vertical="center" wrapText="1"/>
    </xf>
    <xf numFmtId="0" fontId="11" fillId="2" borderId="21" xfId="0" applyFont="1" applyFill="1" applyBorder="1" applyAlignment="1">
      <alignment horizontal="center" vertical="center" wrapText="1"/>
    </xf>
    <xf numFmtId="0" fontId="11" fillId="2" borderId="20" xfId="0" applyFont="1" applyFill="1" applyBorder="1" applyAlignment="1">
      <alignment horizontal="center" vertical="center" wrapText="1"/>
    </xf>
    <xf numFmtId="0" fontId="11" fillId="2" borderId="19" xfId="0" applyFont="1" applyFill="1" applyBorder="1" applyAlignment="1">
      <alignment horizontal="center" vertical="center" wrapText="1"/>
    </xf>
    <xf numFmtId="0" fontId="20" fillId="2" borderId="16" xfId="0" applyFont="1" applyFill="1" applyBorder="1" applyAlignment="1">
      <alignment vertical="center" wrapText="1"/>
    </xf>
    <xf numFmtId="0" fontId="20" fillId="13" borderId="16" xfId="0" applyFont="1" applyFill="1" applyBorder="1" applyAlignment="1">
      <alignment horizontal="center" vertical="center"/>
    </xf>
    <xf numFmtId="0" fontId="11" fillId="2" borderId="22" xfId="0" applyFont="1" applyFill="1" applyBorder="1" applyAlignment="1">
      <alignment horizontal="center" vertical="center"/>
    </xf>
    <xf numFmtId="0" fontId="11" fillId="2" borderId="16" xfId="0" applyFont="1" applyFill="1" applyBorder="1" applyAlignment="1">
      <alignment horizontal="center" vertical="center" wrapText="1"/>
    </xf>
    <xf numFmtId="0" fontId="36" fillId="5" borderId="16" xfId="0" applyFont="1" applyFill="1" applyBorder="1" applyAlignment="1">
      <alignment horizontal="center" vertical="center" wrapText="1"/>
    </xf>
    <xf numFmtId="164" fontId="29" fillId="5" borderId="16" xfId="1" applyNumberFormat="1" applyFont="1" applyFill="1" applyBorder="1" applyAlignment="1">
      <alignment horizontal="center" vertical="center"/>
    </xf>
    <xf numFmtId="0" fontId="11" fillId="2" borderId="16" xfId="0" applyFont="1" applyFill="1" applyBorder="1" applyAlignment="1">
      <alignment horizontal="center" vertical="center"/>
    </xf>
    <xf numFmtId="0" fontId="60" fillId="12" borderId="16" xfId="0" applyFont="1" applyFill="1" applyBorder="1" applyAlignment="1">
      <alignment horizontal="center" vertical="center" wrapText="1"/>
    </xf>
    <xf numFmtId="0" fontId="60" fillId="12" borderId="20" xfId="0" applyFont="1" applyFill="1" applyBorder="1" applyAlignment="1">
      <alignment horizontal="center" vertical="center" wrapText="1"/>
    </xf>
    <xf numFmtId="0" fontId="60" fillId="12" borderId="19" xfId="0" applyFont="1" applyFill="1" applyBorder="1" applyAlignment="1">
      <alignment horizontal="center" vertical="center" wrapText="1"/>
    </xf>
    <xf numFmtId="0" fontId="0" fillId="0" borderId="1" xfId="0" applyBorder="1" applyAlignment="1">
      <alignment horizontal="center" vertical="center" wrapText="1"/>
    </xf>
    <xf numFmtId="0" fontId="11" fillId="0" borderId="22" xfId="0" quotePrefix="1" applyFont="1" applyBorder="1" applyAlignment="1">
      <alignment horizontal="center" vertical="center" wrapText="1"/>
    </xf>
    <xf numFmtId="0" fontId="11" fillId="0" borderId="28" xfId="0" quotePrefix="1" applyFont="1" applyBorder="1" applyAlignment="1">
      <alignment horizontal="center" vertical="center" wrapText="1"/>
    </xf>
    <xf numFmtId="0" fontId="11" fillId="0" borderId="23" xfId="0" quotePrefix="1" applyFont="1" applyBorder="1" applyAlignment="1">
      <alignment horizontal="center" vertical="center" wrapText="1"/>
    </xf>
    <xf numFmtId="0" fontId="11" fillId="0" borderId="35" xfId="0" applyFont="1" applyBorder="1" applyAlignment="1">
      <alignment horizontal="center" vertical="center" wrapText="1"/>
    </xf>
    <xf numFmtId="0" fontId="11" fillId="0" borderId="21" xfId="0" quotePrefix="1" applyFont="1" applyBorder="1" applyAlignment="1">
      <alignment horizontal="center" vertical="center" wrapText="1"/>
    </xf>
    <xf numFmtId="0" fontId="11" fillId="0" borderId="20" xfId="0" quotePrefix="1" applyFont="1" applyBorder="1" applyAlignment="1">
      <alignment horizontal="center" vertical="center" wrapText="1"/>
    </xf>
    <xf numFmtId="0" fontId="11" fillId="0" borderId="19" xfId="0" quotePrefix="1" applyFont="1" applyBorder="1" applyAlignment="1">
      <alignment horizontal="center" vertical="center" wrapText="1"/>
    </xf>
    <xf numFmtId="0" fontId="0" fillId="0" borderId="22" xfId="0" applyBorder="1" applyAlignment="1">
      <alignment horizontal="center" vertical="center" wrapText="1"/>
    </xf>
    <xf numFmtId="0" fontId="0" fillId="0" borderId="28" xfId="0" applyBorder="1" applyAlignment="1">
      <alignment horizontal="center" vertical="center" wrapText="1"/>
    </xf>
    <xf numFmtId="0" fontId="11" fillId="0" borderId="30" xfId="0" applyFont="1" applyBorder="1" applyAlignment="1">
      <alignment horizontal="center" vertical="center" wrapText="1"/>
    </xf>
    <xf numFmtId="0" fontId="11" fillId="0" borderId="32" xfId="0" applyFont="1" applyBorder="1" applyAlignment="1">
      <alignment horizontal="center" vertical="center" wrapText="1"/>
    </xf>
    <xf numFmtId="20" fontId="65" fillId="5" borderId="1" xfId="0" applyNumberFormat="1" applyFont="1" applyFill="1" applyBorder="1" applyAlignment="1">
      <alignment horizontal="center" vertical="center" wrapText="1"/>
    </xf>
    <xf numFmtId="0" fontId="20" fillId="13" borderId="33" xfId="0" applyFont="1" applyFill="1" applyBorder="1" applyAlignment="1">
      <alignment horizontal="center" vertical="center" wrapText="1"/>
    </xf>
    <xf numFmtId="0" fontId="22" fillId="5" borderId="1" xfId="0" applyFont="1" applyFill="1" applyBorder="1" applyAlignment="1">
      <alignment horizontal="left" vertical="center" shrinkToFit="1"/>
    </xf>
    <xf numFmtId="0" fontId="22" fillId="5" borderId="14" xfId="0" applyFont="1" applyFill="1" applyBorder="1" applyAlignment="1">
      <alignment horizontal="left" vertical="center"/>
    </xf>
    <xf numFmtId="0" fontId="22" fillId="5" borderId="15" xfId="0" applyFont="1" applyFill="1" applyBorder="1" applyAlignment="1">
      <alignment horizontal="left" vertical="center"/>
    </xf>
    <xf numFmtId="0" fontId="26" fillId="5" borderId="1" xfId="0" applyFont="1" applyFill="1" applyBorder="1" applyAlignment="1">
      <alignment horizontal="center" vertical="center"/>
    </xf>
    <xf numFmtId="0" fontId="41" fillId="5" borderId="1" xfId="0" applyFont="1" applyFill="1" applyBorder="1" applyAlignment="1">
      <alignment horizontal="center" vertical="center" wrapText="1"/>
    </xf>
    <xf numFmtId="0" fontId="22" fillId="5" borderId="1" xfId="0" applyFont="1" applyFill="1" applyBorder="1" applyAlignment="1">
      <alignment horizontal="left" vertical="center"/>
    </xf>
    <xf numFmtId="0" fontId="55" fillId="5" borderId="1" xfId="0" applyFont="1" applyFill="1" applyBorder="1" applyAlignment="1">
      <alignment horizontal="left" vertical="center" shrinkToFit="1"/>
    </xf>
    <xf numFmtId="0" fontId="39" fillId="5" borderId="1" xfId="0" applyFont="1" applyFill="1" applyBorder="1" applyAlignment="1">
      <alignment horizontal="left" vertical="center" wrapText="1"/>
    </xf>
    <xf numFmtId="20" fontId="28" fillId="5" borderId="2" xfId="0" applyNumberFormat="1" applyFont="1" applyFill="1" applyBorder="1" applyAlignment="1">
      <alignment horizontal="left" vertical="center" wrapText="1"/>
    </xf>
    <xf numFmtId="20" fontId="28" fillId="5" borderId="3" xfId="0" applyNumberFormat="1" applyFont="1" applyFill="1" applyBorder="1" applyAlignment="1">
      <alignment horizontal="left" vertical="center" wrapText="1"/>
    </xf>
  </cellXfs>
  <cellStyles count="3">
    <cellStyle name="Milliers" xfId="2" builtinId="3"/>
    <cellStyle name="Normal" xfId="0" builtinId="0"/>
    <cellStyle name="Pourcentage" xfId="1" builtinId="5"/>
  </cellStyles>
  <dxfs count="0"/>
  <tableStyles count="0" defaultTableStyle="TableStyleMedium2" defaultPivotStyle="PivotStyleLight16"/>
  <colors>
    <mruColors>
      <color rgb="FFFF505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styles" Target="styles.xml"/><Relationship Id="rId8" Type="http://schemas.openxmlformats.org/officeDocument/2006/relationships/worksheet" Target="worksheets/sheet8.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960" b="0" i="0" u="none" strike="noStrike" kern="1200" spc="0" baseline="0">
                <a:solidFill>
                  <a:schemeClr val="tx1">
                    <a:lumMod val="65000"/>
                    <a:lumOff val="35000"/>
                  </a:schemeClr>
                </a:solidFill>
                <a:latin typeface="Gill Sans MT" panose="020B0502020104020203" pitchFamily="34" charset="0"/>
                <a:ea typeface="+mn-ea"/>
                <a:cs typeface="+mn-cs"/>
              </a:defRPr>
            </a:pPr>
            <a:r>
              <a:rPr lang="fr-SN" b="1"/>
              <a:t>CARTOGRAPHIE DES</a:t>
            </a:r>
            <a:r>
              <a:rPr lang="fr-SN" b="1" baseline="0"/>
              <a:t> RISQUES PAR METIER</a:t>
            </a:r>
            <a:endParaRPr lang="fr-SN" b="1"/>
          </a:p>
        </c:rich>
      </c:tx>
      <c:overlay val="0"/>
      <c:spPr>
        <a:noFill/>
        <a:ln>
          <a:noFill/>
        </a:ln>
        <a:effectLst/>
      </c:spPr>
      <c:txPr>
        <a:bodyPr rot="0" spcFirstLastPara="1" vertOverflow="ellipsis" vert="horz" wrap="square" anchor="ctr" anchorCtr="1"/>
        <a:lstStyle/>
        <a:p>
          <a:pPr>
            <a:defRPr sz="960" b="0" i="0" u="none" strike="noStrike" kern="1200" spc="0" baseline="0">
              <a:solidFill>
                <a:schemeClr val="tx1">
                  <a:lumMod val="65000"/>
                  <a:lumOff val="35000"/>
                </a:schemeClr>
              </a:solidFill>
              <a:latin typeface="Gill Sans MT" panose="020B0502020104020203" pitchFamily="34" charset="0"/>
              <a:ea typeface="+mn-ea"/>
              <a:cs typeface="+mn-cs"/>
            </a:defRPr>
          </a:pPr>
          <a:endParaRPr lang="fr-SN"/>
        </a:p>
      </c:txPr>
    </c:title>
    <c:autoTitleDeleted val="0"/>
    <c:plotArea>
      <c:layout/>
      <c:barChart>
        <c:barDir val="bar"/>
        <c:grouping val="clustered"/>
        <c:varyColors val="0"/>
        <c:ser>
          <c:idx val="0"/>
          <c:order val="0"/>
          <c:spPr>
            <a:solidFill>
              <a:schemeClr val="accent2"/>
            </a:solidFill>
            <a:ln>
              <a:noFill/>
            </a:ln>
            <a:effectLst/>
          </c:spPr>
          <c:invertIfNegative val="0"/>
          <c:dPt>
            <c:idx val="0"/>
            <c:invertIfNegative val="0"/>
            <c:bubble3D val="0"/>
            <c:spPr>
              <a:solidFill>
                <a:schemeClr val="accent6"/>
              </a:solidFill>
              <a:ln>
                <a:noFill/>
              </a:ln>
              <a:effectLst/>
            </c:spPr>
            <c:extLst>
              <c:ext xmlns:c16="http://schemas.microsoft.com/office/drawing/2014/chart" uri="{C3380CC4-5D6E-409C-BE32-E72D297353CC}">
                <c16:uniqueId val="{0000000A-3F76-4EA5-8980-917DE50216A6}"/>
              </c:ext>
            </c:extLst>
          </c:dPt>
          <c:dPt>
            <c:idx val="1"/>
            <c:invertIfNegative val="0"/>
            <c:bubble3D val="0"/>
            <c:spPr>
              <a:solidFill>
                <a:srgbClr val="FFFF00"/>
              </a:solidFill>
              <a:ln>
                <a:noFill/>
              </a:ln>
              <a:effectLst/>
            </c:spPr>
            <c:extLst>
              <c:ext xmlns:c16="http://schemas.microsoft.com/office/drawing/2014/chart" uri="{C3380CC4-5D6E-409C-BE32-E72D297353CC}">
                <c16:uniqueId val="{00000009-3F76-4EA5-8980-917DE50216A6}"/>
              </c:ext>
            </c:extLst>
          </c:dPt>
          <c:dPt>
            <c:idx val="4"/>
            <c:invertIfNegative val="0"/>
            <c:bubble3D val="0"/>
            <c:spPr>
              <a:solidFill>
                <a:srgbClr val="FFFF00"/>
              </a:solidFill>
              <a:ln>
                <a:noFill/>
              </a:ln>
              <a:effectLst/>
            </c:spPr>
            <c:extLst>
              <c:ext xmlns:c16="http://schemas.microsoft.com/office/drawing/2014/chart" uri="{C3380CC4-5D6E-409C-BE32-E72D297353CC}">
                <c16:uniqueId val="{00000008-3F76-4EA5-8980-917DE50216A6}"/>
              </c:ext>
            </c:extLst>
          </c:dPt>
          <c:dPt>
            <c:idx val="5"/>
            <c:invertIfNegative val="0"/>
            <c:bubble3D val="0"/>
            <c:spPr>
              <a:solidFill>
                <a:srgbClr val="FFFF00"/>
              </a:solidFill>
              <a:ln>
                <a:noFill/>
              </a:ln>
              <a:effectLst/>
            </c:spPr>
            <c:extLst>
              <c:ext xmlns:c16="http://schemas.microsoft.com/office/drawing/2014/chart" uri="{C3380CC4-5D6E-409C-BE32-E72D297353CC}">
                <c16:uniqueId val="{00000007-3F76-4EA5-8980-917DE50216A6}"/>
              </c:ext>
            </c:extLst>
          </c:dPt>
          <c:dPt>
            <c:idx val="6"/>
            <c:invertIfNegative val="0"/>
            <c:bubble3D val="0"/>
            <c:spPr>
              <a:solidFill>
                <a:srgbClr val="FFFF00"/>
              </a:solidFill>
              <a:ln>
                <a:noFill/>
              </a:ln>
              <a:effectLst/>
            </c:spPr>
            <c:extLst>
              <c:ext xmlns:c16="http://schemas.microsoft.com/office/drawing/2014/chart" uri="{C3380CC4-5D6E-409C-BE32-E72D297353CC}">
                <c16:uniqueId val="{00000006-3F76-4EA5-8980-917DE50216A6}"/>
              </c:ext>
            </c:extLst>
          </c:dPt>
          <c:dPt>
            <c:idx val="7"/>
            <c:invertIfNegative val="0"/>
            <c:bubble3D val="0"/>
            <c:spPr>
              <a:solidFill>
                <a:srgbClr val="FFFF00"/>
              </a:solidFill>
              <a:ln>
                <a:noFill/>
              </a:ln>
              <a:effectLst/>
            </c:spPr>
            <c:extLst>
              <c:ext xmlns:c16="http://schemas.microsoft.com/office/drawing/2014/chart" uri="{C3380CC4-5D6E-409C-BE32-E72D297353CC}">
                <c16:uniqueId val="{0000000B-807A-4097-B3C3-4FFA19C37A3B}"/>
              </c:ext>
            </c:extLst>
          </c:dPt>
          <c:dPt>
            <c:idx val="8"/>
            <c:invertIfNegative val="0"/>
            <c:bubble3D val="0"/>
            <c:spPr>
              <a:solidFill>
                <a:srgbClr val="FFFF00"/>
              </a:solidFill>
              <a:ln>
                <a:noFill/>
              </a:ln>
              <a:effectLst/>
            </c:spPr>
            <c:extLst>
              <c:ext xmlns:c16="http://schemas.microsoft.com/office/drawing/2014/chart" uri="{C3380CC4-5D6E-409C-BE32-E72D297353CC}">
                <c16:uniqueId val="{00000005-3F76-4EA5-8980-917DE50216A6}"/>
              </c:ext>
            </c:extLst>
          </c:dPt>
          <c:dPt>
            <c:idx val="9"/>
            <c:invertIfNegative val="0"/>
            <c:bubble3D val="0"/>
            <c:spPr>
              <a:solidFill>
                <a:srgbClr val="FFFF00"/>
              </a:solidFill>
              <a:ln>
                <a:noFill/>
              </a:ln>
              <a:effectLst/>
            </c:spPr>
            <c:extLst>
              <c:ext xmlns:c16="http://schemas.microsoft.com/office/drawing/2014/chart" uri="{C3380CC4-5D6E-409C-BE32-E72D297353CC}">
                <c16:uniqueId val="{00000004-3F76-4EA5-8980-917DE50216A6}"/>
              </c:ext>
            </c:extLst>
          </c:dPt>
          <c:dPt>
            <c:idx val="10"/>
            <c:invertIfNegative val="0"/>
            <c:bubble3D val="0"/>
            <c:spPr>
              <a:solidFill>
                <a:srgbClr val="FFFF00"/>
              </a:solidFill>
              <a:ln>
                <a:noFill/>
              </a:ln>
              <a:effectLst/>
            </c:spPr>
            <c:extLst>
              <c:ext xmlns:c16="http://schemas.microsoft.com/office/drawing/2014/chart" uri="{C3380CC4-5D6E-409C-BE32-E72D297353CC}">
                <c16:uniqueId val="{00000003-3F76-4EA5-8980-917DE50216A6}"/>
              </c:ext>
            </c:extLst>
          </c:dPt>
          <c:dPt>
            <c:idx val="11"/>
            <c:invertIfNegative val="0"/>
            <c:bubble3D val="0"/>
            <c:spPr>
              <a:solidFill>
                <a:srgbClr val="FFFF00"/>
              </a:solidFill>
              <a:ln>
                <a:noFill/>
              </a:ln>
              <a:effectLst/>
            </c:spPr>
            <c:extLst>
              <c:ext xmlns:c16="http://schemas.microsoft.com/office/drawing/2014/chart" uri="{C3380CC4-5D6E-409C-BE32-E72D297353CC}">
                <c16:uniqueId val="{00000002-3F76-4EA5-8980-917DE50216A6}"/>
              </c:ext>
            </c:extLst>
          </c:dPt>
          <c:dPt>
            <c:idx val="12"/>
            <c:invertIfNegative val="0"/>
            <c:bubble3D val="0"/>
            <c:spPr>
              <a:solidFill>
                <a:srgbClr val="FFFF00"/>
              </a:solidFill>
              <a:ln>
                <a:noFill/>
              </a:ln>
              <a:effectLst/>
            </c:spPr>
            <c:extLst>
              <c:ext xmlns:c16="http://schemas.microsoft.com/office/drawing/2014/chart" uri="{C3380CC4-5D6E-409C-BE32-E72D297353CC}">
                <c16:uniqueId val="{00000001-3F76-4EA5-8980-917DE50216A6}"/>
              </c:ext>
            </c:extLst>
          </c:dPt>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Gill Sans MT" panose="020B0502020104020203" pitchFamily="34" charset="0"/>
                    <a:ea typeface="+mn-ea"/>
                    <a:cs typeface="+mn-cs"/>
                  </a:defRPr>
                </a:pPr>
                <a:endParaRPr lang="fr-F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'CARTOGRAPHIE RISQUES BRUTS'!$F$13:$F$25</c:f>
              <c:strCache>
                <c:ptCount val="13"/>
                <c:pt idx="0">
                  <c:v>MARKETING  PRODUITS</c:v>
                </c:pt>
                <c:pt idx="1">
                  <c:v>AGENCES </c:v>
                </c:pt>
                <c:pt idx="2">
                  <c:v>RESSOURCES HUMAINES</c:v>
                </c:pt>
                <c:pt idx="3">
                  <c:v>OPERATIONS</c:v>
                </c:pt>
                <c:pt idx="4">
                  <c:v>CREDIT</c:v>
                </c:pt>
                <c:pt idx="5">
                  <c:v>FINANCES § REPORTING</c:v>
                </c:pt>
                <c:pt idx="6">
                  <c:v>IT</c:v>
                </c:pt>
                <c:pt idx="7">
                  <c:v>GOUVERNANCE &amp; CI</c:v>
                </c:pt>
                <c:pt idx="8">
                  <c:v>RECOUVREMENT</c:v>
                </c:pt>
                <c:pt idx="9">
                  <c:v>PRODUITS DIGITAUX</c:v>
                </c:pt>
                <c:pt idx="10">
                  <c:v>JURIDIQUE § CONTENTIEUX</c:v>
                </c:pt>
                <c:pt idx="11">
                  <c:v>ACHATS § LOGISTIQUE</c:v>
                </c:pt>
                <c:pt idx="12">
                  <c:v>CONFORMITE</c:v>
                </c:pt>
              </c:strCache>
            </c:strRef>
          </c:cat>
          <c:val>
            <c:numRef>
              <c:f>'CARTOGRAPHIE RISQUES BRUTS'!$I$13:$I$25</c:f>
              <c:numCache>
                <c:formatCode>General</c:formatCode>
                <c:ptCount val="13"/>
                <c:pt idx="0">
                  <c:v>8</c:v>
                </c:pt>
                <c:pt idx="1">
                  <c:v>8</c:v>
                </c:pt>
                <c:pt idx="2">
                  <c:v>6</c:v>
                </c:pt>
                <c:pt idx="3">
                  <c:v>8</c:v>
                </c:pt>
                <c:pt idx="4">
                  <c:v>8</c:v>
                </c:pt>
                <c:pt idx="5">
                  <c:v>12</c:v>
                </c:pt>
                <c:pt idx="6">
                  <c:v>12</c:v>
                </c:pt>
                <c:pt idx="7">
                  <c:v>12</c:v>
                </c:pt>
                <c:pt idx="8">
                  <c:v>0</c:v>
                </c:pt>
                <c:pt idx="9">
                  <c:v>12</c:v>
                </c:pt>
                <c:pt idx="10">
                  <c:v>12</c:v>
                </c:pt>
                <c:pt idx="11">
                  <c:v>8</c:v>
                </c:pt>
                <c:pt idx="12">
                  <c:v>12</c:v>
                </c:pt>
              </c:numCache>
            </c:numRef>
          </c:val>
          <c:extLst>
            <c:ext xmlns:c16="http://schemas.microsoft.com/office/drawing/2014/chart" uri="{C3380CC4-5D6E-409C-BE32-E72D297353CC}">
              <c16:uniqueId val="{00000000-F8D3-41BF-B680-0EE4E05BE382}"/>
            </c:ext>
          </c:extLst>
        </c:ser>
        <c:dLbls>
          <c:dLblPos val="outEnd"/>
          <c:showLegendKey val="0"/>
          <c:showVal val="1"/>
          <c:showCatName val="0"/>
          <c:showSerName val="0"/>
          <c:showPercent val="0"/>
          <c:showBubbleSize val="0"/>
        </c:dLbls>
        <c:gapWidth val="182"/>
        <c:axId val="678599679"/>
        <c:axId val="597582863"/>
      </c:barChart>
      <c:catAx>
        <c:axId val="67859967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Gill Sans MT" panose="020B0502020104020203" pitchFamily="34" charset="0"/>
                <a:ea typeface="+mn-ea"/>
                <a:cs typeface="+mn-cs"/>
              </a:defRPr>
            </a:pPr>
            <a:endParaRPr lang="fr-FR"/>
          </a:p>
        </c:txPr>
        <c:crossAx val="597582863"/>
        <c:crosses val="autoZero"/>
        <c:auto val="1"/>
        <c:lblAlgn val="ctr"/>
        <c:lblOffset val="100"/>
        <c:noMultiLvlLbl val="0"/>
      </c:catAx>
      <c:valAx>
        <c:axId val="597582863"/>
        <c:scaling>
          <c:orientation val="minMax"/>
        </c:scaling>
        <c:delete val="1"/>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67859967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sz="800">
          <a:latin typeface="Gill Sans MT" panose="020B0502020104020203" pitchFamily="34" charset="0"/>
        </a:defRPr>
      </a:pPr>
      <a:endParaRPr lang="fr-F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image" Target="../media/image2.svg"/><Relationship Id="rId2" Type="http://schemas.openxmlformats.org/officeDocument/2006/relationships/image" Target="../media/image1.png"/><Relationship Id="rId1" Type="http://schemas.openxmlformats.org/officeDocument/2006/relationships/hyperlink" Target="#HOME!A1"/><Relationship Id="rId5" Type="http://schemas.openxmlformats.org/officeDocument/2006/relationships/image" Target="../media/image3.jpeg"/><Relationship Id="rId4" Type="http://schemas.openxmlformats.org/officeDocument/2006/relationships/chart" Target="../charts/chart1.xml"/></Relationships>
</file>

<file path=xl/drawings/_rels/drawing3.xml.rels><?xml version="1.0" encoding="UTF-8" standalone="yes"?>
<Relationships xmlns="http://schemas.openxmlformats.org/package/2006/relationships"><Relationship Id="rId8" Type="http://schemas.openxmlformats.org/officeDocument/2006/relationships/hyperlink" Target="#DASHBOARD!A1"/><Relationship Id="rId13" Type="http://schemas.openxmlformats.org/officeDocument/2006/relationships/hyperlink" Target="#CREDIT!A1"/><Relationship Id="rId18" Type="http://schemas.openxmlformats.org/officeDocument/2006/relationships/hyperlink" Target="#'GOUV &amp; CONTR&#212;LE INTERNE'!A1"/><Relationship Id="rId3" Type="http://schemas.openxmlformats.org/officeDocument/2006/relationships/hyperlink" Target="#Pr&#233;ambule!A1"/><Relationship Id="rId21" Type="http://schemas.openxmlformats.org/officeDocument/2006/relationships/hyperlink" Target="#CONFORMITE!A1"/><Relationship Id="rId7" Type="http://schemas.openxmlformats.org/officeDocument/2006/relationships/hyperlink" Target="#'Matrice RISQUES'!A1"/><Relationship Id="rId12" Type="http://schemas.openxmlformats.org/officeDocument/2006/relationships/hyperlink" Target="#OPERATIONS!A1"/><Relationship Id="rId17" Type="http://schemas.openxmlformats.org/officeDocument/2006/relationships/hyperlink" Target="#'PRODUITS DIGITAUX &amp; CHANGE'!A1"/><Relationship Id="rId25" Type="http://schemas.openxmlformats.org/officeDocument/2006/relationships/image" Target="../media/image5.jpeg"/><Relationship Id="rId2" Type="http://schemas.openxmlformats.org/officeDocument/2006/relationships/hyperlink" Target="#'D&#233;finition &amp; Objectifs'!A1"/><Relationship Id="rId16" Type="http://schemas.openxmlformats.org/officeDocument/2006/relationships/hyperlink" Target="#RECOUVREMENT!A1"/><Relationship Id="rId20" Type="http://schemas.openxmlformats.org/officeDocument/2006/relationships/hyperlink" Target="#'ACHATS &amp; LOGISTIQUE'!A1"/><Relationship Id="rId1" Type="http://schemas.openxmlformats.org/officeDocument/2006/relationships/image" Target="../media/image4.jpeg"/><Relationship Id="rId6" Type="http://schemas.openxmlformats.org/officeDocument/2006/relationships/hyperlink" Target="#'Echelle de contr&#244;le'!A1"/><Relationship Id="rId11" Type="http://schemas.openxmlformats.org/officeDocument/2006/relationships/hyperlink" Target="#'RESSOURCES HUMAINES'!A1"/><Relationship Id="rId24" Type="http://schemas.openxmlformats.org/officeDocument/2006/relationships/hyperlink" Target="#'CARTOGRAPHIE RISQUES BRUTS'!A1"/><Relationship Id="rId5" Type="http://schemas.openxmlformats.org/officeDocument/2006/relationships/hyperlink" Target="#'Echelle P &amp; G'!A1"/><Relationship Id="rId15" Type="http://schemas.openxmlformats.org/officeDocument/2006/relationships/hyperlink" Target="#'IT '!A1"/><Relationship Id="rId23" Type="http://schemas.openxmlformats.org/officeDocument/2006/relationships/hyperlink" Target="#'PLUS GROS RISQUES'!A1"/><Relationship Id="rId10" Type="http://schemas.openxmlformats.org/officeDocument/2006/relationships/hyperlink" Target="#AGENCES!A1"/><Relationship Id="rId19" Type="http://schemas.openxmlformats.org/officeDocument/2006/relationships/hyperlink" Target="#'JURIDIQUE &amp; CONTENTIEUX'!A1"/><Relationship Id="rId4" Type="http://schemas.openxmlformats.org/officeDocument/2006/relationships/hyperlink" Target="#Principes!A1"/><Relationship Id="rId9" Type="http://schemas.openxmlformats.org/officeDocument/2006/relationships/hyperlink" Target="#'MARKETING PRODUITS'!A1"/><Relationship Id="rId14" Type="http://schemas.openxmlformats.org/officeDocument/2006/relationships/hyperlink" Target="#'FINANCES &amp; REPORTING'!A1"/><Relationship Id="rId22" Type="http://schemas.openxmlformats.org/officeDocument/2006/relationships/hyperlink" Target="#'LEXIQUE FAMILLE RISQUE'!A1"/></Relationships>
</file>

<file path=xl/drawings/_rels/drawing4.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hyperlink" Target="#HOME!A1"/><Relationship Id="rId1" Type="http://schemas.openxmlformats.org/officeDocument/2006/relationships/image" Target="../media/image6.png"/><Relationship Id="rId4" Type="http://schemas.openxmlformats.org/officeDocument/2006/relationships/image" Target="../media/image8.svg"/></Relationships>
</file>

<file path=xl/drawings/_rels/drawing5.xml.rels><?xml version="1.0" encoding="UTF-8" standalone="yes"?>
<Relationships xmlns="http://schemas.openxmlformats.org/package/2006/relationships"><Relationship Id="rId3" Type="http://schemas.openxmlformats.org/officeDocument/2006/relationships/image" Target="../media/image9.svg"/><Relationship Id="rId2" Type="http://schemas.openxmlformats.org/officeDocument/2006/relationships/image" Target="../media/image7.png"/><Relationship Id="rId1" Type="http://schemas.openxmlformats.org/officeDocument/2006/relationships/hyperlink" Target="#HOME!A1"/></Relationships>
</file>

<file path=xl/drawings/_rels/drawing6.xml.rels><?xml version="1.0" encoding="UTF-8" standalone="yes"?>
<Relationships xmlns="http://schemas.openxmlformats.org/package/2006/relationships"><Relationship Id="rId3" Type="http://schemas.openxmlformats.org/officeDocument/2006/relationships/image" Target="../media/image9.svg"/><Relationship Id="rId2" Type="http://schemas.openxmlformats.org/officeDocument/2006/relationships/image" Target="../media/image7.png"/><Relationship Id="rId1" Type="http://schemas.openxmlformats.org/officeDocument/2006/relationships/hyperlink" Target="#HOME!A1"/></Relationships>
</file>

<file path=xl/drawings/_rels/drawing7.xml.rels><?xml version="1.0" encoding="UTF-8" standalone="yes"?>
<Relationships xmlns="http://schemas.openxmlformats.org/package/2006/relationships"><Relationship Id="rId3" Type="http://schemas.openxmlformats.org/officeDocument/2006/relationships/image" Target="../media/image9.svg"/><Relationship Id="rId2" Type="http://schemas.openxmlformats.org/officeDocument/2006/relationships/image" Target="../media/image7.png"/><Relationship Id="rId1" Type="http://schemas.openxmlformats.org/officeDocument/2006/relationships/hyperlink" Target="#HOME!A1"/></Relationships>
</file>

<file path=xl/drawings/_rels/drawing8.xml.rels><?xml version="1.0" encoding="UTF-8" standalone="yes"?>
<Relationships xmlns="http://schemas.openxmlformats.org/package/2006/relationships"><Relationship Id="rId3" Type="http://schemas.openxmlformats.org/officeDocument/2006/relationships/image" Target="../media/image9.svg"/><Relationship Id="rId2" Type="http://schemas.openxmlformats.org/officeDocument/2006/relationships/image" Target="../media/image7.png"/><Relationship Id="rId1" Type="http://schemas.openxmlformats.org/officeDocument/2006/relationships/hyperlink" Target="#HOME!A1"/></Relationships>
</file>

<file path=xl/drawings/_rels/drawing9.xml.rels><?xml version="1.0" encoding="UTF-8" standalone="yes"?>
<Relationships xmlns="http://schemas.openxmlformats.org/package/2006/relationships"><Relationship Id="rId3" Type="http://schemas.openxmlformats.org/officeDocument/2006/relationships/image" Target="../media/image9.svg"/><Relationship Id="rId2" Type="http://schemas.openxmlformats.org/officeDocument/2006/relationships/image" Target="../media/image7.png"/><Relationship Id="rId1" Type="http://schemas.openxmlformats.org/officeDocument/2006/relationships/hyperlink" Target="#HOME!A1"/></Relationships>
</file>

<file path=xl/drawings/_rels/drawing10.xml.rels><?xml version="1.0" encoding="UTF-8" standalone="yes"?>
<Relationships xmlns="http://schemas.openxmlformats.org/package/2006/relationships"><Relationship Id="rId3" Type="http://schemas.openxmlformats.org/officeDocument/2006/relationships/image" Target="../media/image10.svg"/><Relationship Id="rId2" Type="http://schemas.openxmlformats.org/officeDocument/2006/relationships/image" Target="../media/image1.png"/><Relationship Id="rId1" Type="http://schemas.openxmlformats.org/officeDocument/2006/relationships/hyperlink" Target="#HOME!A1"/></Relationships>
</file>

<file path=xl/drawings/_rels/drawing11.xml.rels><?xml version="1.0" encoding="UTF-8" standalone="yes"?>
<Relationships xmlns="http://schemas.openxmlformats.org/package/2006/relationships"><Relationship Id="rId3" Type="http://schemas.openxmlformats.org/officeDocument/2006/relationships/image" Target="../media/image2.svg"/><Relationship Id="rId2" Type="http://schemas.openxmlformats.org/officeDocument/2006/relationships/image" Target="../media/image1.png"/><Relationship Id="rId1" Type="http://schemas.openxmlformats.org/officeDocument/2006/relationships/hyperlink" Target="#HOME!A1"/></Relationships>
</file>

<file path=xl/drawings/_rels/drawing12.xml.rels><?xml version="1.0" encoding="UTF-8" standalone="yes"?>
<Relationships xmlns="http://schemas.openxmlformats.org/package/2006/relationships"><Relationship Id="rId3" Type="http://schemas.openxmlformats.org/officeDocument/2006/relationships/image" Target="../media/image2.svg"/><Relationship Id="rId2" Type="http://schemas.openxmlformats.org/officeDocument/2006/relationships/image" Target="../media/image1.png"/><Relationship Id="rId1" Type="http://schemas.openxmlformats.org/officeDocument/2006/relationships/hyperlink" Target="#HOME!A1"/></Relationships>
</file>

<file path=xl/drawings/_rels/drawing13.xml.rels><?xml version="1.0" encoding="UTF-8" standalone="yes"?>
<Relationships xmlns="http://schemas.openxmlformats.org/package/2006/relationships"><Relationship Id="rId3" Type="http://schemas.openxmlformats.org/officeDocument/2006/relationships/image" Target="../media/image2.svg"/><Relationship Id="rId2" Type="http://schemas.openxmlformats.org/officeDocument/2006/relationships/image" Target="../media/image1.png"/><Relationship Id="rId1" Type="http://schemas.openxmlformats.org/officeDocument/2006/relationships/hyperlink" Target="#HOME!A1"/></Relationships>
</file>

<file path=xl/drawings/_rels/drawing14.xml.rels><?xml version="1.0" encoding="UTF-8" standalone="yes"?>
<Relationships xmlns="http://schemas.openxmlformats.org/package/2006/relationships"><Relationship Id="rId3" Type="http://schemas.openxmlformats.org/officeDocument/2006/relationships/image" Target="../media/image2.svg"/><Relationship Id="rId2" Type="http://schemas.openxmlformats.org/officeDocument/2006/relationships/image" Target="../media/image1.png"/><Relationship Id="rId1" Type="http://schemas.openxmlformats.org/officeDocument/2006/relationships/hyperlink" Target="#HOME!A1"/></Relationships>
</file>

<file path=xl/drawings/_rels/drawing15.xml.rels><?xml version="1.0" encoding="UTF-8" standalone="yes"?>
<Relationships xmlns="http://schemas.openxmlformats.org/package/2006/relationships"><Relationship Id="rId3" Type="http://schemas.openxmlformats.org/officeDocument/2006/relationships/image" Target="../media/image2.svg"/><Relationship Id="rId2" Type="http://schemas.openxmlformats.org/officeDocument/2006/relationships/image" Target="../media/image1.png"/><Relationship Id="rId1" Type="http://schemas.openxmlformats.org/officeDocument/2006/relationships/hyperlink" Target="#HOME!A1"/></Relationships>
</file>

<file path=xl/drawings/_rels/drawing16.xml.rels><?xml version="1.0" encoding="UTF-8" standalone="yes"?>
<Relationships xmlns="http://schemas.openxmlformats.org/package/2006/relationships"><Relationship Id="rId3" Type="http://schemas.openxmlformats.org/officeDocument/2006/relationships/image" Target="../media/image2.svg"/><Relationship Id="rId2" Type="http://schemas.openxmlformats.org/officeDocument/2006/relationships/image" Target="../media/image1.png"/><Relationship Id="rId1" Type="http://schemas.openxmlformats.org/officeDocument/2006/relationships/hyperlink" Target="#HOME!A1"/></Relationships>
</file>

<file path=xl/drawings/_rels/drawing17.xml.rels><?xml version="1.0" encoding="UTF-8" standalone="yes"?>
<Relationships xmlns="http://schemas.openxmlformats.org/package/2006/relationships"><Relationship Id="rId3" Type="http://schemas.openxmlformats.org/officeDocument/2006/relationships/image" Target="../media/image2.svg"/><Relationship Id="rId2" Type="http://schemas.openxmlformats.org/officeDocument/2006/relationships/image" Target="../media/image1.png"/><Relationship Id="rId1" Type="http://schemas.openxmlformats.org/officeDocument/2006/relationships/hyperlink" Target="#HOME!A1"/></Relationships>
</file>

<file path=xl/drawings/_rels/drawing18.xml.rels><?xml version="1.0" encoding="UTF-8" standalone="yes"?>
<Relationships xmlns="http://schemas.openxmlformats.org/package/2006/relationships"><Relationship Id="rId3" Type="http://schemas.openxmlformats.org/officeDocument/2006/relationships/image" Target="../media/image2.svg"/><Relationship Id="rId2" Type="http://schemas.openxmlformats.org/officeDocument/2006/relationships/image" Target="../media/image1.png"/><Relationship Id="rId1" Type="http://schemas.openxmlformats.org/officeDocument/2006/relationships/hyperlink" Target="#HOME!A1"/></Relationships>
</file>

<file path=xl/drawings/_rels/drawing19.xml.rels><?xml version="1.0" encoding="UTF-8" standalone="yes"?>
<Relationships xmlns="http://schemas.openxmlformats.org/package/2006/relationships"><Relationship Id="rId3" Type="http://schemas.openxmlformats.org/officeDocument/2006/relationships/image" Target="../media/image2.svg"/><Relationship Id="rId2" Type="http://schemas.openxmlformats.org/officeDocument/2006/relationships/image" Target="../media/image1.png"/><Relationship Id="rId1" Type="http://schemas.openxmlformats.org/officeDocument/2006/relationships/hyperlink" Target="#HOME!A1"/></Relationships>
</file>

<file path=xl/drawings/_rels/drawing20.xml.rels><?xml version="1.0" encoding="UTF-8" standalone="yes"?>
<Relationships xmlns="http://schemas.openxmlformats.org/package/2006/relationships"><Relationship Id="rId3" Type="http://schemas.openxmlformats.org/officeDocument/2006/relationships/image" Target="../media/image2.svg"/><Relationship Id="rId2" Type="http://schemas.openxmlformats.org/officeDocument/2006/relationships/image" Target="../media/image1.png"/><Relationship Id="rId1" Type="http://schemas.openxmlformats.org/officeDocument/2006/relationships/hyperlink" Target="#HOME!A1"/></Relationships>
</file>

<file path=xl/drawings/_rels/drawing21.xml.rels><?xml version="1.0" encoding="UTF-8" standalone="yes"?>
<Relationships xmlns="http://schemas.openxmlformats.org/package/2006/relationships"><Relationship Id="rId3" Type="http://schemas.openxmlformats.org/officeDocument/2006/relationships/image" Target="../media/image2.svg"/><Relationship Id="rId2" Type="http://schemas.openxmlformats.org/officeDocument/2006/relationships/image" Target="../media/image1.png"/><Relationship Id="rId1" Type="http://schemas.openxmlformats.org/officeDocument/2006/relationships/hyperlink" Target="#HOME!A1"/></Relationships>
</file>

<file path=xl/drawings/_rels/drawing22.xml.rels><?xml version="1.0" encoding="UTF-8" standalone="yes"?>
<Relationships xmlns="http://schemas.openxmlformats.org/package/2006/relationships"><Relationship Id="rId3" Type="http://schemas.openxmlformats.org/officeDocument/2006/relationships/image" Target="../media/image2.svg"/><Relationship Id="rId2" Type="http://schemas.openxmlformats.org/officeDocument/2006/relationships/image" Target="../media/image1.png"/><Relationship Id="rId1" Type="http://schemas.openxmlformats.org/officeDocument/2006/relationships/hyperlink" Target="#HOME!A1"/></Relationships>
</file>

<file path=xl/drawings/_rels/drawing23.xml.rels><?xml version="1.0" encoding="UTF-8" standalone="yes"?>
<Relationships xmlns="http://schemas.openxmlformats.org/package/2006/relationships"><Relationship Id="rId3" Type="http://schemas.openxmlformats.org/officeDocument/2006/relationships/image" Target="../media/image2.svg"/><Relationship Id="rId2" Type="http://schemas.openxmlformats.org/officeDocument/2006/relationships/image" Target="../media/image1.png"/><Relationship Id="rId1" Type="http://schemas.openxmlformats.org/officeDocument/2006/relationships/hyperlink" Target="#HOME!A1"/></Relationships>
</file>

<file path=xl/drawings/_rels/drawing24.xml.rels><?xml version="1.0" encoding="UTF-8" standalone="yes"?>
<Relationships xmlns="http://schemas.openxmlformats.org/package/2006/relationships"><Relationship Id="rId3" Type="http://schemas.openxmlformats.org/officeDocument/2006/relationships/image" Target="../media/image2.svg"/><Relationship Id="rId2" Type="http://schemas.openxmlformats.org/officeDocument/2006/relationships/image" Target="../media/image1.png"/><Relationship Id="rId1" Type="http://schemas.openxmlformats.org/officeDocument/2006/relationships/hyperlink" Target="#HOME!A1"/></Relationships>
</file>

<file path=xl/drawings/_rels/drawing25.xml.rels><?xml version="1.0" encoding="UTF-8" standalone="yes"?>
<Relationships xmlns="http://schemas.openxmlformats.org/package/2006/relationships"><Relationship Id="rId3" Type="http://schemas.openxmlformats.org/officeDocument/2006/relationships/image" Target="../media/image2.svg"/><Relationship Id="rId2" Type="http://schemas.openxmlformats.org/officeDocument/2006/relationships/image" Target="../media/image1.png"/><Relationship Id="rId1" Type="http://schemas.openxmlformats.org/officeDocument/2006/relationships/hyperlink" Target="#HOME!A1"/></Relationships>
</file>

<file path=xl/drawings/_rels/drawing26.xml.rels><?xml version="1.0" encoding="UTF-8" standalone="yes"?>
<Relationships xmlns="http://schemas.openxmlformats.org/package/2006/relationships"><Relationship Id="rId3" Type="http://schemas.openxmlformats.org/officeDocument/2006/relationships/image" Target="../media/image2.svg"/><Relationship Id="rId2" Type="http://schemas.openxmlformats.org/officeDocument/2006/relationships/image" Target="../media/image1.png"/><Relationship Id="rId1" Type="http://schemas.openxmlformats.org/officeDocument/2006/relationships/hyperlink" Target="#HOME!A1"/></Relationships>
</file>

<file path=xl/drawings/_rels/drawing27.xml.rels><?xml version="1.0" encoding="UTF-8" standalone="yes"?>
<Relationships xmlns="http://schemas.openxmlformats.org/package/2006/relationships"><Relationship Id="rId3" Type="http://schemas.openxmlformats.org/officeDocument/2006/relationships/image" Target="../media/image2.svg"/><Relationship Id="rId2" Type="http://schemas.openxmlformats.org/officeDocument/2006/relationships/image" Target="../media/image1.png"/><Relationship Id="rId1" Type="http://schemas.openxmlformats.org/officeDocument/2006/relationships/hyperlink" Target="#HOME!A1"/></Relationships>
</file>

<file path=xl/drawings/drawing1.xml><?xml version="1.0" encoding="utf-8"?>
<xdr:wsDr xmlns:xdr="http://schemas.openxmlformats.org/drawingml/2006/spreadsheetDrawing" xmlns:a="http://schemas.openxmlformats.org/drawingml/2006/main">
  <xdr:twoCellAnchor>
    <xdr:from>
      <xdr:col>8</xdr:col>
      <xdr:colOff>19050</xdr:colOff>
      <xdr:row>2</xdr:row>
      <xdr:rowOff>295275</xdr:rowOff>
    </xdr:from>
    <xdr:to>
      <xdr:col>9</xdr:col>
      <xdr:colOff>123825</xdr:colOff>
      <xdr:row>3</xdr:row>
      <xdr:rowOff>209550</xdr:rowOff>
    </xdr:to>
    <xdr:sp macro="" textlink="">
      <xdr:nvSpPr>
        <xdr:cNvPr id="2" name="Ellipse 1">
          <a:extLst>
            <a:ext uri="{FF2B5EF4-FFF2-40B4-BE49-F238E27FC236}">
              <a16:creationId xmlns:a16="http://schemas.microsoft.com/office/drawing/2014/main" id="{00000000-0008-0000-0000-000002000000}"/>
            </a:ext>
          </a:extLst>
        </xdr:cNvPr>
        <xdr:cNvSpPr/>
      </xdr:nvSpPr>
      <xdr:spPr>
        <a:xfrm>
          <a:off x="3971925" y="695325"/>
          <a:ext cx="866775" cy="390525"/>
        </a:xfrm>
        <a:prstGeom prst="ellipse">
          <a:avLst/>
        </a:prstGeom>
        <a:no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a:defRPr lang="fr-F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fr-FR" sz="1000">
              <a:solidFill>
                <a:sysClr val="windowText" lastClr="000000"/>
              </a:solidFill>
            </a:rPr>
            <a:t>Critique</a:t>
          </a:r>
        </a:p>
      </xdr:txBody>
    </xdr:sp>
    <xdr:clientData/>
  </xdr:twoCellAnchor>
  <xdr:twoCellAnchor>
    <xdr:from>
      <xdr:col>8</xdr:col>
      <xdr:colOff>0</xdr:colOff>
      <xdr:row>7</xdr:row>
      <xdr:rowOff>371475</xdr:rowOff>
    </xdr:from>
    <xdr:to>
      <xdr:col>9</xdr:col>
      <xdr:colOff>104775</xdr:colOff>
      <xdr:row>9</xdr:row>
      <xdr:rowOff>95250</xdr:rowOff>
    </xdr:to>
    <xdr:sp macro="" textlink="">
      <xdr:nvSpPr>
        <xdr:cNvPr id="3" name="Ellipse 2">
          <a:extLst>
            <a:ext uri="{FF2B5EF4-FFF2-40B4-BE49-F238E27FC236}">
              <a16:creationId xmlns:a16="http://schemas.microsoft.com/office/drawing/2014/main" id="{00000000-0008-0000-0000-000003000000}"/>
            </a:ext>
          </a:extLst>
        </xdr:cNvPr>
        <xdr:cNvSpPr/>
      </xdr:nvSpPr>
      <xdr:spPr>
        <a:xfrm>
          <a:off x="3952875" y="3152775"/>
          <a:ext cx="866775" cy="390525"/>
        </a:xfrm>
        <a:prstGeom prst="ellipse">
          <a:avLst/>
        </a:prstGeom>
        <a:no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a:defRPr lang="fr-F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fr-FR" sz="1000">
              <a:solidFill>
                <a:sysClr val="windowText" lastClr="000000"/>
              </a:solidFill>
            </a:rPr>
            <a:t>Moderé</a:t>
          </a:r>
        </a:p>
      </xdr:txBody>
    </xdr:sp>
    <xdr:clientData/>
  </xdr:twoCellAnchor>
  <xdr:twoCellAnchor>
    <xdr:from>
      <xdr:col>1</xdr:col>
      <xdr:colOff>47625</xdr:colOff>
      <xdr:row>10</xdr:row>
      <xdr:rowOff>104775</xdr:rowOff>
    </xdr:from>
    <xdr:to>
      <xdr:col>2</xdr:col>
      <xdr:colOff>438150</xdr:colOff>
      <xdr:row>12</xdr:row>
      <xdr:rowOff>114300</xdr:rowOff>
    </xdr:to>
    <xdr:sp macro="" textlink="">
      <xdr:nvSpPr>
        <xdr:cNvPr id="4" name="Ellipse 3">
          <a:extLst>
            <a:ext uri="{FF2B5EF4-FFF2-40B4-BE49-F238E27FC236}">
              <a16:creationId xmlns:a16="http://schemas.microsoft.com/office/drawing/2014/main" id="{00000000-0008-0000-0000-000004000000}"/>
            </a:ext>
          </a:extLst>
        </xdr:cNvPr>
        <xdr:cNvSpPr/>
      </xdr:nvSpPr>
      <xdr:spPr>
        <a:xfrm>
          <a:off x="381000" y="3743325"/>
          <a:ext cx="866775" cy="390525"/>
        </a:xfrm>
        <a:prstGeom prst="ellipse">
          <a:avLst/>
        </a:prstGeom>
        <a:no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a:defRPr lang="fr-F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fr-FR" sz="1000">
              <a:solidFill>
                <a:sysClr val="windowText" lastClr="000000"/>
              </a:solidFill>
            </a:rPr>
            <a:t>Faible</a:t>
          </a:r>
        </a:p>
      </xdr:txBody>
    </xdr:sp>
    <xdr:clientData/>
  </xdr:twoCellAnchor>
  <xdr:twoCellAnchor>
    <xdr:from>
      <xdr:col>7</xdr:col>
      <xdr:colOff>52297</xdr:colOff>
      <xdr:row>3</xdr:row>
      <xdr:rowOff>546</xdr:rowOff>
    </xdr:from>
    <xdr:to>
      <xdr:col>7</xdr:col>
      <xdr:colOff>736297</xdr:colOff>
      <xdr:row>3</xdr:row>
      <xdr:rowOff>546</xdr:rowOff>
    </xdr:to>
    <xdr:cxnSp macro="">
      <xdr:nvCxnSpPr>
        <xdr:cNvPr id="5" name="Connecteur droit avec flèche 4">
          <a:extLst>
            <a:ext uri="{FF2B5EF4-FFF2-40B4-BE49-F238E27FC236}">
              <a16:creationId xmlns:a16="http://schemas.microsoft.com/office/drawing/2014/main" id="{00000000-0008-0000-0000-000005000000}"/>
            </a:ext>
          </a:extLst>
        </xdr:cNvPr>
        <xdr:cNvCxnSpPr/>
      </xdr:nvCxnSpPr>
      <xdr:spPr>
        <a:xfrm flipH="1">
          <a:off x="3243172" y="876846"/>
          <a:ext cx="684000"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42772</xdr:colOff>
      <xdr:row>8</xdr:row>
      <xdr:rowOff>546</xdr:rowOff>
    </xdr:from>
    <xdr:to>
      <xdr:col>8</xdr:col>
      <xdr:colOff>0</xdr:colOff>
      <xdr:row>8</xdr:row>
      <xdr:rowOff>90488</xdr:rowOff>
    </xdr:to>
    <xdr:cxnSp macro="">
      <xdr:nvCxnSpPr>
        <xdr:cNvPr id="6" name="Connecteur droit avec flèche 5">
          <a:extLst>
            <a:ext uri="{FF2B5EF4-FFF2-40B4-BE49-F238E27FC236}">
              <a16:creationId xmlns:a16="http://schemas.microsoft.com/office/drawing/2014/main" id="{00000000-0008-0000-0000-000006000000}"/>
            </a:ext>
          </a:extLst>
        </xdr:cNvPr>
        <xdr:cNvCxnSpPr>
          <a:stCxn id="3" idx="2"/>
        </xdr:cNvCxnSpPr>
      </xdr:nvCxnSpPr>
      <xdr:spPr>
        <a:xfrm flipH="1" flipV="1">
          <a:off x="3233647" y="3258096"/>
          <a:ext cx="719228" cy="89942"/>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9525</xdr:colOff>
      <xdr:row>8</xdr:row>
      <xdr:rowOff>28575</xdr:rowOff>
    </xdr:from>
    <xdr:to>
      <xdr:col>2</xdr:col>
      <xdr:colOff>12397</xdr:colOff>
      <xdr:row>10</xdr:row>
      <xdr:rowOff>86271</xdr:rowOff>
    </xdr:to>
    <xdr:cxnSp macro="">
      <xdr:nvCxnSpPr>
        <xdr:cNvPr id="7" name="Connecteur droit avec flèche 6">
          <a:extLst>
            <a:ext uri="{FF2B5EF4-FFF2-40B4-BE49-F238E27FC236}">
              <a16:creationId xmlns:a16="http://schemas.microsoft.com/office/drawing/2014/main" id="{00000000-0008-0000-0000-000007000000}"/>
            </a:ext>
          </a:extLst>
        </xdr:cNvPr>
        <xdr:cNvCxnSpPr/>
      </xdr:nvCxnSpPr>
      <xdr:spPr>
        <a:xfrm flipH="1" flipV="1">
          <a:off x="819150" y="3286125"/>
          <a:ext cx="2872" cy="438696"/>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0</xdr:colOff>
      <xdr:row>6</xdr:row>
      <xdr:rowOff>0</xdr:rowOff>
    </xdr:from>
    <xdr:to>
      <xdr:col>9</xdr:col>
      <xdr:colOff>104775</xdr:colOff>
      <xdr:row>6</xdr:row>
      <xdr:rowOff>390525</xdr:rowOff>
    </xdr:to>
    <xdr:sp macro="" textlink="">
      <xdr:nvSpPr>
        <xdr:cNvPr id="8" name="Ellipse 7">
          <a:extLst>
            <a:ext uri="{FF2B5EF4-FFF2-40B4-BE49-F238E27FC236}">
              <a16:creationId xmlns:a16="http://schemas.microsoft.com/office/drawing/2014/main" id="{00000000-0008-0000-0000-000008000000}"/>
            </a:ext>
          </a:extLst>
        </xdr:cNvPr>
        <xdr:cNvSpPr/>
      </xdr:nvSpPr>
      <xdr:spPr>
        <a:xfrm>
          <a:off x="3952875" y="2305050"/>
          <a:ext cx="866775" cy="390525"/>
        </a:xfrm>
        <a:prstGeom prst="ellipse">
          <a:avLst/>
        </a:prstGeom>
        <a:no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a:defRPr lang="fr-F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fr-FR" sz="1000">
              <a:solidFill>
                <a:sysClr val="windowText" lastClr="000000"/>
              </a:solidFill>
            </a:rPr>
            <a:t>Fort</a:t>
          </a:r>
        </a:p>
      </xdr:txBody>
    </xdr:sp>
    <xdr:clientData/>
  </xdr:twoCellAnchor>
  <xdr:twoCellAnchor>
    <xdr:from>
      <xdr:col>6</xdr:col>
      <xdr:colOff>457200</xdr:colOff>
      <xdr:row>6</xdr:row>
      <xdr:rowOff>171450</xdr:rowOff>
    </xdr:from>
    <xdr:to>
      <xdr:col>8</xdr:col>
      <xdr:colOff>0</xdr:colOff>
      <xdr:row>6</xdr:row>
      <xdr:rowOff>195263</xdr:rowOff>
    </xdr:to>
    <xdr:cxnSp macro="">
      <xdr:nvCxnSpPr>
        <xdr:cNvPr id="9" name="Connecteur droit avec flèche 8">
          <a:extLst>
            <a:ext uri="{FF2B5EF4-FFF2-40B4-BE49-F238E27FC236}">
              <a16:creationId xmlns:a16="http://schemas.microsoft.com/office/drawing/2014/main" id="{00000000-0008-0000-0000-000009000000}"/>
            </a:ext>
          </a:extLst>
        </xdr:cNvPr>
        <xdr:cNvCxnSpPr>
          <a:stCxn id="8" idx="2"/>
        </xdr:cNvCxnSpPr>
      </xdr:nvCxnSpPr>
      <xdr:spPr>
        <a:xfrm flipH="1" flipV="1">
          <a:off x="3171825" y="2476500"/>
          <a:ext cx="781050" cy="23813"/>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609600</xdr:colOff>
      <xdr:row>0</xdr:row>
      <xdr:rowOff>57150</xdr:rowOff>
    </xdr:from>
    <xdr:to>
      <xdr:col>11</xdr:col>
      <xdr:colOff>641350</xdr:colOff>
      <xdr:row>1</xdr:row>
      <xdr:rowOff>114300</xdr:rowOff>
    </xdr:to>
    <xdr:sp macro="" textlink="">
      <xdr:nvSpPr>
        <xdr:cNvPr id="3" name="ZoneTexte 2">
          <a:extLst>
            <a:ext uri="{FF2B5EF4-FFF2-40B4-BE49-F238E27FC236}">
              <a16:creationId xmlns:a16="http://schemas.microsoft.com/office/drawing/2014/main" id="{3BA0178B-7049-4448-A4C1-A854B53562CB}"/>
            </a:ext>
          </a:extLst>
        </xdr:cNvPr>
        <xdr:cNvSpPr txBox="1"/>
      </xdr:nvSpPr>
      <xdr:spPr>
        <a:xfrm>
          <a:off x="1371600" y="57150"/>
          <a:ext cx="7651750" cy="241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fr-SN" sz="1400" b="1">
              <a:solidFill>
                <a:schemeClr val="bg1"/>
              </a:solidFill>
              <a:latin typeface="Gill Sans MT" panose="020B0502020104020203" pitchFamily="34" charset="0"/>
            </a:rPr>
            <a:t>RISK</a:t>
          </a:r>
          <a:r>
            <a:rPr lang="fr-SN" sz="1400" b="1" baseline="0">
              <a:solidFill>
                <a:schemeClr val="bg1"/>
              </a:solidFill>
              <a:latin typeface="Gill Sans MT" panose="020B0502020104020203" pitchFamily="34" charset="0"/>
            </a:rPr>
            <a:t> MANAGEMENT DASHBOARD</a:t>
          </a:r>
          <a:endParaRPr lang="fr-SN" sz="1400" b="1">
            <a:solidFill>
              <a:schemeClr val="bg1"/>
            </a:solidFill>
            <a:latin typeface="Gill Sans MT" panose="020B0502020104020203" pitchFamily="34" charset="0"/>
          </a:endParaRPr>
        </a:p>
      </xdr:txBody>
    </xdr:sp>
    <xdr:clientData/>
  </xdr:twoCellAnchor>
  <xdr:twoCellAnchor>
    <xdr:from>
      <xdr:col>0</xdr:col>
      <xdr:colOff>755650</xdr:colOff>
      <xdr:row>2</xdr:row>
      <xdr:rowOff>120650</xdr:rowOff>
    </xdr:from>
    <xdr:to>
      <xdr:col>14</xdr:col>
      <xdr:colOff>495300</xdr:colOff>
      <xdr:row>5</xdr:row>
      <xdr:rowOff>38100</xdr:rowOff>
    </xdr:to>
    <xdr:grpSp>
      <xdr:nvGrpSpPr>
        <xdr:cNvPr id="45" name="Groupe 44">
          <a:extLst>
            <a:ext uri="{FF2B5EF4-FFF2-40B4-BE49-F238E27FC236}">
              <a16:creationId xmlns:a16="http://schemas.microsoft.com/office/drawing/2014/main" id="{4CF784B8-7E6D-0DAE-50ED-7C67489301B9}"/>
            </a:ext>
          </a:extLst>
        </xdr:cNvPr>
        <xdr:cNvGrpSpPr/>
      </xdr:nvGrpSpPr>
      <xdr:grpSpPr>
        <a:xfrm>
          <a:off x="755650" y="488950"/>
          <a:ext cx="10407650" cy="469900"/>
          <a:chOff x="450850" y="508000"/>
          <a:chExt cx="10407650" cy="469900"/>
        </a:xfrm>
      </xdr:grpSpPr>
      <xdr:grpSp>
        <xdr:nvGrpSpPr>
          <xdr:cNvPr id="20" name="Groupe 19">
            <a:extLst>
              <a:ext uri="{FF2B5EF4-FFF2-40B4-BE49-F238E27FC236}">
                <a16:creationId xmlns:a16="http://schemas.microsoft.com/office/drawing/2014/main" id="{D7DD279D-17D4-83C4-9331-B83F9A603B06}"/>
              </a:ext>
            </a:extLst>
          </xdr:cNvPr>
          <xdr:cNvGrpSpPr/>
        </xdr:nvGrpSpPr>
        <xdr:grpSpPr>
          <a:xfrm>
            <a:off x="450850" y="508000"/>
            <a:ext cx="1244600" cy="469900"/>
            <a:chOff x="450850" y="514350"/>
            <a:chExt cx="1244600" cy="469900"/>
          </a:xfrm>
        </xdr:grpSpPr>
        <xdr:sp macro="" textlink="#REF!">
          <xdr:nvSpPr>
            <xdr:cNvPr id="4" name="Rectangle : coins arrondis 3">
              <a:extLst>
                <a:ext uri="{FF2B5EF4-FFF2-40B4-BE49-F238E27FC236}">
                  <a16:creationId xmlns:a16="http://schemas.microsoft.com/office/drawing/2014/main" id="{8A0661A9-F320-4F8F-3569-2AE2CD3C5C91}"/>
                </a:ext>
              </a:extLst>
            </xdr:cNvPr>
            <xdr:cNvSpPr/>
          </xdr:nvSpPr>
          <xdr:spPr>
            <a:xfrm>
              <a:off x="450850" y="514350"/>
              <a:ext cx="1244600" cy="469900"/>
            </a:xfrm>
            <a:prstGeom prst="roundRect">
              <a:avLst/>
            </a:prstGeom>
            <a:solidFill>
              <a:schemeClr val="bg1"/>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57502501-ACA3-4053-9D68-B2349A5F78E4}" type="TxLink">
                <a:rPr lang="en-US" sz="1400" b="1" i="0" u="none" strike="noStrike">
                  <a:solidFill>
                    <a:srgbClr val="C00000"/>
                  </a:solidFill>
                  <a:latin typeface="Gill Sans MT" panose="020B0502020104020203" pitchFamily="34" charset="0"/>
                  <a:cs typeface="Calibri"/>
                </a:rPr>
                <a:pPr algn="ctr"/>
                <a:t>#REF!</a:t>
              </a:fld>
              <a:endParaRPr lang="fr-SN" sz="1050">
                <a:solidFill>
                  <a:srgbClr val="C00000"/>
                </a:solidFill>
                <a:latin typeface="Gill Sans MT" panose="020B0502020104020203" pitchFamily="34" charset="0"/>
              </a:endParaRPr>
            </a:p>
          </xdr:txBody>
        </xdr:sp>
        <xdr:sp macro="" textlink="">
          <xdr:nvSpPr>
            <xdr:cNvPr id="19" name="ZoneTexte 18">
              <a:extLst>
                <a:ext uri="{FF2B5EF4-FFF2-40B4-BE49-F238E27FC236}">
                  <a16:creationId xmlns:a16="http://schemas.microsoft.com/office/drawing/2014/main" id="{E85D0AA5-F1DE-AA56-E3D4-31302345D6DB}"/>
                </a:ext>
              </a:extLst>
            </xdr:cNvPr>
            <xdr:cNvSpPr txBox="1"/>
          </xdr:nvSpPr>
          <xdr:spPr>
            <a:xfrm>
              <a:off x="565150" y="812800"/>
              <a:ext cx="1009650" cy="1270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fr-SN" sz="500" b="1">
                  <a:latin typeface="Gill Sans MT" panose="020B0502020104020203" pitchFamily="34" charset="0"/>
                </a:rPr>
                <a:t>RISQUE DE FRAUDE</a:t>
              </a:r>
            </a:p>
          </xdr:txBody>
        </xdr:sp>
      </xdr:grpSp>
      <xdr:grpSp>
        <xdr:nvGrpSpPr>
          <xdr:cNvPr id="21" name="Groupe 20">
            <a:extLst>
              <a:ext uri="{FF2B5EF4-FFF2-40B4-BE49-F238E27FC236}">
                <a16:creationId xmlns:a16="http://schemas.microsoft.com/office/drawing/2014/main" id="{E3ED8B48-FB26-40E6-8B19-11CFCF715323}"/>
              </a:ext>
            </a:extLst>
          </xdr:cNvPr>
          <xdr:cNvGrpSpPr/>
        </xdr:nvGrpSpPr>
        <xdr:grpSpPr>
          <a:xfrm>
            <a:off x="1759857" y="508000"/>
            <a:ext cx="1244600" cy="469900"/>
            <a:chOff x="450850" y="514350"/>
            <a:chExt cx="1244600" cy="469900"/>
          </a:xfrm>
        </xdr:grpSpPr>
        <xdr:sp macro="" textlink="#REF!">
          <xdr:nvSpPr>
            <xdr:cNvPr id="22" name="Rectangle : coins arrondis 21">
              <a:extLst>
                <a:ext uri="{FF2B5EF4-FFF2-40B4-BE49-F238E27FC236}">
                  <a16:creationId xmlns:a16="http://schemas.microsoft.com/office/drawing/2014/main" id="{89474DF1-5C65-7E28-8CEE-7BF7A3257320}"/>
                </a:ext>
              </a:extLst>
            </xdr:cNvPr>
            <xdr:cNvSpPr/>
          </xdr:nvSpPr>
          <xdr:spPr>
            <a:xfrm>
              <a:off x="450850" y="514350"/>
              <a:ext cx="1244600" cy="469900"/>
            </a:xfrm>
            <a:prstGeom prst="roundRect">
              <a:avLst/>
            </a:prstGeom>
            <a:solidFill>
              <a:schemeClr val="bg1"/>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6574E1FA-10D4-4B39-9432-E54AE44B9CAE}" type="TxLink">
                <a:rPr lang="en-US" sz="1600" b="1" i="0" u="none" strike="noStrike">
                  <a:solidFill>
                    <a:srgbClr val="C00000"/>
                  </a:solidFill>
                  <a:latin typeface="Gill Sans MT" panose="020B0502020104020203" pitchFamily="34" charset="0"/>
                  <a:cs typeface="Calibri"/>
                </a:rPr>
                <a:pPr algn="ctr"/>
                <a:t>#REF!</a:t>
              </a:fld>
              <a:endParaRPr lang="fr-SN" sz="1050">
                <a:solidFill>
                  <a:srgbClr val="C00000"/>
                </a:solidFill>
                <a:latin typeface="Gill Sans MT" panose="020B0502020104020203" pitchFamily="34" charset="0"/>
              </a:endParaRPr>
            </a:p>
          </xdr:txBody>
        </xdr:sp>
        <xdr:sp macro="" textlink="">
          <xdr:nvSpPr>
            <xdr:cNvPr id="23" name="ZoneTexte 22">
              <a:extLst>
                <a:ext uri="{FF2B5EF4-FFF2-40B4-BE49-F238E27FC236}">
                  <a16:creationId xmlns:a16="http://schemas.microsoft.com/office/drawing/2014/main" id="{B7E1DDB0-CB1E-DF95-3FF2-42D21EB5E80D}"/>
                </a:ext>
              </a:extLst>
            </xdr:cNvPr>
            <xdr:cNvSpPr txBox="1"/>
          </xdr:nvSpPr>
          <xdr:spPr>
            <a:xfrm>
              <a:off x="565150" y="812800"/>
              <a:ext cx="1009650" cy="1270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fr-SN" sz="500" b="1">
                  <a:latin typeface="Gill Sans MT" panose="020B0502020104020203" pitchFamily="34" charset="0"/>
                </a:rPr>
                <a:t>RISQUE OPERATIONNEL</a:t>
              </a:r>
            </a:p>
          </xdr:txBody>
        </xdr:sp>
      </xdr:grpSp>
      <xdr:grpSp>
        <xdr:nvGrpSpPr>
          <xdr:cNvPr id="24" name="Groupe 23">
            <a:extLst>
              <a:ext uri="{FF2B5EF4-FFF2-40B4-BE49-F238E27FC236}">
                <a16:creationId xmlns:a16="http://schemas.microsoft.com/office/drawing/2014/main" id="{8F854F1D-655A-4680-A953-577797D7F89A}"/>
              </a:ext>
            </a:extLst>
          </xdr:cNvPr>
          <xdr:cNvGrpSpPr/>
        </xdr:nvGrpSpPr>
        <xdr:grpSpPr>
          <a:xfrm>
            <a:off x="3068864" y="508000"/>
            <a:ext cx="1244600" cy="469900"/>
            <a:chOff x="450850" y="514350"/>
            <a:chExt cx="1244600" cy="469900"/>
          </a:xfrm>
        </xdr:grpSpPr>
        <xdr:sp macro="" textlink="#REF!">
          <xdr:nvSpPr>
            <xdr:cNvPr id="25" name="Rectangle : coins arrondis 24">
              <a:extLst>
                <a:ext uri="{FF2B5EF4-FFF2-40B4-BE49-F238E27FC236}">
                  <a16:creationId xmlns:a16="http://schemas.microsoft.com/office/drawing/2014/main" id="{2F44EB33-10C8-80D1-DAA5-0D97C0381E73}"/>
                </a:ext>
              </a:extLst>
            </xdr:cNvPr>
            <xdr:cNvSpPr/>
          </xdr:nvSpPr>
          <xdr:spPr>
            <a:xfrm>
              <a:off x="450850" y="514350"/>
              <a:ext cx="1244600" cy="469900"/>
            </a:xfrm>
            <a:prstGeom prst="roundRect">
              <a:avLst/>
            </a:prstGeom>
            <a:solidFill>
              <a:schemeClr val="bg1"/>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80A234DE-4C7A-4B15-8177-7F365C2B8BF5}" type="TxLink">
                <a:rPr lang="en-US" sz="1600" b="1" i="0" u="none" strike="noStrike">
                  <a:solidFill>
                    <a:srgbClr val="C00000"/>
                  </a:solidFill>
                  <a:latin typeface="Gill Sans MT" panose="020B0502020104020203" pitchFamily="34" charset="0"/>
                  <a:cs typeface="Calibri"/>
                </a:rPr>
                <a:pPr algn="ctr"/>
                <a:t>#REF!</a:t>
              </a:fld>
              <a:endParaRPr lang="fr-SN" sz="1050">
                <a:solidFill>
                  <a:srgbClr val="C00000"/>
                </a:solidFill>
                <a:latin typeface="Gill Sans MT" panose="020B0502020104020203" pitchFamily="34" charset="0"/>
              </a:endParaRPr>
            </a:p>
          </xdr:txBody>
        </xdr:sp>
        <xdr:sp macro="" textlink="">
          <xdr:nvSpPr>
            <xdr:cNvPr id="26" name="ZoneTexte 25">
              <a:extLst>
                <a:ext uri="{FF2B5EF4-FFF2-40B4-BE49-F238E27FC236}">
                  <a16:creationId xmlns:a16="http://schemas.microsoft.com/office/drawing/2014/main" id="{1C820BA5-78AF-9303-77E1-38DFA1D9DC1E}"/>
                </a:ext>
              </a:extLst>
            </xdr:cNvPr>
            <xdr:cNvSpPr txBox="1"/>
          </xdr:nvSpPr>
          <xdr:spPr>
            <a:xfrm>
              <a:off x="565150" y="812800"/>
              <a:ext cx="1009650" cy="1270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fr-SN" sz="500" b="1">
                  <a:latin typeface="Gill Sans MT" panose="020B0502020104020203" pitchFamily="34" charset="0"/>
                </a:rPr>
                <a:t>RISQUE STRATEGIQUE</a:t>
              </a:r>
            </a:p>
          </xdr:txBody>
        </xdr:sp>
      </xdr:grpSp>
      <xdr:grpSp>
        <xdr:nvGrpSpPr>
          <xdr:cNvPr id="30" name="Groupe 29">
            <a:extLst>
              <a:ext uri="{FF2B5EF4-FFF2-40B4-BE49-F238E27FC236}">
                <a16:creationId xmlns:a16="http://schemas.microsoft.com/office/drawing/2014/main" id="{7046F86B-49D0-4BF8-A208-73F9DBDA5E8C}"/>
              </a:ext>
            </a:extLst>
          </xdr:cNvPr>
          <xdr:cNvGrpSpPr/>
        </xdr:nvGrpSpPr>
        <xdr:grpSpPr>
          <a:xfrm>
            <a:off x="4377871" y="508000"/>
            <a:ext cx="1244600" cy="469900"/>
            <a:chOff x="450850" y="514350"/>
            <a:chExt cx="1244600" cy="469900"/>
          </a:xfrm>
        </xdr:grpSpPr>
        <xdr:sp macro="" textlink="#REF!">
          <xdr:nvSpPr>
            <xdr:cNvPr id="31" name="Rectangle : coins arrondis 30">
              <a:extLst>
                <a:ext uri="{FF2B5EF4-FFF2-40B4-BE49-F238E27FC236}">
                  <a16:creationId xmlns:a16="http://schemas.microsoft.com/office/drawing/2014/main" id="{1A9AAE04-2141-0558-703E-A76BF14F0489}"/>
                </a:ext>
              </a:extLst>
            </xdr:cNvPr>
            <xdr:cNvSpPr/>
          </xdr:nvSpPr>
          <xdr:spPr>
            <a:xfrm>
              <a:off x="450850" y="514350"/>
              <a:ext cx="1244600" cy="469900"/>
            </a:xfrm>
            <a:prstGeom prst="roundRect">
              <a:avLst/>
            </a:prstGeom>
            <a:solidFill>
              <a:schemeClr val="bg1"/>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A91435EC-28D4-4D7C-BE2B-8DBBDAEE9EEC}" type="TxLink">
                <a:rPr lang="en-US" sz="1600" b="1" i="0" u="none" strike="noStrike">
                  <a:solidFill>
                    <a:srgbClr val="C00000"/>
                  </a:solidFill>
                  <a:latin typeface="Gill Sans MT" panose="020B0502020104020203" pitchFamily="34" charset="0"/>
                  <a:cs typeface="Calibri"/>
                </a:rPr>
                <a:pPr algn="ctr"/>
                <a:t>#REF!</a:t>
              </a:fld>
              <a:endParaRPr lang="fr-SN" sz="1050">
                <a:solidFill>
                  <a:srgbClr val="C00000"/>
                </a:solidFill>
                <a:latin typeface="Gill Sans MT" panose="020B0502020104020203" pitchFamily="34" charset="0"/>
              </a:endParaRPr>
            </a:p>
          </xdr:txBody>
        </xdr:sp>
        <xdr:sp macro="" textlink="">
          <xdr:nvSpPr>
            <xdr:cNvPr id="32" name="ZoneTexte 31">
              <a:extLst>
                <a:ext uri="{FF2B5EF4-FFF2-40B4-BE49-F238E27FC236}">
                  <a16:creationId xmlns:a16="http://schemas.microsoft.com/office/drawing/2014/main" id="{62E497C3-219D-519A-4CD9-D1558D5ECEF5}"/>
                </a:ext>
              </a:extLst>
            </xdr:cNvPr>
            <xdr:cNvSpPr txBox="1"/>
          </xdr:nvSpPr>
          <xdr:spPr>
            <a:xfrm>
              <a:off x="565150" y="812800"/>
              <a:ext cx="1009650" cy="1270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fr-SN" sz="500" b="1">
                  <a:latin typeface="Gill Sans MT" panose="020B0502020104020203" pitchFamily="34" charset="0"/>
                </a:rPr>
                <a:t>RISQUE CREDIT</a:t>
              </a:r>
            </a:p>
          </xdr:txBody>
        </xdr:sp>
      </xdr:grpSp>
      <xdr:grpSp>
        <xdr:nvGrpSpPr>
          <xdr:cNvPr id="33" name="Groupe 32">
            <a:extLst>
              <a:ext uri="{FF2B5EF4-FFF2-40B4-BE49-F238E27FC236}">
                <a16:creationId xmlns:a16="http://schemas.microsoft.com/office/drawing/2014/main" id="{DAA983D6-BAF1-4E16-A182-B219575D5CF5}"/>
              </a:ext>
            </a:extLst>
          </xdr:cNvPr>
          <xdr:cNvGrpSpPr/>
        </xdr:nvGrpSpPr>
        <xdr:grpSpPr>
          <a:xfrm>
            <a:off x="5686878" y="508000"/>
            <a:ext cx="1244600" cy="469900"/>
            <a:chOff x="450850" y="514350"/>
            <a:chExt cx="1244600" cy="469900"/>
          </a:xfrm>
        </xdr:grpSpPr>
        <xdr:sp macro="" textlink="#REF!">
          <xdr:nvSpPr>
            <xdr:cNvPr id="34" name="Rectangle : coins arrondis 33">
              <a:extLst>
                <a:ext uri="{FF2B5EF4-FFF2-40B4-BE49-F238E27FC236}">
                  <a16:creationId xmlns:a16="http://schemas.microsoft.com/office/drawing/2014/main" id="{82C4447B-CFE7-4EB9-1F0B-EE60B91DE87C}"/>
                </a:ext>
              </a:extLst>
            </xdr:cNvPr>
            <xdr:cNvSpPr/>
          </xdr:nvSpPr>
          <xdr:spPr>
            <a:xfrm>
              <a:off x="450850" y="514350"/>
              <a:ext cx="1244600" cy="469900"/>
            </a:xfrm>
            <a:prstGeom prst="roundRect">
              <a:avLst/>
            </a:prstGeom>
            <a:solidFill>
              <a:schemeClr val="bg1"/>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FF4D44C7-8F87-4C2F-89EE-2C8C58CBC8AA}" type="TxLink">
                <a:rPr lang="en-US" sz="1600" b="1" i="0" u="none" strike="noStrike">
                  <a:solidFill>
                    <a:srgbClr val="C00000"/>
                  </a:solidFill>
                  <a:latin typeface="Gill Sans MT" panose="020B0502020104020203" pitchFamily="34" charset="0"/>
                  <a:cs typeface="Calibri"/>
                </a:rPr>
                <a:pPr algn="ctr"/>
                <a:t>#REF!</a:t>
              </a:fld>
              <a:endParaRPr lang="fr-SN" sz="1050">
                <a:solidFill>
                  <a:srgbClr val="C00000"/>
                </a:solidFill>
                <a:latin typeface="Gill Sans MT" panose="020B0502020104020203" pitchFamily="34" charset="0"/>
              </a:endParaRPr>
            </a:p>
          </xdr:txBody>
        </xdr:sp>
        <xdr:sp macro="" textlink="">
          <xdr:nvSpPr>
            <xdr:cNvPr id="35" name="ZoneTexte 34">
              <a:extLst>
                <a:ext uri="{FF2B5EF4-FFF2-40B4-BE49-F238E27FC236}">
                  <a16:creationId xmlns:a16="http://schemas.microsoft.com/office/drawing/2014/main" id="{591E77E0-A8DD-A074-984A-35B348D4B985}"/>
                </a:ext>
              </a:extLst>
            </xdr:cNvPr>
            <xdr:cNvSpPr txBox="1"/>
          </xdr:nvSpPr>
          <xdr:spPr>
            <a:xfrm>
              <a:off x="574222" y="819150"/>
              <a:ext cx="1064078" cy="1143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fr-SN" sz="500" b="1">
                  <a:latin typeface="Gill Sans MT" panose="020B0502020104020203" pitchFamily="34" charset="0"/>
                </a:rPr>
                <a:t>RISQUE REGLEMENTAIRE</a:t>
              </a:r>
            </a:p>
          </xdr:txBody>
        </xdr:sp>
      </xdr:grpSp>
      <xdr:grpSp>
        <xdr:nvGrpSpPr>
          <xdr:cNvPr id="36" name="Groupe 35">
            <a:extLst>
              <a:ext uri="{FF2B5EF4-FFF2-40B4-BE49-F238E27FC236}">
                <a16:creationId xmlns:a16="http://schemas.microsoft.com/office/drawing/2014/main" id="{2E9F8F6B-3BF2-4668-ADF2-A3916B7401F9}"/>
              </a:ext>
            </a:extLst>
          </xdr:cNvPr>
          <xdr:cNvGrpSpPr/>
        </xdr:nvGrpSpPr>
        <xdr:grpSpPr>
          <a:xfrm>
            <a:off x="6995885" y="508000"/>
            <a:ext cx="1244600" cy="469900"/>
            <a:chOff x="450850" y="514350"/>
            <a:chExt cx="1244600" cy="469900"/>
          </a:xfrm>
        </xdr:grpSpPr>
        <xdr:sp macro="" textlink="#REF!">
          <xdr:nvSpPr>
            <xdr:cNvPr id="37" name="Rectangle : coins arrondis 36">
              <a:extLst>
                <a:ext uri="{FF2B5EF4-FFF2-40B4-BE49-F238E27FC236}">
                  <a16:creationId xmlns:a16="http://schemas.microsoft.com/office/drawing/2014/main" id="{6AC89F10-33F0-A5CE-64D0-8DB28497E886}"/>
                </a:ext>
              </a:extLst>
            </xdr:cNvPr>
            <xdr:cNvSpPr/>
          </xdr:nvSpPr>
          <xdr:spPr>
            <a:xfrm>
              <a:off x="450850" y="514350"/>
              <a:ext cx="1244600" cy="469900"/>
            </a:xfrm>
            <a:prstGeom prst="roundRect">
              <a:avLst/>
            </a:prstGeom>
            <a:solidFill>
              <a:schemeClr val="bg1"/>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411F33DE-40AB-4B68-B5FA-6919A51A9091}" type="TxLink">
                <a:rPr lang="en-US" sz="1600" b="1" i="0" u="none" strike="noStrike">
                  <a:solidFill>
                    <a:srgbClr val="C00000"/>
                  </a:solidFill>
                  <a:latin typeface="Gill Sans MT" panose="020B0502020104020203" pitchFamily="34" charset="0"/>
                  <a:cs typeface="Calibri"/>
                </a:rPr>
                <a:pPr algn="ctr"/>
                <a:t>#REF!</a:t>
              </a:fld>
              <a:endParaRPr lang="fr-SN" sz="1050">
                <a:solidFill>
                  <a:srgbClr val="C00000"/>
                </a:solidFill>
                <a:latin typeface="Gill Sans MT" panose="020B0502020104020203" pitchFamily="34" charset="0"/>
              </a:endParaRPr>
            </a:p>
          </xdr:txBody>
        </xdr:sp>
        <xdr:sp macro="" textlink="">
          <xdr:nvSpPr>
            <xdr:cNvPr id="38" name="ZoneTexte 37">
              <a:extLst>
                <a:ext uri="{FF2B5EF4-FFF2-40B4-BE49-F238E27FC236}">
                  <a16:creationId xmlns:a16="http://schemas.microsoft.com/office/drawing/2014/main" id="{FC5D3119-E61A-D66C-0E8B-32994BB2279E}"/>
                </a:ext>
              </a:extLst>
            </xdr:cNvPr>
            <xdr:cNvSpPr txBox="1"/>
          </xdr:nvSpPr>
          <xdr:spPr>
            <a:xfrm>
              <a:off x="565150" y="812800"/>
              <a:ext cx="1009650" cy="1270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fr-SN" sz="500" b="1">
                  <a:latin typeface="Gill Sans MT" panose="020B0502020104020203" pitchFamily="34" charset="0"/>
                </a:rPr>
                <a:t>RISQUE LIQUIDITE</a:t>
              </a:r>
            </a:p>
          </xdr:txBody>
        </xdr:sp>
      </xdr:grpSp>
      <xdr:grpSp>
        <xdr:nvGrpSpPr>
          <xdr:cNvPr id="39" name="Groupe 38">
            <a:extLst>
              <a:ext uri="{FF2B5EF4-FFF2-40B4-BE49-F238E27FC236}">
                <a16:creationId xmlns:a16="http://schemas.microsoft.com/office/drawing/2014/main" id="{B5F6FF53-168E-4280-A28F-8D6D4716717E}"/>
              </a:ext>
            </a:extLst>
          </xdr:cNvPr>
          <xdr:cNvGrpSpPr/>
        </xdr:nvGrpSpPr>
        <xdr:grpSpPr>
          <a:xfrm>
            <a:off x="8304892" y="508000"/>
            <a:ext cx="1244600" cy="469900"/>
            <a:chOff x="450850" y="514350"/>
            <a:chExt cx="1244600" cy="469900"/>
          </a:xfrm>
        </xdr:grpSpPr>
        <xdr:sp macro="" textlink="#REF!">
          <xdr:nvSpPr>
            <xdr:cNvPr id="40" name="Rectangle : coins arrondis 39">
              <a:extLst>
                <a:ext uri="{FF2B5EF4-FFF2-40B4-BE49-F238E27FC236}">
                  <a16:creationId xmlns:a16="http://schemas.microsoft.com/office/drawing/2014/main" id="{0D1B18B1-E47C-3926-A945-AAD99197C412}"/>
                </a:ext>
              </a:extLst>
            </xdr:cNvPr>
            <xdr:cNvSpPr/>
          </xdr:nvSpPr>
          <xdr:spPr>
            <a:xfrm>
              <a:off x="450850" y="514350"/>
              <a:ext cx="1244600" cy="469900"/>
            </a:xfrm>
            <a:prstGeom prst="roundRect">
              <a:avLst/>
            </a:prstGeom>
            <a:solidFill>
              <a:schemeClr val="bg1"/>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8014164F-8420-4A80-BE0A-92FC10CA37B0}" type="TxLink">
                <a:rPr lang="en-US" sz="1600" b="1" i="0" u="none" strike="noStrike">
                  <a:solidFill>
                    <a:srgbClr val="C00000"/>
                  </a:solidFill>
                  <a:latin typeface="Gill Sans MT" panose="020B0502020104020203" pitchFamily="34" charset="0"/>
                  <a:cs typeface="Calibri"/>
                </a:rPr>
                <a:pPr algn="ctr"/>
                <a:t>#REF!</a:t>
              </a:fld>
              <a:endParaRPr lang="fr-SN" sz="1050">
                <a:solidFill>
                  <a:srgbClr val="C00000"/>
                </a:solidFill>
                <a:latin typeface="Gill Sans MT" panose="020B0502020104020203" pitchFamily="34" charset="0"/>
              </a:endParaRPr>
            </a:p>
          </xdr:txBody>
        </xdr:sp>
        <xdr:sp macro="" textlink="">
          <xdr:nvSpPr>
            <xdr:cNvPr id="41" name="ZoneTexte 40">
              <a:extLst>
                <a:ext uri="{FF2B5EF4-FFF2-40B4-BE49-F238E27FC236}">
                  <a16:creationId xmlns:a16="http://schemas.microsoft.com/office/drawing/2014/main" id="{68BF0D33-1368-46A8-7A7A-6DE52F2032F6}"/>
                </a:ext>
              </a:extLst>
            </xdr:cNvPr>
            <xdr:cNvSpPr txBox="1"/>
          </xdr:nvSpPr>
          <xdr:spPr>
            <a:xfrm>
              <a:off x="565150" y="812800"/>
              <a:ext cx="1009650" cy="1270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fr-SN" sz="500" b="1">
                  <a:latin typeface="Gill Sans MT" panose="020B0502020104020203" pitchFamily="34" charset="0"/>
                </a:rPr>
                <a:t>RISQUE EXOGENE</a:t>
              </a:r>
            </a:p>
          </xdr:txBody>
        </xdr:sp>
      </xdr:grpSp>
      <xdr:grpSp>
        <xdr:nvGrpSpPr>
          <xdr:cNvPr id="42" name="Groupe 41">
            <a:extLst>
              <a:ext uri="{FF2B5EF4-FFF2-40B4-BE49-F238E27FC236}">
                <a16:creationId xmlns:a16="http://schemas.microsoft.com/office/drawing/2014/main" id="{B04F06FC-D216-481A-B3FA-594A3113634E}"/>
              </a:ext>
            </a:extLst>
          </xdr:cNvPr>
          <xdr:cNvGrpSpPr/>
        </xdr:nvGrpSpPr>
        <xdr:grpSpPr>
          <a:xfrm>
            <a:off x="9613900" y="508000"/>
            <a:ext cx="1244600" cy="469900"/>
            <a:chOff x="450850" y="514350"/>
            <a:chExt cx="1244600" cy="469900"/>
          </a:xfrm>
        </xdr:grpSpPr>
        <xdr:sp macro="" textlink="#REF!">
          <xdr:nvSpPr>
            <xdr:cNvPr id="43" name="Rectangle : coins arrondis 42">
              <a:extLst>
                <a:ext uri="{FF2B5EF4-FFF2-40B4-BE49-F238E27FC236}">
                  <a16:creationId xmlns:a16="http://schemas.microsoft.com/office/drawing/2014/main" id="{C13859F9-FF62-34F6-282F-0E20B93DC6A0}"/>
                </a:ext>
              </a:extLst>
            </xdr:cNvPr>
            <xdr:cNvSpPr/>
          </xdr:nvSpPr>
          <xdr:spPr>
            <a:xfrm>
              <a:off x="450850" y="514350"/>
              <a:ext cx="1244600" cy="469900"/>
            </a:xfrm>
            <a:prstGeom prst="roundRect">
              <a:avLst/>
            </a:prstGeom>
            <a:solidFill>
              <a:schemeClr val="bg1"/>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09F8A475-4CEE-4EC9-AF75-9A7732B671E4}" type="TxLink">
                <a:rPr lang="en-US" sz="1800" b="1" i="0" u="none" strike="noStrike">
                  <a:solidFill>
                    <a:srgbClr val="C00000"/>
                  </a:solidFill>
                  <a:latin typeface="Gill Sans MT" panose="020B0502020104020203" pitchFamily="34" charset="0"/>
                  <a:cs typeface="Calibri"/>
                </a:rPr>
                <a:pPr algn="ctr"/>
                <a:t>#REF!</a:t>
              </a:fld>
              <a:endParaRPr lang="fr-SN" sz="1050">
                <a:solidFill>
                  <a:srgbClr val="C00000"/>
                </a:solidFill>
                <a:latin typeface="Gill Sans MT" panose="020B0502020104020203" pitchFamily="34" charset="0"/>
              </a:endParaRPr>
            </a:p>
          </xdr:txBody>
        </xdr:sp>
        <xdr:sp macro="" textlink="">
          <xdr:nvSpPr>
            <xdr:cNvPr id="44" name="ZoneTexte 43">
              <a:extLst>
                <a:ext uri="{FF2B5EF4-FFF2-40B4-BE49-F238E27FC236}">
                  <a16:creationId xmlns:a16="http://schemas.microsoft.com/office/drawing/2014/main" id="{11FBC859-7949-B5EB-1DDA-413477C89582}"/>
                </a:ext>
              </a:extLst>
            </xdr:cNvPr>
            <xdr:cNvSpPr txBox="1"/>
          </xdr:nvSpPr>
          <xdr:spPr>
            <a:xfrm>
              <a:off x="565150" y="812800"/>
              <a:ext cx="1009650" cy="1270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fr-SN" sz="600" b="1">
                  <a:solidFill>
                    <a:schemeClr val="tx1"/>
                  </a:solidFill>
                  <a:latin typeface="Gill Sans MT" panose="020B0502020104020203" pitchFamily="34" charset="0"/>
                </a:rPr>
                <a:t>RISQUE TOTAL</a:t>
              </a:r>
            </a:p>
          </xdr:txBody>
        </xdr:sp>
      </xdr:grpSp>
    </xdr:grpSp>
    <xdr:clientData/>
  </xdr:twoCellAnchor>
  <xdr:twoCellAnchor>
    <xdr:from>
      <xdr:col>3</xdr:col>
      <xdr:colOff>577850</xdr:colOff>
      <xdr:row>6</xdr:row>
      <xdr:rowOff>0</xdr:rowOff>
    </xdr:from>
    <xdr:to>
      <xdr:col>11</xdr:col>
      <xdr:colOff>44450</xdr:colOff>
      <xdr:row>20</xdr:row>
      <xdr:rowOff>120650</xdr:rowOff>
    </xdr:to>
    <xdr:sp macro="" textlink="">
      <xdr:nvSpPr>
        <xdr:cNvPr id="48" name="Rectangle : coins arrondis 47">
          <a:extLst>
            <a:ext uri="{FF2B5EF4-FFF2-40B4-BE49-F238E27FC236}">
              <a16:creationId xmlns:a16="http://schemas.microsoft.com/office/drawing/2014/main" id="{EC61A12E-13C5-443D-88BC-045FED188649}"/>
            </a:ext>
          </a:extLst>
        </xdr:cNvPr>
        <xdr:cNvSpPr/>
      </xdr:nvSpPr>
      <xdr:spPr>
        <a:xfrm>
          <a:off x="2863850" y="1104900"/>
          <a:ext cx="5562600" cy="2698750"/>
        </a:xfrm>
        <a:prstGeom prst="roundRect">
          <a:avLst/>
        </a:prstGeom>
        <a:solidFill>
          <a:schemeClr val="bg1"/>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SN" sz="1100"/>
        </a:p>
      </xdr:txBody>
    </xdr:sp>
    <xdr:clientData/>
  </xdr:twoCellAnchor>
  <xdr:twoCellAnchor editAs="oneCell">
    <xdr:from>
      <xdr:col>13</xdr:col>
      <xdr:colOff>552450</xdr:colOff>
      <xdr:row>0</xdr:row>
      <xdr:rowOff>0</xdr:rowOff>
    </xdr:from>
    <xdr:to>
      <xdr:col>14</xdr:col>
      <xdr:colOff>146050</xdr:colOff>
      <xdr:row>1</xdr:row>
      <xdr:rowOff>170744</xdr:rowOff>
    </xdr:to>
    <xdr:pic>
      <xdr:nvPicPr>
        <xdr:cNvPr id="50" name="Graphique 49" descr="Logement avec un remplissage uni">
          <a:hlinkClick xmlns:r="http://schemas.openxmlformats.org/officeDocument/2006/relationships" r:id="rId1"/>
          <a:extLst>
            <a:ext uri="{FF2B5EF4-FFF2-40B4-BE49-F238E27FC236}">
              <a16:creationId xmlns:a16="http://schemas.microsoft.com/office/drawing/2014/main" id="{5F602FC5-0EEF-4DA5-960D-C5E55BA65166}"/>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10458450" y="0"/>
          <a:ext cx="355600" cy="354894"/>
        </a:xfrm>
        <a:prstGeom prst="rect">
          <a:avLst/>
        </a:prstGeom>
      </xdr:spPr>
    </xdr:pic>
    <xdr:clientData/>
  </xdr:twoCellAnchor>
  <xdr:twoCellAnchor>
    <xdr:from>
      <xdr:col>4</xdr:col>
      <xdr:colOff>38100</xdr:colOff>
      <xdr:row>6</xdr:row>
      <xdr:rowOff>50800</xdr:rowOff>
    </xdr:from>
    <xdr:to>
      <xdr:col>10</xdr:col>
      <xdr:colOff>615950</xdr:colOff>
      <xdr:row>19</xdr:row>
      <xdr:rowOff>177800</xdr:rowOff>
    </xdr:to>
    <xdr:graphicFrame macro="">
      <xdr:nvGraphicFramePr>
        <xdr:cNvPr id="51" name="Graphique 50">
          <a:extLst>
            <a:ext uri="{FF2B5EF4-FFF2-40B4-BE49-F238E27FC236}">
              <a16:creationId xmlns:a16="http://schemas.microsoft.com/office/drawing/2014/main" id="{B48ABD5A-0800-4928-B832-BA0B2160651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19051</xdr:colOff>
      <xdr:row>0</xdr:row>
      <xdr:rowOff>12700</xdr:rowOff>
    </xdr:from>
    <xdr:to>
      <xdr:col>1</xdr:col>
      <xdr:colOff>527051</xdr:colOff>
      <xdr:row>1</xdr:row>
      <xdr:rowOff>182838</xdr:rowOff>
    </xdr:to>
    <xdr:pic>
      <xdr:nvPicPr>
        <xdr:cNvPr id="5" name="Image 4">
          <a:extLst>
            <a:ext uri="{FF2B5EF4-FFF2-40B4-BE49-F238E27FC236}">
              <a16:creationId xmlns:a16="http://schemas.microsoft.com/office/drawing/2014/main" id="{51B09DE8-F552-C609-7483-E1D457936617}"/>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19051" y="12700"/>
          <a:ext cx="1270000" cy="354288"/>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1</xdr:col>
      <xdr:colOff>609600</xdr:colOff>
      <xdr:row>0</xdr:row>
      <xdr:rowOff>57150</xdr:rowOff>
    </xdr:from>
    <xdr:to>
      <xdr:col>14</xdr:col>
      <xdr:colOff>311150</xdr:colOff>
      <xdr:row>1</xdr:row>
      <xdr:rowOff>107950</xdr:rowOff>
    </xdr:to>
    <xdr:sp macro="" textlink="">
      <xdr:nvSpPr>
        <xdr:cNvPr id="3" name="ZoneTexte 2">
          <a:extLst>
            <a:ext uri="{FF2B5EF4-FFF2-40B4-BE49-F238E27FC236}">
              <a16:creationId xmlns:a16="http://schemas.microsoft.com/office/drawing/2014/main" id="{4A10014F-8FE8-4CA0-9719-BB7406E4679F}"/>
            </a:ext>
          </a:extLst>
        </xdr:cNvPr>
        <xdr:cNvSpPr txBox="1"/>
      </xdr:nvSpPr>
      <xdr:spPr>
        <a:xfrm>
          <a:off x="1371600" y="57150"/>
          <a:ext cx="9607550" cy="234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fr-SN" sz="1400" b="1">
              <a:solidFill>
                <a:schemeClr val="bg1"/>
              </a:solidFill>
              <a:latin typeface="Gill Sans MT" panose="020B0502020104020203" pitchFamily="34" charset="0"/>
            </a:rPr>
            <a:t>CARTOGRAPHIE DES RISQUES</a:t>
          </a:r>
          <a:r>
            <a:rPr lang="fr-SN" sz="1400" b="1" baseline="0">
              <a:solidFill>
                <a:schemeClr val="bg1"/>
              </a:solidFill>
              <a:latin typeface="Gill Sans MT" panose="020B0502020104020203" pitchFamily="34" charset="0"/>
            </a:rPr>
            <a:t> - COFINA SENEGAL</a:t>
          </a:r>
          <a:endParaRPr lang="fr-SN" sz="1400" b="1">
            <a:solidFill>
              <a:schemeClr val="bg1"/>
            </a:solidFill>
            <a:latin typeface="Gill Sans MT" panose="020B0502020104020203" pitchFamily="34" charset="0"/>
          </a:endParaRPr>
        </a:p>
      </xdr:txBody>
    </xdr:sp>
    <xdr:clientData/>
  </xdr:twoCellAnchor>
  <xdr:twoCellAnchor editAs="oneCell">
    <xdr:from>
      <xdr:col>0</xdr:col>
      <xdr:colOff>260350</xdr:colOff>
      <xdr:row>2</xdr:row>
      <xdr:rowOff>146050</xdr:rowOff>
    </xdr:from>
    <xdr:to>
      <xdr:col>7</xdr:col>
      <xdr:colOff>309835</xdr:colOff>
      <xdr:row>20</xdr:row>
      <xdr:rowOff>57150</xdr:rowOff>
    </xdr:to>
    <xdr:pic>
      <xdr:nvPicPr>
        <xdr:cNvPr id="7" name="Image 6">
          <a:extLst>
            <a:ext uri="{FF2B5EF4-FFF2-40B4-BE49-F238E27FC236}">
              <a16:creationId xmlns:a16="http://schemas.microsoft.com/office/drawing/2014/main" id="{0356C314-94AD-FB39-FB5F-7511AF2F8A6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60350" y="514350"/>
          <a:ext cx="5383485" cy="3225800"/>
        </a:xfrm>
        <a:prstGeom prst="rect">
          <a:avLst/>
        </a:prstGeom>
      </xdr:spPr>
    </xdr:pic>
    <xdr:clientData/>
  </xdr:twoCellAnchor>
  <xdr:twoCellAnchor>
    <xdr:from>
      <xdr:col>0</xdr:col>
      <xdr:colOff>304800</xdr:colOff>
      <xdr:row>3</xdr:row>
      <xdr:rowOff>95250</xdr:rowOff>
    </xdr:from>
    <xdr:to>
      <xdr:col>2</xdr:col>
      <xdr:colOff>101600</xdr:colOff>
      <xdr:row>15</xdr:row>
      <xdr:rowOff>121132</xdr:rowOff>
    </xdr:to>
    <xdr:grpSp>
      <xdr:nvGrpSpPr>
        <xdr:cNvPr id="28" name="Groupe 27">
          <a:extLst>
            <a:ext uri="{FF2B5EF4-FFF2-40B4-BE49-F238E27FC236}">
              <a16:creationId xmlns:a16="http://schemas.microsoft.com/office/drawing/2014/main" id="{F95702DD-8696-5EFA-BDEB-AF88C9085B6B}"/>
            </a:ext>
          </a:extLst>
        </xdr:cNvPr>
        <xdr:cNvGrpSpPr/>
      </xdr:nvGrpSpPr>
      <xdr:grpSpPr>
        <a:xfrm>
          <a:off x="304800" y="647700"/>
          <a:ext cx="1320800" cy="2235682"/>
          <a:chOff x="6153150" y="469900"/>
          <a:chExt cx="1841500" cy="2806700"/>
        </a:xfrm>
      </xdr:grpSpPr>
      <xdr:sp macro="" textlink="">
        <xdr:nvSpPr>
          <xdr:cNvPr id="8" name="Rectangle : coins arrondis 7">
            <a:hlinkClick xmlns:r="http://schemas.openxmlformats.org/officeDocument/2006/relationships" r:id="rId2"/>
            <a:extLst>
              <a:ext uri="{FF2B5EF4-FFF2-40B4-BE49-F238E27FC236}">
                <a16:creationId xmlns:a16="http://schemas.microsoft.com/office/drawing/2014/main" id="{DB80FD40-8D3D-C2D2-B0C9-460518734FBB}"/>
              </a:ext>
            </a:extLst>
          </xdr:cNvPr>
          <xdr:cNvSpPr/>
        </xdr:nvSpPr>
        <xdr:spPr>
          <a:xfrm>
            <a:off x="6153150" y="469900"/>
            <a:ext cx="1841500" cy="323850"/>
          </a:xfrm>
          <a:prstGeom prst="roundRect">
            <a:avLst/>
          </a:prstGeom>
          <a:solidFill>
            <a:schemeClr val="bg1">
              <a:lumMod val="95000"/>
            </a:schemeClr>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fr-SN" sz="800" b="1">
                <a:solidFill>
                  <a:srgbClr val="C00000"/>
                </a:solidFill>
                <a:latin typeface="Gill Sans MT" panose="020B0502020104020203" pitchFamily="34" charset="0"/>
              </a:rPr>
              <a:t>Définitions &amp; Objectifs</a:t>
            </a:r>
          </a:p>
        </xdr:txBody>
      </xdr:sp>
      <xdr:sp macro="" textlink="">
        <xdr:nvSpPr>
          <xdr:cNvPr id="9" name="Rectangle : coins arrondis 8">
            <a:hlinkClick xmlns:r="http://schemas.openxmlformats.org/officeDocument/2006/relationships" r:id="rId3"/>
            <a:extLst>
              <a:ext uri="{FF2B5EF4-FFF2-40B4-BE49-F238E27FC236}">
                <a16:creationId xmlns:a16="http://schemas.microsoft.com/office/drawing/2014/main" id="{7F1F7D94-F44C-402B-A27E-4141BD1698A9}"/>
              </a:ext>
            </a:extLst>
          </xdr:cNvPr>
          <xdr:cNvSpPr/>
        </xdr:nvSpPr>
        <xdr:spPr>
          <a:xfrm>
            <a:off x="6153150" y="966470"/>
            <a:ext cx="1841500" cy="323850"/>
          </a:xfrm>
          <a:prstGeom prst="roundRect">
            <a:avLst/>
          </a:prstGeom>
          <a:solidFill>
            <a:schemeClr val="bg1">
              <a:lumMod val="95000"/>
            </a:schemeClr>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fr-SN" sz="800" b="1">
                <a:solidFill>
                  <a:srgbClr val="C00000"/>
                </a:solidFill>
                <a:latin typeface="Gill Sans MT" panose="020B0502020104020203" pitchFamily="34" charset="0"/>
              </a:rPr>
              <a:t>Préambule</a:t>
            </a:r>
          </a:p>
        </xdr:txBody>
      </xdr:sp>
      <xdr:sp macro="" textlink="">
        <xdr:nvSpPr>
          <xdr:cNvPr id="10" name="Rectangle : coins arrondis 9">
            <a:hlinkClick xmlns:r="http://schemas.openxmlformats.org/officeDocument/2006/relationships" r:id="rId4"/>
            <a:extLst>
              <a:ext uri="{FF2B5EF4-FFF2-40B4-BE49-F238E27FC236}">
                <a16:creationId xmlns:a16="http://schemas.microsoft.com/office/drawing/2014/main" id="{D2496716-31CA-4A47-ABD4-E29BDB7139B1}"/>
              </a:ext>
            </a:extLst>
          </xdr:cNvPr>
          <xdr:cNvSpPr/>
        </xdr:nvSpPr>
        <xdr:spPr>
          <a:xfrm>
            <a:off x="6153150" y="1463040"/>
            <a:ext cx="1841500" cy="323850"/>
          </a:xfrm>
          <a:prstGeom prst="roundRect">
            <a:avLst/>
          </a:prstGeom>
          <a:solidFill>
            <a:schemeClr val="bg1">
              <a:lumMod val="95000"/>
            </a:schemeClr>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fr-SN" sz="800" b="1">
                <a:solidFill>
                  <a:srgbClr val="C00000"/>
                </a:solidFill>
                <a:latin typeface="Gill Sans MT" panose="020B0502020104020203" pitchFamily="34" charset="0"/>
              </a:rPr>
              <a:t>Principes</a:t>
            </a:r>
          </a:p>
        </xdr:txBody>
      </xdr:sp>
      <xdr:sp macro="" textlink="">
        <xdr:nvSpPr>
          <xdr:cNvPr id="11" name="Rectangle : coins arrondis 10">
            <a:hlinkClick xmlns:r="http://schemas.openxmlformats.org/officeDocument/2006/relationships" r:id="rId5"/>
            <a:extLst>
              <a:ext uri="{FF2B5EF4-FFF2-40B4-BE49-F238E27FC236}">
                <a16:creationId xmlns:a16="http://schemas.microsoft.com/office/drawing/2014/main" id="{26B4AF3E-3C65-4471-9117-328E394CE250}"/>
              </a:ext>
            </a:extLst>
          </xdr:cNvPr>
          <xdr:cNvSpPr/>
        </xdr:nvSpPr>
        <xdr:spPr>
          <a:xfrm>
            <a:off x="6153150" y="1959610"/>
            <a:ext cx="1841500" cy="323850"/>
          </a:xfrm>
          <a:prstGeom prst="roundRect">
            <a:avLst/>
          </a:prstGeom>
          <a:solidFill>
            <a:schemeClr val="bg1">
              <a:lumMod val="95000"/>
            </a:schemeClr>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fr-SN" sz="800" b="1">
                <a:solidFill>
                  <a:srgbClr val="C00000"/>
                </a:solidFill>
                <a:latin typeface="Gill Sans MT" panose="020B0502020104020203" pitchFamily="34" charset="0"/>
              </a:rPr>
              <a:t>Echelle P &amp; G</a:t>
            </a:r>
          </a:p>
        </xdr:txBody>
      </xdr:sp>
      <xdr:sp macro="" textlink="">
        <xdr:nvSpPr>
          <xdr:cNvPr id="12" name="Rectangle : coins arrondis 11">
            <a:hlinkClick xmlns:r="http://schemas.openxmlformats.org/officeDocument/2006/relationships" r:id="rId6"/>
            <a:extLst>
              <a:ext uri="{FF2B5EF4-FFF2-40B4-BE49-F238E27FC236}">
                <a16:creationId xmlns:a16="http://schemas.microsoft.com/office/drawing/2014/main" id="{DEB16D82-994F-41B9-9B90-25B6DA67FF2A}"/>
              </a:ext>
            </a:extLst>
          </xdr:cNvPr>
          <xdr:cNvSpPr/>
        </xdr:nvSpPr>
        <xdr:spPr>
          <a:xfrm>
            <a:off x="6153150" y="2456180"/>
            <a:ext cx="1841500" cy="323850"/>
          </a:xfrm>
          <a:prstGeom prst="roundRect">
            <a:avLst/>
          </a:prstGeom>
          <a:solidFill>
            <a:schemeClr val="bg1">
              <a:lumMod val="95000"/>
            </a:schemeClr>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fr-SN" sz="800" b="1">
                <a:solidFill>
                  <a:srgbClr val="C00000"/>
                </a:solidFill>
                <a:latin typeface="Gill Sans MT" panose="020B0502020104020203" pitchFamily="34" charset="0"/>
              </a:rPr>
              <a:t>Echelle de contrôle</a:t>
            </a:r>
          </a:p>
        </xdr:txBody>
      </xdr:sp>
      <xdr:sp macro="" textlink="">
        <xdr:nvSpPr>
          <xdr:cNvPr id="13" name="Rectangle : coins arrondis 12">
            <a:hlinkClick xmlns:r="http://schemas.openxmlformats.org/officeDocument/2006/relationships" r:id="rId7"/>
            <a:extLst>
              <a:ext uri="{FF2B5EF4-FFF2-40B4-BE49-F238E27FC236}">
                <a16:creationId xmlns:a16="http://schemas.microsoft.com/office/drawing/2014/main" id="{0D243483-B20F-4BED-918F-13141CC18399}"/>
              </a:ext>
            </a:extLst>
          </xdr:cNvPr>
          <xdr:cNvSpPr/>
        </xdr:nvSpPr>
        <xdr:spPr>
          <a:xfrm>
            <a:off x="6153150" y="2952750"/>
            <a:ext cx="1841500" cy="323850"/>
          </a:xfrm>
          <a:prstGeom prst="roundRect">
            <a:avLst/>
          </a:prstGeom>
          <a:solidFill>
            <a:schemeClr val="bg1">
              <a:lumMod val="95000"/>
            </a:schemeClr>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fr-SN" sz="800" b="1">
                <a:solidFill>
                  <a:srgbClr val="C00000"/>
                </a:solidFill>
                <a:latin typeface="Gill Sans MT" panose="020B0502020104020203" pitchFamily="34" charset="0"/>
              </a:rPr>
              <a:t>Matrice des Risques</a:t>
            </a:r>
          </a:p>
        </xdr:txBody>
      </xdr:sp>
    </xdr:grpSp>
    <xdr:clientData/>
  </xdr:twoCellAnchor>
  <xdr:twoCellAnchor>
    <xdr:from>
      <xdr:col>7</xdr:col>
      <xdr:colOff>539750</xdr:colOff>
      <xdr:row>2</xdr:row>
      <xdr:rowOff>114300</xdr:rowOff>
    </xdr:from>
    <xdr:to>
      <xdr:col>10</xdr:col>
      <xdr:colOff>127000</xdr:colOff>
      <xdr:row>20</xdr:row>
      <xdr:rowOff>25400</xdr:rowOff>
    </xdr:to>
    <xdr:grpSp>
      <xdr:nvGrpSpPr>
        <xdr:cNvPr id="30" name="Groupe 29">
          <a:extLst>
            <a:ext uri="{FF2B5EF4-FFF2-40B4-BE49-F238E27FC236}">
              <a16:creationId xmlns:a16="http://schemas.microsoft.com/office/drawing/2014/main" id="{02E6FEA5-6874-BFE5-CE67-87ECC544779C}"/>
            </a:ext>
          </a:extLst>
        </xdr:cNvPr>
        <xdr:cNvGrpSpPr/>
      </xdr:nvGrpSpPr>
      <xdr:grpSpPr>
        <a:xfrm>
          <a:off x="5873750" y="482600"/>
          <a:ext cx="1873250" cy="3225800"/>
          <a:chOff x="8128000" y="463550"/>
          <a:chExt cx="1873250" cy="3225800"/>
        </a:xfrm>
      </xdr:grpSpPr>
      <xdr:sp macro="" textlink="">
        <xdr:nvSpPr>
          <xdr:cNvPr id="14" name="Rectangle : coins arrondis 13">
            <a:hlinkClick xmlns:r="http://schemas.openxmlformats.org/officeDocument/2006/relationships" r:id="rId8"/>
            <a:extLst>
              <a:ext uri="{FF2B5EF4-FFF2-40B4-BE49-F238E27FC236}">
                <a16:creationId xmlns:a16="http://schemas.microsoft.com/office/drawing/2014/main" id="{1AB5950E-D170-41B5-8FEC-4188512D8477}"/>
              </a:ext>
            </a:extLst>
          </xdr:cNvPr>
          <xdr:cNvSpPr/>
        </xdr:nvSpPr>
        <xdr:spPr>
          <a:xfrm>
            <a:off x="8128000" y="463550"/>
            <a:ext cx="1847850" cy="323850"/>
          </a:xfrm>
          <a:prstGeom prst="roundRect">
            <a:avLst/>
          </a:prstGeom>
          <a:solidFill>
            <a:srgbClr val="C00000"/>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fr-SN" sz="1100" b="1">
                <a:solidFill>
                  <a:schemeClr val="bg1"/>
                </a:solidFill>
                <a:latin typeface="Gill Sans MT" panose="020B0502020104020203" pitchFamily="34" charset="0"/>
              </a:rPr>
              <a:t>DASHBOARD</a:t>
            </a:r>
          </a:p>
        </xdr:txBody>
      </xdr:sp>
      <xdr:sp macro="" textlink="">
        <xdr:nvSpPr>
          <xdr:cNvPr id="15" name="Rectangle : coins arrondis 14">
            <a:hlinkClick xmlns:r="http://schemas.openxmlformats.org/officeDocument/2006/relationships" r:id="rId9"/>
            <a:extLst>
              <a:ext uri="{FF2B5EF4-FFF2-40B4-BE49-F238E27FC236}">
                <a16:creationId xmlns:a16="http://schemas.microsoft.com/office/drawing/2014/main" id="{C86591FD-27ED-4E32-9DBB-C466F0584140}"/>
              </a:ext>
            </a:extLst>
          </xdr:cNvPr>
          <xdr:cNvSpPr/>
        </xdr:nvSpPr>
        <xdr:spPr>
          <a:xfrm>
            <a:off x="8159750" y="960120"/>
            <a:ext cx="1841500" cy="323850"/>
          </a:xfrm>
          <a:prstGeom prst="roundRect">
            <a:avLst/>
          </a:prstGeom>
          <a:solidFill>
            <a:schemeClr val="bg1">
              <a:lumMod val="95000"/>
            </a:schemeClr>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fr-SN" sz="700" b="1">
                <a:solidFill>
                  <a:schemeClr val="tx1"/>
                </a:solidFill>
                <a:latin typeface="Gill Sans MT" panose="020B0502020104020203" pitchFamily="34" charset="0"/>
              </a:rPr>
              <a:t>MARKETING PRODUIT</a:t>
            </a:r>
          </a:p>
        </xdr:txBody>
      </xdr:sp>
      <xdr:sp macro="" textlink="">
        <xdr:nvSpPr>
          <xdr:cNvPr id="16" name="Rectangle : coins arrondis 15">
            <a:hlinkClick xmlns:r="http://schemas.openxmlformats.org/officeDocument/2006/relationships" r:id="rId10"/>
            <a:extLst>
              <a:ext uri="{FF2B5EF4-FFF2-40B4-BE49-F238E27FC236}">
                <a16:creationId xmlns:a16="http://schemas.microsoft.com/office/drawing/2014/main" id="{95CCB016-DE52-4EA8-8EC2-7E9E0106AA1A}"/>
              </a:ext>
            </a:extLst>
          </xdr:cNvPr>
          <xdr:cNvSpPr/>
        </xdr:nvSpPr>
        <xdr:spPr>
          <a:xfrm>
            <a:off x="8159750" y="1441196"/>
            <a:ext cx="1841500" cy="323850"/>
          </a:xfrm>
          <a:prstGeom prst="roundRect">
            <a:avLst/>
          </a:prstGeom>
          <a:solidFill>
            <a:schemeClr val="bg1">
              <a:lumMod val="95000"/>
            </a:schemeClr>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fr-SN" sz="700" b="1">
                <a:solidFill>
                  <a:schemeClr val="tx1"/>
                </a:solidFill>
                <a:latin typeface="Gill Sans MT" panose="020B0502020104020203" pitchFamily="34" charset="0"/>
              </a:rPr>
              <a:t>AGENCES</a:t>
            </a:r>
          </a:p>
        </xdr:txBody>
      </xdr:sp>
      <xdr:sp macro="" textlink="">
        <xdr:nvSpPr>
          <xdr:cNvPr id="17" name="Rectangle : coins arrondis 16">
            <a:hlinkClick xmlns:r="http://schemas.openxmlformats.org/officeDocument/2006/relationships" r:id="rId11"/>
            <a:extLst>
              <a:ext uri="{FF2B5EF4-FFF2-40B4-BE49-F238E27FC236}">
                <a16:creationId xmlns:a16="http://schemas.microsoft.com/office/drawing/2014/main" id="{2A3FCA11-00E3-4307-AB09-FC392FDB6A86}"/>
              </a:ext>
            </a:extLst>
          </xdr:cNvPr>
          <xdr:cNvSpPr/>
        </xdr:nvSpPr>
        <xdr:spPr>
          <a:xfrm>
            <a:off x="8159750" y="1922272"/>
            <a:ext cx="1841500" cy="323850"/>
          </a:xfrm>
          <a:prstGeom prst="roundRect">
            <a:avLst/>
          </a:prstGeom>
          <a:solidFill>
            <a:schemeClr val="bg1">
              <a:lumMod val="95000"/>
            </a:schemeClr>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fr-SN" sz="700" b="1">
                <a:solidFill>
                  <a:schemeClr val="tx1"/>
                </a:solidFill>
                <a:latin typeface="Gill Sans MT" panose="020B0502020104020203" pitchFamily="34" charset="0"/>
              </a:rPr>
              <a:t>RH</a:t>
            </a:r>
          </a:p>
        </xdr:txBody>
      </xdr:sp>
      <xdr:sp macro="" textlink="">
        <xdr:nvSpPr>
          <xdr:cNvPr id="18" name="Rectangle : coins arrondis 17">
            <a:hlinkClick xmlns:r="http://schemas.openxmlformats.org/officeDocument/2006/relationships" r:id="rId12"/>
            <a:extLst>
              <a:ext uri="{FF2B5EF4-FFF2-40B4-BE49-F238E27FC236}">
                <a16:creationId xmlns:a16="http://schemas.microsoft.com/office/drawing/2014/main" id="{740CB149-A04F-4BD3-9241-157A736CBF26}"/>
              </a:ext>
            </a:extLst>
          </xdr:cNvPr>
          <xdr:cNvSpPr/>
        </xdr:nvSpPr>
        <xdr:spPr>
          <a:xfrm>
            <a:off x="8159750" y="2403348"/>
            <a:ext cx="1841500" cy="323850"/>
          </a:xfrm>
          <a:prstGeom prst="roundRect">
            <a:avLst/>
          </a:prstGeom>
          <a:solidFill>
            <a:schemeClr val="bg1">
              <a:lumMod val="95000"/>
            </a:schemeClr>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fr-SN" sz="700" b="1">
                <a:solidFill>
                  <a:schemeClr val="tx1"/>
                </a:solidFill>
                <a:latin typeface="Gill Sans MT" panose="020B0502020104020203" pitchFamily="34" charset="0"/>
              </a:rPr>
              <a:t>OPERATIONS</a:t>
            </a:r>
          </a:p>
        </xdr:txBody>
      </xdr:sp>
      <xdr:sp macro="" textlink="">
        <xdr:nvSpPr>
          <xdr:cNvPr id="19" name="Rectangle : coins arrondis 18">
            <a:hlinkClick xmlns:r="http://schemas.openxmlformats.org/officeDocument/2006/relationships" r:id="rId13"/>
            <a:extLst>
              <a:ext uri="{FF2B5EF4-FFF2-40B4-BE49-F238E27FC236}">
                <a16:creationId xmlns:a16="http://schemas.microsoft.com/office/drawing/2014/main" id="{EB9651B3-6553-4C10-B2F0-D88316723259}"/>
              </a:ext>
            </a:extLst>
          </xdr:cNvPr>
          <xdr:cNvSpPr/>
        </xdr:nvSpPr>
        <xdr:spPr>
          <a:xfrm>
            <a:off x="8159750" y="2884424"/>
            <a:ext cx="1841500" cy="323850"/>
          </a:xfrm>
          <a:prstGeom prst="roundRect">
            <a:avLst/>
          </a:prstGeom>
          <a:solidFill>
            <a:schemeClr val="bg1">
              <a:lumMod val="95000"/>
            </a:schemeClr>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fr-SN" sz="700" b="1">
                <a:solidFill>
                  <a:schemeClr val="tx1"/>
                </a:solidFill>
                <a:latin typeface="Gill Sans MT" panose="020B0502020104020203" pitchFamily="34" charset="0"/>
              </a:rPr>
              <a:t>CREDIT</a:t>
            </a:r>
          </a:p>
        </xdr:txBody>
      </xdr:sp>
      <xdr:sp macro="" textlink="">
        <xdr:nvSpPr>
          <xdr:cNvPr id="20" name="Rectangle : coins arrondis 19">
            <a:hlinkClick xmlns:r="http://schemas.openxmlformats.org/officeDocument/2006/relationships" r:id="rId14"/>
            <a:extLst>
              <a:ext uri="{FF2B5EF4-FFF2-40B4-BE49-F238E27FC236}">
                <a16:creationId xmlns:a16="http://schemas.microsoft.com/office/drawing/2014/main" id="{F95026F5-29F9-490B-A847-521AE1AD62A0}"/>
              </a:ext>
            </a:extLst>
          </xdr:cNvPr>
          <xdr:cNvSpPr/>
        </xdr:nvSpPr>
        <xdr:spPr>
          <a:xfrm>
            <a:off x="8159750" y="3365500"/>
            <a:ext cx="1841500" cy="323850"/>
          </a:xfrm>
          <a:prstGeom prst="roundRect">
            <a:avLst/>
          </a:prstGeom>
          <a:solidFill>
            <a:schemeClr val="bg1">
              <a:lumMod val="95000"/>
            </a:schemeClr>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fr-SN" sz="700" b="1">
                <a:solidFill>
                  <a:schemeClr val="tx1"/>
                </a:solidFill>
                <a:latin typeface="Gill Sans MT" panose="020B0502020104020203" pitchFamily="34" charset="0"/>
              </a:rPr>
              <a:t>FINANCES &amp; REPORT</a:t>
            </a:r>
          </a:p>
        </xdr:txBody>
      </xdr:sp>
    </xdr:grpSp>
    <xdr:clientData/>
  </xdr:twoCellAnchor>
  <xdr:twoCellAnchor>
    <xdr:from>
      <xdr:col>10</xdr:col>
      <xdr:colOff>273050</xdr:colOff>
      <xdr:row>2</xdr:row>
      <xdr:rowOff>128270</xdr:rowOff>
    </xdr:from>
    <xdr:to>
      <xdr:col>12</xdr:col>
      <xdr:colOff>590550</xdr:colOff>
      <xdr:row>20</xdr:row>
      <xdr:rowOff>7620</xdr:rowOff>
    </xdr:to>
    <xdr:grpSp>
      <xdr:nvGrpSpPr>
        <xdr:cNvPr id="29" name="Groupe 28">
          <a:extLst>
            <a:ext uri="{FF2B5EF4-FFF2-40B4-BE49-F238E27FC236}">
              <a16:creationId xmlns:a16="http://schemas.microsoft.com/office/drawing/2014/main" id="{5786C96A-A565-1844-26D6-165022A9E74A}"/>
            </a:ext>
          </a:extLst>
        </xdr:cNvPr>
        <xdr:cNvGrpSpPr/>
      </xdr:nvGrpSpPr>
      <xdr:grpSpPr>
        <a:xfrm>
          <a:off x="7893050" y="496570"/>
          <a:ext cx="1841500" cy="3194050"/>
          <a:chOff x="10134600" y="483870"/>
          <a:chExt cx="1841500" cy="3194050"/>
        </a:xfrm>
      </xdr:grpSpPr>
      <xdr:sp macro="" textlink="">
        <xdr:nvSpPr>
          <xdr:cNvPr id="21" name="Rectangle : coins arrondis 20">
            <a:hlinkClick xmlns:r="http://schemas.openxmlformats.org/officeDocument/2006/relationships" r:id="rId15"/>
            <a:extLst>
              <a:ext uri="{FF2B5EF4-FFF2-40B4-BE49-F238E27FC236}">
                <a16:creationId xmlns:a16="http://schemas.microsoft.com/office/drawing/2014/main" id="{FAB541D1-D453-472E-8619-08938DFC172C}"/>
              </a:ext>
            </a:extLst>
          </xdr:cNvPr>
          <xdr:cNvSpPr/>
        </xdr:nvSpPr>
        <xdr:spPr>
          <a:xfrm>
            <a:off x="10134600" y="483870"/>
            <a:ext cx="1841500" cy="323850"/>
          </a:xfrm>
          <a:prstGeom prst="roundRect">
            <a:avLst/>
          </a:prstGeom>
          <a:solidFill>
            <a:schemeClr val="bg1">
              <a:lumMod val="95000"/>
            </a:schemeClr>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fr-SN" sz="700" b="1">
                <a:solidFill>
                  <a:schemeClr val="tx1"/>
                </a:solidFill>
                <a:latin typeface="Gill Sans MT" panose="020B0502020104020203" pitchFamily="34" charset="0"/>
              </a:rPr>
              <a:t>IT</a:t>
            </a:r>
          </a:p>
        </xdr:txBody>
      </xdr:sp>
      <xdr:sp macro="" textlink="">
        <xdr:nvSpPr>
          <xdr:cNvPr id="22" name="Rectangle : coins arrondis 21">
            <a:hlinkClick xmlns:r="http://schemas.openxmlformats.org/officeDocument/2006/relationships" r:id="rId16"/>
            <a:extLst>
              <a:ext uri="{FF2B5EF4-FFF2-40B4-BE49-F238E27FC236}">
                <a16:creationId xmlns:a16="http://schemas.microsoft.com/office/drawing/2014/main" id="{C593B899-3EC1-485D-9FCC-87803367A551}"/>
              </a:ext>
            </a:extLst>
          </xdr:cNvPr>
          <xdr:cNvSpPr/>
        </xdr:nvSpPr>
        <xdr:spPr>
          <a:xfrm>
            <a:off x="10134600" y="962237"/>
            <a:ext cx="1841500" cy="323850"/>
          </a:xfrm>
          <a:prstGeom prst="roundRect">
            <a:avLst/>
          </a:prstGeom>
          <a:solidFill>
            <a:schemeClr val="bg1">
              <a:lumMod val="95000"/>
            </a:schemeClr>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fr-SN" sz="700" b="1">
                <a:solidFill>
                  <a:schemeClr val="tx1"/>
                </a:solidFill>
                <a:latin typeface="Gill Sans MT" panose="020B0502020104020203" pitchFamily="34" charset="0"/>
              </a:rPr>
              <a:t>RECOUVREMENT</a:t>
            </a:r>
          </a:p>
        </xdr:txBody>
      </xdr:sp>
      <xdr:sp macro="" textlink="">
        <xdr:nvSpPr>
          <xdr:cNvPr id="23" name="Rectangle : coins arrondis 22">
            <a:hlinkClick xmlns:r="http://schemas.openxmlformats.org/officeDocument/2006/relationships" r:id="rId17"/>
            <a:extLst>
              <a:ext uri="{FF2B5EF4-FFF2-40B4-BE49-F238E27FC236}">
                <a16:creationId xmlns:a16="http://schemas.microsoft.com/office/drawing/2014/main" id="{0559ADE4-DDE9-4C3C-B17E-1E9D0FFE0B07}"/>
              </a:ext>
            </a:extLst>
          </xdr:cNvPr>
          <xdr:cNvSpPr/>
        </xdr:nvSpPr>
        <xdr:spPr>
          <a:xfrm>
            <a:off x="10134600" y="1440604"/>
            <a:ext cx="1841500" cy="323850"/>
          </a:xfrm>
          <a:prstGeom prst="roundRect">
            <a:avLst/>
          </a:prstGeom>
          <a:solidFill>
            <a:schemeClr val="bg1">
              <a:lumMod val="95000"/>
            </a:schemeClr>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fr-SN" sz="700" b="1">
                <a:solidFill>
                  <a:schemeClr val="tx1"/>
                </a:solidFill>
                <a:latin typeface="Gill Sans MT" panose="020B0502020104020203" pitchFamily="34" charset="0"/>
              </a:rPr>
              <a:t>PRODUITS DIGITAUX</a:t>
            </a:r>
          </a:p>
        </xdr:txBody>
      </xdr:sp>
      <xdr:sp macro="" textlink="">
        <xdr:nvSpPr>
          <xdr:cNvPr id="24" name="Rectangle : coins arrondis 23">
            <a:hlinkClick xmlns:r="http://schemas.openxmlformats.org/officeDocument/2006/relationships" r:id="rId18"/>
            <a:extLst>
              <a:ext uri="{FF2B5EF4-FFF2-40B4-BE49-F238E27FC236}">
                <a16:creationId xmlns:a16="http://schemas.microsoft.com/office/drawing/2014/main" id="{3B6DD5AB-B6B9-43C9-AFCB-C1D62F3E006A}"/>
              </a:ext>
            </a:extLst>
          </xdr:cNvPr>
          <xdr:cNvSpPr/>
        </xdr:nvSpPr>
        <xdr:spPr>
          <a:xfrm>
            <a:off x="10134600" y="1918971"/>
            <a:ext cx="1841500" cy="323850"/>
          </a:xfrm>
          <a:prstGeom prst="roundRect">
            <a:avLst/>
          </a:prstGeom>
          <a:solidFill>
            <a:schemeClr val="bg1">
              <a:lumMod val="95000"/>
            </a:schemeClr>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fr-SN" sz="700" b="1">
                <a:solidFill>
                  <a:schemeClr val="tx1"/>
                </a:solidFill>
                <a:latin typeface="Gill Sans MT" panose="020B0502020104020203" pitchFamily="34" charset="0"/>
              </a:rPr>
              <a:t>GOUVERNANCE &amp; CI</a:t>
            </a:r>
          </a:p>
        </xdr:txBody>
      </xdr:sp>
      <xdr:sp macro="" textlink="">
        <xdr:nvSpPr>
          <xdr:cNvPr id="25" name="Rectangle : coins arrondis 24">
            <a:hlinkClick xmlns:r="http://schemas.openxmlformats.org/officeDocument/2006/relationships" r:id="rId19"/>
            <a:extLst>
              <a:ext uri="{FF2B5EF4-FFF2-40B4-BE49-F238E27FC236}">
                <a16:creationId xmlns:a16="http://schemas.microsoft.com/office/drawing/2014/main" id="{A0BA6E1F-8B54-4709-9D6E-D09AF423BDB4}"/>
              </a:ext>
            </a:extLst>
          </xdr:cNvPr>
          <xdr:cNvSpPr/>
        </xdr:nvSpPr>
        <xdr:spPr>
          <a:xfrm>
            <a:off x="10134600" y="2397338"/>
            <a:ext cx="1841500" cy="323850"/>
          </a:xfrm>
          <a:prstGeom prst="roundRect">
            <a:avLst/>
          </a:prstGeom>
          <a:solidFill>
            <a:schemeClr val="bg1">
              <a:lumMod val="95000"/>
            </a:schemeClr>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fr-SN" sz="700" b="1">
                <a:solidFill>
                  <a:schemeClr val="tx1"/>
                </a:solidFill>
                <a:latin typeface="Gill Sans MT" panose="020B0502020104020203" pitchFamily="34" charset="0"/>
              </a:rPr>
              <a:t>JURIDIQUE &amp; CTX</a:t>
            </a:r>
          </a:p>
        </xdr:txBody>
      </xdr:sp>
      <xdr:sp macro="" textlink="">
        <xdr:nvSpPr>
          <xdr:cNvPr id="26" name="Rectangle : coins arrondis 25">
            <a:hlinkClick xmlns:r="http://schemas.openxmlformats.org/officeDocument/2006/relationships" r:id="rId20"/>
            <a:extLst>
              <a:ext uri="{FF2B5EF4-FFF2-40B4-BE49-F238E27FC236}">
                <a16:creationId xmlns:a16="http://schemas.microsoft.com/office/drawing/2014/main" id="{E6A7EC3C-9CA2-4B0E-A6AC-92161BA5F507}"/>
              </a:ext>
            </a:extLst>
          </xdr:cNvPr>
          <xdr:cNvSpPr/>
        </xdr:nvSpPr>
        <xdr:spPr>
          <a:xfrm>
            <a:off x="10134600" y="2875705"/>
            <a:ext cx="1841500" cy="323850"/>
          </a:xfrm>
          <a:prstGeom prst="roundRect">
            <a:avLst/>
          </a:prstGeom>
          <a:solidFill>
            <a:schemeClr val="bg1">
              <a:lumMod val="95000"/>
            </a:schemeClr>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fr-SN" sz="700" b="1">
                <a:solidFill>
                  <a:schemeClr val="tx1"/>
                </a:solidFill>
                <a:latin typeface="Gill Sans MT" panose="020B0502020104020203" pitchFamily="34" charset="0"/>
              </a:rPr>
              <a:t>ACHATS &amp; LOGISTIQUE</a:t>
            </a:r>
          </a:p>
        </xdr:txBody>
      </xdr:sp>
      <xdr:sp macro="" textlink="">
        <xdr:nvSpPr>
          <xdr:cNvPr id="27" name="Rectangle : coins arrondis 26">
            <a:hlinkClick xmlns:r="http://schemas.openxmlformats.org/officeDocument/2006/relationships" r:id="rId21"/>
            <a:extLst>
              <a:ext uri="{FF2B5EF4-FFF2-40B4-BE49-F238E27FC236}">
                <a16:creationId xmlns:a16="http://schemas.microsoft.com/office/drawing/2014/main" id="{59699FBD-776D-4243-847B-BD1805BA184E}"/>
              </a:ext>
            </a:extLst>
          </xdr:cNvPr>
          <xdr:cNvSpPr/>
        </xdr:nvSpPr>
        <xdr:spPr>
          <a:xfrm>
            <a:off x="10134600" y="3354070"/>
            <a:ext cx="1841500" cy="323850"/>
          </a:xfrm>
          <a:prstGeom prst="roundRect">
            <a:avLst/>
          </a:prstGeom>
          <a:solidFill>
            <a:schemeClr val="bg1">
              <a:lumMod val="95000"/>
            </a:schemeClr>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fr-SN" sz="700" b="1">
                <a:solidFill>
                  <a:schemeClr val="tx1"/>
                </a:solidFill>
                <a:latin typeface="Gill Sans MT" panose="020B0502020104020203" pitchFamily="34" charset="0"/>
              </a:rPr>
              <a:t>CONFORMITE</a:t>
            </a:r>
          </a:p>
        </xdr:txBody>
      </xdr:sp>
    </xdr:grpSp>
    <xdr:clientData/>
  </xdr:twoCellAnchor>
  <xdr:twoCellAnchor>
    <xdr:from>
      <xdr:col>0</xdr:col>
      <xdr:colOff>317500</xdr:colOff>
      <xdr:row>16</xdr:row>
      <xdr:rowOff>44450</xdr:rowOff>
    </xdr:from>
    <xdr:to>
      <xdr:col>2</xdr:col>
      <xdr:colOff>114300</xdr:colOff>
      <xdr:row>17</xdr:row>
      <xdr:rowOff>118263</xdr:rowOff>
    </xdr:to>
    <xdr:sp macro="" textlink="">
      <xdr:nvSpPr>
        <xdr:cNvPr id="31" name="Rectangle : coins arrondis 30">
          <a:hlinkClick xmlns:r="http://schemas.openxmlformats.org/officeDocument/2006/relationships" r:id="rId22"/>
          <a:extLst>
            <a:ext uri="{FF2B5EF4-FFF2-40B4-BE49-F238E27FC236}">
              <a16:creationId xmlns:a16="http://schemas.microsoft.com/office/drawing/2014/main" id="{6010B178-639E-45E0-8E2E-FB8C4301365F}"/>
            </a:ext>
          </a:extLst>
        </xdr:cNvPr>
        <xdr:cNvSpPr/>
      </xdr:nvSpPr>
      <xdr:spPr>
        <a:xfrm>
          <a:off x="317500" y="2990850"/>
          <a:ext cx="1320800" cy="257963"/>
        </a:xfrm>
        <a:prstGeom prst="roundRect">
          <a:avLst/>
        </a:prstGeom>
        <a:solidFill>
          <a:schemeClr val="bg1">
            <a:lumMod val="95000"/>
          </a:schemeClr>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fr-SN" sz="800" b="1">
              <a:solidFill>
                <a:srgbClr val="C00000"/>
              </a:solidFill>
              <a:latin typeface="Gill Sans MT" panose="020B0502020104020203" pitchFamily="34" charset="0"/>
            </a:rPr>
            <a:t>Lexique</a:t>
          </a:r>
        </a:p>
      </xdr:txBody>
    </xdr:sp>
    <xdr:clientData/>
  </xdr:twoCellAnchor>
  <xdr:twoCellAnchor>
    <xdr:from>
      <xdr:col>0</xdr:col>
      <xdr:colOff>311150</xdr:colOff>
      <xdr:row>18</xdr:row>
      <xdr:rowOff>50800</xdr:rowOff>
    </xdr:from>
    <xdr:to>
      <xdr:col>2</xdr:col>
      <xdr:colOff>127000</xdr:colOff>
      <xdr:row>19</xdr:row>
      <xdr:rowOff>152400</xdr:rowOff>
    </xdr:to>
    <xdr:sp macro="" textlink="">
      <xdr:nvSpPr>
        <xdr:cNvPr id="4" name="Rectangle : coins arrondis 3">
          <a:hlinkClick xmlns:r="http://schemas.openxmlformats.org/officeDocument/2006/relationships" r:id="rId23"/>
          <a:extLst>
            <a:ext uri="{FF2B5EF4-FFF2-40B4-BE49-F238E27FC236}">
              <a16:creationId xmlns:a16="http://schemas.microsoft.com/office/drawing/2014/main" id="{EF5C5E78-777E-114D-818B-19ACC87EF9FE}"/>
            </a:ext>
          </a:extLst>
        </xdr:cNvPr>
        <xdr:cNvSpPr/>
      </xdr:nvSpPr>
      <xdr:spPr>
        <a:xfrm>
          <a:off x="311150" y="3365500"/>
          <a:ext cx="1339850" cy="285750"/>
        </a:xfrm>
        <a:prstGeom prst="roundRect">
          <a:avLst/>
        </a:prstGeom>
        <a:solidFill>
          <a:schemeClr val="bg1">
            <a:lumMod val="95000"/>
          </a:schemeClr>
        </a:solidFill>
        <a:ln>
          <a:noFill/>
        </a:ln>
        <a:effectLst>
          <a:outerShdw blurRad="57785" dist="33020" dir="3180000" algn="ctr">
            <a:srgbClr val="000000">
              <a:alpha val="30000"/>
            </a:srgbClr>
          </a:outerShdw>
        </a:effectLst>
        <a:scene3d>
          <a:camera prst="orthographicFront">
            <a:rot lat="0" lon="0" rev="0"/>
          </a:camera>
          <a:lightRig rig="brightRoom" dir="t">
            <a:rot lat="0" lon="0" rev="600000"/>
          </a:lightRig>
        </a:scene3d>
        <a:sp3d prstMaterial="metal">
          <a:bevelT w="38100" h="57150" prst="angle"/>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fr-FR" sz="800" b="1">
              <a:solidFill>
                <a:srgbClr val="C00000"/>
              </a:solidFill>
              <a:latin typeface="Gill Sans MT" panose="020B0502020104020203" pitchFamily="34" charset="0"/>
            </a:rPr>
            <a:t>Plus Gros Risques</a:t>
          </a:r>
        </a:p>
      </xdr:txBody>
    </xdr:sp>
    <xdr:clientData/>
  </xdr:twoCellAnchor>
  <xdr:twoCellAnchor>
    <xdr:from>
      <xdr:col>13</xdr:col>
      <xdr:colOff>76200</xdr:colOff>
      <xdr:row>8</xdr:row>
      <xdr:rowOff>88900</xdr:rowOff>
    </xdr:from>
    <xdr:to>
      <xdr:col>15</xdr:col>
      <xdr:colOff>241300</xdr:colOff>
      <xdr:row>14</xdr:row>
      <xdr:rowOff>158750</xdr:rowOff>
    </xdr:to>
    <xdr:sp macro="" textlink="">
      <xdr:nvSpPr>
        <xdr:cNvPr id="5" name="Vague 4">
          <a:hlinkClick xmlns:r="http://schemas.openxmlformats.org/officeDocument/2006/relationships" r:id="rId24"/>
          <a:extLst>
            <a:ext uri="{FF2B5EF4-FFF2-40B4-BE49-F238E27FC236}">
              <a16:creationId xmlns:a16="http://schemas.microsoft.com/office/drawing/2014/main" id="{145BDAAE-D68F-B91C-7D5E-44A4B6F3014A}"/>
            </a:ext>
          </a:extLst>
        </xdr:cNvPr>
        <xdr:cNvSpPr/>
      </xdr:nvSpPr>
      <xdr:spPr>
        <a:xfrm>
          <a:off x="9982200" y="1562100"/>
          <a:ext cx="1689100" cy="1174750"/>
        </a:xfrm>
        <a:prstGeom prst="wave">
          <a:avLst/>
        </a:prstGeom>
        <a:solidFill>
          <a:srgbClr val="00B050"/>
        </a:solidFill>
        <a:ln>
          <a:noFill/>
        </a:ln>
        <a:effectLst>
          <a:glow rad="139700">
            <a:schemeClr val="accent4">
              <a:satMod val="175000"/>
              <a:alpha val="40000"/>
            </a:schemeClr>
          </a:glow>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fr-FR" sz="1200" b="1">
              <a:solidFill>
                <a:schemeClr val="bg1"/>
              </a:solidFill>
              <a:latin typeface="Gill Sans MT" panose="020B0502020104020203" pitchFamily="34" charset="0"/>
            </a:rPr>
            <a:t>CARTOGRAPHIE</a:t>
          </a:r>
        </a:p>
      </xdr:txBody>
    </xdr:sp>
    <xdr:clientData/>
  </xdr:twoCellAnchor>
  <xdr:twoCellAnchor editAs="oneCell">
    <xdr:from>
      <xdr:col>0</xdr:col>
      <xdr:colOff>12701</xdr:colOff>
      <xdr:row>0</xdr:row>
      <xdr:rowOff>12700</xdr:rowOff>
    </xdr:from>
    <xdr:to>
      <xdr:col>1</xdr:col>
      <xdr:colOff>546101</xdr:colOff>
      <xdr:row>1</xdr:row>
      <xdr:rowOff>171450</xdr:rowOff>
    </xdr:to>
    <xdr:pic>
      <xdr:nvPicPr>
        <xdr:cNvPr id="6" name="Image 5">
          <a:extLst>
            <a:ext uri="{FF2B5EF4-FFF2-40B4-BE49-F238E27FC236}">
              <a16:creationId xmlns:a16="http://schemas.microsoft.com/office/drawing/2014/main" id="{A508B159-DB56-1F6B-8B8B-9A910BBE186B}"/>
            </a:ext>
          </a:extLst>
        </xdr:cNvPr>
        <xdr:cNvPicPr>
          <a:picLocks noChangeAspect="1"/>
        </xdr:cNvPicPr>
      </xdr:nvPicPr>
      <xdr:blipFill>
        <a:blip xmlns:r="http://schemas.openxmlformats.org/officeDocument/2006/relationships" r:embed="rId25" cstate="print">
          <a:extLst>
            <a:ext uri="{28A0092B-C50C-407E-A947-70E740481C1C}">
              <a14:useLocalDpi xmlns:a14="http://schemas.microsoft.com/office/drawing/2010/main" val="0"/>
            </a:ext>
          </a:extLst>
        </a:blip>
        <a:stretch>
          <a:fillRect/>
        </a:stretch>
      </xdr:blipFill>
      <xdr:spPr>
        <a:xfrm>
          <a:off x="12701" y="12700"/>
          <a:ext cx="1295400" cy="34290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19050</xdr:colOff>
      <xdr:row>0</xdr:row>
      <xdr:rowOff>9525</xdr:rowOff>
    </xdr:from>
    <xdr:to>
      <xdr:col>14</xdr:col>
      <xdr:colOff>353786</xdr:colOff>
      <xdr:row>60</xdr:row>
      <xdr:rowOff>172357</xdr:rowOff>
    </xdr:to>
    <xdr:sp macro="" textlink="">
      <xdr:nvSpPr>
        <xdr:cNvPr id="2" name="ZoneTexte 1">
          <a:extLst>
            <a:ext uri="{FF2B5EF4-FFF2-40B4-BE49-F238E27FC236}">
              <a16:creationId xmlns:a16="http://schemas.microsoft.com/office/drawing/2014/main" id="{FB4B0732-33DE-423E-B16D-F36D33DCB272}"/>
            </a:ext>
          </a:extLst>
        </xdr:cNvPr>
        <xdr:cNvSpPr txBox="1"/>
      </xdr:nvSpPr>
      <xdr:spPr>
        <a:xfrm>
          <a:off x="19050" y="9525"/>
          <a:ext cx="13987236" cy="1121183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algn="l" rtl="0" eaLnBrk="1" fontAlgn="base" hangingPunct="1"/>
          <a:r>
            <a:rPr kumimoji="1" lang="fr-FR" sz="3200" b="1" u="none" cap="all" baseline="0">
              <a:solidFill>
                <a:schemeClr val="dk1"/>
              </a:solidFill>
              <a:latin typeface="Bradley Hand ITC" pitchFamily="66" charset="0"/>
              <a:ea typeface="+mn-ea"/>
              <a:cs typeface="Arial" pitchFamily="34" charset="0"/>
            </a:rPr>
            <a:t>       </a:t>
          </a:r>
          <a:r>
            <a:rPr kumimoji="1" lang="fr-FR" sz="1800" b="1">
              <a:solidFill>
                <a:srgbClr val="C00000"/>
              </a:solidFill>
              <a:latin typeface="Arial" pitchFamily="34" charset="0"/>
              <a:ea typeface="+mn-ea"/>
              <a:cs typeface="Arial" pitchFamily="34" charset="0"/>
            </a:rPr>
            <a:t>LA CARTOGRAPHIE DES RISQUES</a:t>
          </a:r>
        </a:p>
        <a:p>
          <a:pPr marL="0" marR="0" indent="0" defTabSz="914400" rtl="0" eaLnBrk="1" fontAlgn="base" latinLnBrk="0" hangingPunct="1">
            <a:lnSpc>
              <a:spcPct val="100000"/>
            </a:lnSpc>
            <a:spcBef>
              <a:spcPts val="0"/>
            </a:spcBef>
            <a:spcAft>
              <a:spcPts val="0"/>
            </a:spcAft>
            <a:buClrTx/>
            <a:buSzTx/>
            <a:buFontTx/>
            <a:buNone/>
            <a:tabLst/>
            <a:defRPr/>
          </a:pPr>
          <a:endParaRPr kumimoji="1" lang="fr-FR" sz="1600" b="1">
            <a:solidFill>
              <a:srgbClr val="C00000"/>
            </a:solidFill>
            <a:latin typeface="Arial" pitchFamily="34" charset="0"/>
            <a:ea typeface="+mn-ea"/>
            <a:cs typeface="Arial" pitchFamily="34" charset="0"/>
          </a:endParaRPr>
        </a:p>
        <a:p>
          <a:pPr marL="0" marR="0" indent="0" defTabSz="914400" rtl="0" eaLnBrk="1" fontAlgn="base" latinLnBrk="0" hangingPunct="1">
            <a:lnSpc>
              <a:spcPct val="100000"/>
            </a:lnSpc>
            <a:spcBef>
              <a:spcPts val="0"/>
            </a:spcBef>
            <a:spcAft>
              <a:spcPts val="0"/>
            </a:spcAft>
            <a:buClrTx/>
            <a:buSzTx/>
            <a:buFontTx/>
            <a:buNone/>
            <a:tabLst/>
            <a:defRPr/>
          </a:pPr>
          <a:r>
            <a:rPr kumimoji="1" lang="fr-FR" sz="1600">
              <a:solidFill>
                <a:schemeClr val="dk1"/>
              </a:solidFill>
              <a:latin typeface="Arial" pitchFamily="34" charset="0"/>
              <a:ea typeface="+mn-ea"/>
              <a:cs typeface="Arial" pitchFamily="34" charset="0"/>
            </a:rPr>
            <a:t>Une des principales innovations de l'accord Bâle II par rapport à Bâle I a été non seulement d'exiger l'allocation de fonds propres à la couverture contre les risques opérationnels mais aussi de prôner un dispositif de gestion des risques opérationnels. </a:t>
          </a:r>
        </a:p>
        <a:p>
          <a:pPr marL="0" marR="0" indent="0" defTabSz="914400" rtl="0" eaLnBrk="1" fontAlgn="base" latinLnBrk="0" hangingPunct="1">
            <a:lnSpc>
              <a:spcPct val="100000"/>
            </a:lnSpc>
            <a:spcBef>
              <a:spcPts val="0"/>
            </a:spcBef>
            <a:spcAft>
              <a:spcPts val="0"/>
            </a:spcAft>
            <a:buClrTx/>
            <a:buSzTx/>
            <a:buFontTx/>
            <a:buNone/>
            <a:tabLst/>
            <a:defRPr/>
          </a:pPr>
          <a:endParaRPr kumimoji="1" lang="fr-FR" sz="1600" b="1" i="1">
            <a:solidFill>
              <a:schemeClr val="dk1"/>
            </a:solidFill>
            <a:latin typeface="Arial" pitchFamily="34" charset="0"/>
            <a:ea typeface="+mn-ea"/>
            <a:cs typeface="Arial" pitchFamily="34" charset="0"/>
          </a:endParaRPr>
        </a:p>
        <a:p>
          <a:pPr marL="0" marR="0" indent="0" defTabSz="914400" rtl="0" eaLnBrk="1" fontAlgn="base" latinLnBrk="0" hangingPunct="1">
            <a:lnSpc>
              <a:spcPct val="100000"/>
            </a:lnSpc>
            <a:spcBef>
              <a:spcPts val="0"/>
            </a:spcBef>
            <a:spcAft>
              <a:spcPts val="0"/>
            </a:spcAft>
            <a:buClrTx/>
            <a:buSzTx/>
            <a:buFontTx/>
            <a:buNone/>
            <a:tabLst/>
            <a:defRPr/>
          </a:pPr>
          <a:r>
            <a:rPr kumimoji="1" lang="fr-FR" sz="1600" b="1" i="1">
              <a:solidFill>
                <a:schemeClr val="dk1"/>
              </a:solidFill>
              <a:latin typeface="Arial" pitchFamily="34" charset="0"/>
              <a:ea typeface="+mn-ea"/>
              <a:cs typeface="Arial" pitchFamily="34" charset="0"/>
            </a:rPr>
            <a:t>I -  Définition de la cartographie des risques</a:t>
          </a:r>
        </a:p>
        <a:p>
          <a:pPr marL="0" marR="0" indent="0" defTabSz="914400" rtl="0" eaLnBrk="1" fontAlgn="base" latinLnBrk="0" hangingPunct="1">
            <a:lnSpc>
              <a:spcPct val="100000"/>
            </a:lnSpc>
            <a:spcBef>
              <a:spcPts val="0"/>
            </a:spcBef>
            <a:spcAft>
              <a:spcPts val="0"/>
            </a:spcAft>
            <a:buClrTx/>
            <a:buSzTx/>
            <a:buFontTx/>
            <a:buNone/>
            <a:tabLst/>
            <a:defRPr/>
          </a:pPr>
          <a:r>
            <a:rPr kumimoji="1" lang="fr-FR" sz="1600">
              <a:solidFill>
                <a:schemeClr val="dk1"/>
              </a:solidFill>
              <a:latin typeface="Arial" pitchFamily="34" charset="0"/>
              <a:ea typeface="+mn-ea"/>
              <a:cs typeface="Arial" pitchFamily="34" charset="0"/>
            </a:rPr>
            <a:t>La cartographie des risques permet de recenser les risques majeurs d’une organisation et de les présenter de façon synthétique sous une forme hiérarchisée. Cette hiérarchisation s’appuie sur les critères suivants :</a:t>
          </a:r>
        </a:p>
        <a:p>
          <a:pPr marL="0" marR="0" indent="0" defTabSz="914400" rtl="0" eaLnBrk="1" fontAlgn="base" latinLnBrk="0" hangingPunct="1">
            <a:lnSpc>
              <a:spcPct val="100000"/>
            </a:lnSpc>
            <a:spcBef>
              <a:spcPts val="0"/>
            </a:spcBef>
            <a:spcAft>
              <a:spcPts val="0"/>
            </a:spcAft>
            <a:buClrTx/>
            <a:buSzTx/>
            <a:buFontTx/>
            <a:buNone/>
            <a:tabLst/>
            <a:defRPr/>
          </a:pPr>
          <a:r>
            <a:rPr kumimoji="1" lang="fr-FR" sz="1600">
              <a:solidFill>
                <a:schemeClr val="dk1"/>
              </a:solidFill>
              <a:latin typeface="Arial" pitchFamily="34" charset="0"/>
              <a:ea typeface="+mn-ea"/>
              <a:cs typeface="Arial" pitchFamily="34" charset="0"/>
            </a:rPr>
            <a:t>    - L’impact potentiel</a:t>
          </a:r>
        </a:p>
        <a:p>
          <a:pPr marL="0" marR="0" indent="0" defTabSz="914400" rtl="0" eaLnBrk="1" fontAlgn="base" latinLnBrk="0" hangingPunct="1">
            <a:lnSpc>
              <a:spcPct val="100000"/>
            </a:lnSpc>
            <a:spcBef>
              <a:spcPts val="0"/>
            </a:spcBef>
            <a:spcAft>
              <a:spcPts val="0"/>
            </a:spcAft>
            <a:buClrTx/>
            <a:buSzTx/>
            <a:buFontTx/>
            <a:buNone/>
            <a:tabLst/>
            <a:defRPr/>
          </a:pPr>
          <a:r>
            <a:rPr kumimoji="1" lang="fr-FR" sz="1600">
              <a:solidFill>
                <a:schemeClr val="dk1"/>
              </a:solidFill>
              <a:latin typeface="Arial" pitchFamily="34" charset="0"/>
              <a:ea typeface="+mn-ea"/>
              <a:cs typeface="Arial" pitchFamily="34" charset="0"/>
            </a:rPr>
            <a:t>    - La probabilité de survenance</a:t>
          </a:r>
        </a:p>
        <a:p>
          <a:pPr marL="0" marR="0" indent="0" defTabSz="914400" rtl="0" eaLnBrk="1" fontAlgn="base" latinLnBrk="0" hangingPunct="1">
            <a:lnSpc>
              <a:spcPct val="100000"/>
            </a:lnSpc>
            <a:spcBef>
              <a:spcPts val="0"/>
            </a:spcBef>
            <a:spcAft>
              <a:spcPts val="0"/>
            </a:spcAft>
            <a:buClrTx/>
            <a:buSzTx/>
            <a:buFontTx/>
            <a:buNone/>
            <a:tabLst/>
            <a:defRPr/>
          </a:pPr>
          <a:r>
            <a:rPr kumimoji="1" lang="fr-FR" sz="1600">
              <a:solidFill>
                <a:schemeClr val="dk1"/>
              </a:solidFill>
              <a:latin typeface="Arial" pitchFamily="34" charset="0"/>
              <a:ea typeface="+mn-ea"/>
              <a:cs typeface="Arial" pitchFamily="34" charset="0"/>
            </a:rPr>
            <a:t>    - Le niveau actuel de maitrise de risques</a:t>
          </a:r>
        </a:p>
        <a:p>
          <a:pPr marL="0" marR="0" indent="0" defTabSz="914400" rtl="0" eaLnBrk="1" fontAlgn="base" latinLnBrk="0" hangingPunct="1">
            <a:lnSpc>
              <a:spcPct val="100000"/>
            </a:lnSpc>
            <a:spcBef>
              <a:spcPts val="0"/>
            </a:spcBef>
            <a:spcAft>
              <a:spcPts val="0"/>
            </a:spcAft>
            <a:buClrTx/>
            <a:buSzTx/>
            <a:buFontTx/>
            <a:buNone/>
            <a:tabLst/>
            <a:defRPr/>
          </a:pPr>
          <a:endParaRPr kumimoji="1" lang="fr-FR" sz="1600">
            <a:solidFill>
              <a:schemeClr val="dk1"/>
            </a:solidFill>
            <a:latin typeface="Arial" pitchFamily="34" charset="0"/>
            <a:ea typeface="+mn-ea"/>
            <a:cs typeface="Arial" pitchFamily="34" charset="0"/>
          </a:endParaRPr>
        </a:p>
        <a:p>
          <a:pPr marL="0" marR="0" indent="0" defTabSz="914400" rtl="0" eaLnBrk="1" fontAlgn="base" latinLnBrk="0" hangingPunct="1">
            <a:lnSpc>
              <a:spcPct val="100000"/>
            </a:lnSpc>
            <a:spcBef>
              <a:spcPts val="0"/>
            </a:spcBef>
            <a:spcAft>
              <a:spcPts val="0"/>
            </a:spcAft>
            <a:buClrTx/>
            <a:buSzTx/>
            <a:buFontTx/>
            <a:buNone/>
            <a:tabLst/>
            <a:defRPr/>
          </a:pPr>
          <a:r>
            <a:rPr kumimoji="1" lang="fr-FR" sz="1600" b="1" i="1">
              <a:solidFill>
                <a:schemeClr val="dk1"/>
              </a:solidFill>
              <a:latin typeface="Arial" pitchFamily="34" charset="0"/>
              <a:ea typeface="+mn-ea"/>
              <a:cs typeface="Arial" pitchFamily="34" charset="0"/>
            </a:rPr>
            <a:t>II – Objectifs de la cartographie des risques</a:t>
          </a:r>
        </a:p>
        <a:p>
          <a:pPr marL="0" marR="0" indent="0" defTabSz="914400" rtl="0" eaLnBrk="1" fontAlgn="base" latinLnBrk="0" hangingPunct="1">
            <a:lnSpc>
              <a:spcPct val="100000"/>
            </a:lnSpc>
            <a:spcBef>
              <a:spcPts val="0"/>
            </a:spcBef>
            <a:spcAft>
              <a:spcPts val="0"/>
            </a:spcAft>
            <a:buClrTx/>
            <a:buSzTx/>
            <a:buFontTx/>
            <a:buNone/>
            <a:tabLst/>
            <a:defRPr/>
          </a:pPr>
          <a:r>
            <a:rPr kumimoji="1" lang="fr-FR" sz="1600">
              <a:solidFill>
                <a:schemeClr val="dk1"/>
              </a:solidFill>
              <a:latin typeface="Arial" pitchFamily="34" charset="0"/>
              <a:ea typeface="+mn-ea"/>
              <a:cs typeface="Arial" pitchFamily="34" charset="0"/>
            </a:rPr>
            <a:t>L’établissement d’une cartographie des risques peut être motivé par des objectifs de différentes natures aussi importants les uns que les autres. </a:t>
          </a:r>
        </a:p>
        <a:p>
          <a:pPr marL="0" marR="0" indent="0" defTabSz="914400" rtl="0" eaLnBrk="1" fontAlgn="base" latinLnBrk="0" hangingPunct="1">
            <a:lnSpc>
              <a:spcPct val="100000"/>
            </a:lnSpc>
            <a:spcBef>
              <a:spcPts val="0"/>
            </a:spcBef>
            <a:spcAft>
              <a:spcPts val="0"/>
            </a:spcAft>
            <a:buClrTx/>
            <a:buSzTx/>
            <a:buFontTx/>
            <a:buNone/>
            <a:tabLst/>
            <a:defRPr/>
          </a:pPr>
          <a:endParaRPr kumimoji="1" lang="fr-FR" sz="1600">
            <a:solidFill>
              <a:schemeClr val="dk1"/>
            </a:solidFill>
            <a:latin typeface="Arial" pitchFamily="34" charset="0"/>
            <a:ea typeface="+mn-ea"/>
            <a:cs typeface="Arial" pitchFamily="34" charset="0"/>
          </a:endParaRPr>
        </a:p>
        <a:p>
          <a:pPr marL="0" marR="0" indent="0" defTabSz="914400" rtl="0" eaLnBrk="1" fontAlgn="base" latinLnBrk="0" hangingPunct="1">
            <a:lnSpc>
              <a:spcPct val="100000"/>
            </a:lnSpc>
            <a:spcBef>
              <a:spcPts val="0"/>
            </a:spcBef>
            <a:spcAft>
              <a:spcPts val="0"/>
            </a:spcAft>
            <a:buClrTx/>
            <a:buSzTx/>
            <a:buFontTx/>
            <a:buNone/>
            <a:tabLst/>
            <a:defRPr/>
          </a:pPr>
          <a:r>
            <a:rPr kumimoji="1" lang="fr-FR" sz="1600" b="1" i="1">
              <a:solidFill>
                <a:schemeClr val="dk1"/>
              </a:solidFill>
              <a:latin typeface="Arial" pitchFamily="34" charset="0"/>
              <a:ea typeface="+mn-ea"/>
              <a:cs typeface="Arial" pitchFamily="34" charset="0"/>
            </a:rPr>
            <a:t>Ces objectifs sont les suivants :</a:t>
          </a:r>
        </a:p>
        <a:p>
          <a:pPr marL="0" marR="0" indent="0" defTabSz="914400" rtl="0" eaLnBrk="1" fontAlgn="base" latinLnBrk="0" hangingPunct="1">
            <a:lnSpc>
              <a:spcPct val="100000"/>
            </a:lnSpc>
            <a:spcBef>
              <a:spcPts val="0"/>
            </a:spcBef>
            <a:spcAft>
              <a:spcPts val="0"/>
            </a:spcAft>
            <a:buClrTx/>
            <a:buSzTx/>
            <a:buFontTx/>
            <a:buNone/>
            <a:tabLst/>
            <a:defRPr/>
          </a:pPr>
          <a:r>
            <a:rPr kumimoji="1" lang="fr-FR" sz="1600">
              <a:solidFill>
                <a:schemeClr val="dk1"/>
              </a:solidFill>
              <a:latin typeface="Arial" pitchFamily="34" charset="0"/>
              <a:ea typeface="+mn-ea"/>
              <a:cs typeface="Arial" pitchFamily="34" charset="0"/>
            </a:rPr>
            <a:t>-  Mettre en place un contrôle interne ou un processus de management des risques adéquat ;  </a:t>
          </a:r>
        </a:p>
        <a:p>
          <a:pPr marL="0" marR="0" indent="0" defTabSz="914400" rtl="0" eaLnBrk="1" fontAlgn="base" latinLnBrk="0" hangingPunct="1">
            <a:lnSpc>
              <a:spcPct val="100000"/>
            </a:lnSpc>
            <a:spcBef>
              <a:spcPts val="0"/>
            </a:spcBef>
            <a:spcAft>
              <a:spcPts val="0"/>
            </a:spcAft>
            <a:buClrTx/>
            <a:buSzTx/>
            <a:buFontTx/>
            <a:buNone/>
            <a:tabLst/>
            <a:defRPr/>
          </a:pPr>
          <a:r>
            <a:rPr kumimoji="1" lang="fr-FR" sz="1600">
              <a:solidFill>
                <a:schemeClr val="dk1"/>
              </a:solidFill>
              <a:latin typeface="Arial" pitchFamily="34" charset="0"/>
              <a:ea typeface="+mn-ea"/>
              <a:cs typeface="Arial" pitchFamily="34" charset="0"/>
            </a:rPr>
            <a:t>-  Aider le management dans l’élaboration de son plan stratégique et de sa prise de décision</a:t>
          </a:r>
        </a:p>
        <a:p>
          <a:pPr marL="0" marR="0" indent="0" defTabSz="914400" rtl="0" eaLnBrk="1" fontAlgn="base" latinLnBrk="0" hangingPunct="1">
            <a:lnSpc>
              <a:spcPct val="100000"/>
            </a:lnSpc>
            <a:spcBef>
              <a:spcPts val="0"/>
            </a:spcBef>
            <a:spcAft>
              <a:spcPts val="0"/>
            </a:spcAft>
            <a:buClrTx/>
            <a:buSzTx/>
            <a:buFontTx/>
            <a:buNone/>
            <a:tabLst/>
            <a:defRPr/>
          </a:pPr>
          <a:r>
            <a:rPr kumimoji="1" lang="fr-FR" sz="1600">
              <a:solidFill>
                <a:schemeClr val="dk1"/>
              </a:solidFill>
              <a:latin typeface="Arial" pitchFamily="34" charset="0"/>
              <a:ea typeface="+mn-ea"/>
              <a:cs typeface="Arial" pitchFamily="34" charset="0"/>
            </a:rPr>
            <a:t>-  Orienter le plan d’audit interne en mettant en lumière les processus au niveau desquels se concentrent les risques majeurs ;    </a:t>
          </a:r>
        </a:p>
        <a:p>
          <a:pPr marL="0" marR="0" indent="0" defTabSz="914400" rtl="0" eaLnBrk="1" fontAlgn="base" latinLnBrk="0" hangingPunct="1">
            <a:lnSpc>
              <a:spcPct val="100000"/>
            </a:lnSpc>
            <a:spcBef>
              <a:spcPts val="0"/>
            </a:spcBef>
            <a:spcAft>
              <a:spcPts val="0"/>
            </a:spcAft>
            <a:buClrTx/>
            <a:buSzTx/>
            <a:buFontTx/>
            <a:buNone/>
            <a:tabLst/>
            <a:defRPr/>
          </a:pPr>
          <a:r>
            <a:rPr kumimoji="1" lang="fr-FR" sz="1600">
              <a:solidFill>
                <a:schemeClr val="dk1"/>
              </a:solidFill>
              <a:latin typeface="Arial" pitchFamily="34" charset="0"/>
              <a:ea typeface="+mn-ea"/>
              <a:cs typeface="Arial" pitchFamily="34" charset="0"/>
            </a:rPr>
            <a:t>-  Veiller à la bonne image de l’organisation ;</a:t>
          </a:r>
        </a:p>
        <a:p>
          <a:pPr marL="0" marR="0" indent="0" defTabSz="914400" rtl="0" eaLnBrk="1" fontAlgn="base" latinLnBrk="0" hangingPunct="1">
            <a:lnSpc>
              <a:spcPct val="100000"/>
            </a:lnSpc>
            <a:spcBef>
              <a:spcPts val="0"/>
            </a:spcBef>
            <a:spcAft>
              <a:spcPts val="0"/>
            </a:spcAft>
            <a:buClrTx/>
            <a:buSzTx/>
            <a:buFontTx/>
            <a:buNone/>
            <a:tabLst/>
            <a:defRPr/>
          </a:pPr>
          <a:endParaRPr kumimoji="1" lang="fr-FR" sz="1600">
            <a:solidFill>
              <a:schemeClr val="dk1"/>
            </a:solidFill>
            <a:latin typeface="Arial" pitchFamily="34" charset="0"/>
            <a:ea typeface="+mn-ea"/>
            <a:cs typeface="Arial" pitchFamily="34" charset="0"/>
          </a:endParaRPr>
        </a:p>
        <a:p>
          <a:pPr marL="0" marR="0" indent="0" defTabSz="914400" rtl="0" eaLnBrk="1" fontAlgn="base" latinLnBrk="0" hangingPunct="1">
            <a:lnSpc>
              <a:spcPct val="100000"/>
            </a:lnSpc>
            <a:spcBef>
              <a:spcPts val="0"/>
            </a:spcBef>
            <a:spcAft>
              <a:spcPts val="0"/>
            </a:spcAft>
            <a:buClrTx/>
            <a:buSzTx/>
            <a:buFontTx/>
            <a:buNone/>
            <a:tabLst/>
            <a:defRPr/>
          </a:pPr>
          <a:r>
            <a:rPr kumimoji="1" lang="fr-FR" sz="1600">
              <a:solidFill>
                <a:schemeClr val="dk1"/>
              </a:solidFill>
              <a:latin typeface="Arial" pitchFamily="34" charset="0"/>
              <a:ea typeface="+mn-ea"/>
              <a:cs typeface="Arial" pitchFamily="34" charset="0"/>
            </a:rPr>
            <a:t>La cartographie des risques est un puissant outil de pilotage interne. Ainsi, son élaboration exige une méthodologie minutieuse, ce qui permet une détection systématique des risques majeurs.</a:t>
          </a:r>
        </a:p>
        <a:p>
          <a:pPr marL="0" marR="0" indent="0" defTabSz="914400" rtl="0" eaLnBrk="1" fontAlgn="base" latinLnBrk="0" hangingPunct="1">
            <a:lnSpc>
              <a:spcPct val="100000"/>
            </a:lnSpc>
            <a:spcBef>
              <a:spcPts val="0"/>
            </a:spcBef>
            <a:spcAft>
              <a:spcPts val="0"/>
            </a:spcAft>
            <a:buClrTx/>
            <a:buSzTx/>
            <a:buFontTx/>
            <a:buNone/>
            <a:tabLst/>
            <a:defRPr/>
          </a:pPr>
          <a:endParaRPr kumimoji="1" lang="fr-FR" sz="1600" baseline="0">
            <a:solidFill>
              <a:schemeClr val="dk1"/>
            </a:solidFill>
            <a:latin typeface="Arial" pitchFamily="34" charset="0"/>
            <a:ea typeface="+mn-ea"/>
            <a:cs typeface="Arial" pitchFamily="34" charset="0"/>
          </a:endParaRPr>
        </a:p>
      </xdr:txBody>
    </xdr:sp>
    <xdr:clientData/>
  </xdr:twoCellAnchor>
  <xdr:twoCellAnchor editAs="oneCell">
    <xdr:from>
      <xdr:col>0</xdr:col>
      <xdr:colOff>82552</xdr:colOff>
      <xdr:row>0</xdr:row>
      <xdr:rowOff>82097</xdr:rowOff>
    </xdr:from>
    <xdr:to>
      <xdr:col>1</xdr:col>
      <xdr:colOff>9072</xdr:colOff>
      <xdr:row>3</xdr:row>
      <xdr:rowOff>115723</xdr:rowOff>
    </xdr:to>
    <xdr:pic>
      <xdr:nvPicPr>
        <xdr:cNvPr id="3" name="Image 2" descr="COFINA.png">
          <a:extLst>
            <a:ext uri="{FF2B5EF4-FFF2-40B4-BE49-F238E27FC236}">
              <a16:creationId xmlns:a16="http://schemas.microsoft.com/office/drawing/2014/main" id="{2932E0FB-0E5D-455C-9692-12673482CE0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2552" y="82097"/>
          <a:ext cx="688520" cy="57791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508000</xdr:colOff>
      <xdr:row>0</xdr:row>
      <xdr:rowOff>126999</xdr:rowOff>
    </xdr:from>
    <xdr:to>
      <xdr:col>14</xdr:col>
      <xdr:colOff>101600</xdr:colOff>
      <xdr:row>2</xdr:row>
      <xdr:rowOff>119036</xdr:rowOff>
    </xdr:to>
    <xdr:pic>
      <xdr:nvPicPr>
        <xdr:cNvPr id="4" name="Graphique 3" descr="Logement avec un remplissage uni">
          <a:hlinkClick xmlns:r="http://schemas.openxmlformats.org/officeDocument/2006/relationships" r:id="rId2"/>
          <a:extLst>
            <a:ext uri="{FF2B5EF4-FFF2-40B4-BE49-F238E27FC236}">
              <a16:creationId xmlns:a16="http://schemas.microsoft.com/office/drawing/2014/main" id="{9C493FF8-969A-4C27-87B4-15B348077D56}"/>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13398500" y="126999"/>
          <a:ext cx="355600" cy="354894"/>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0</xdr:col>
      <xdr:colOff>19050</xdr:colOff>
      <xdr:row>0</xdr:row>
      <xdr:rowOff>9525</xdr:rowOff>
    </xdr:from>
    <xdr:to>
      <xdr:col>14</xdr:col>
      <xdr:colOff>353786</xdr:colOff>
      <xdr:row>60</xdr:row>
      <xdr:rowOff>172357</xdr:rowOff>
    </xdr:to>
    <xdr:sp macro="" textlink="">
      <xdr:nvSpPr>
        <xdr:cNvPr id="2" name="ZoneTexte 1">
          <a:extLst>
            <a:ext uri="{FF2B5EF4-FFF2-40B4-BE49-F238E27FC236}">
              <a16:creationId xmlns:a16="http://schemas.microsoft.com/office/drawing/2014/main" id="{E191243A-0E7E-4016-9AC2-BE3BDC85D00B}"/>
            </a:ext>
          </a:extLst>
        </xdr:cNvPr>
        <xdr:cNvSpPr txBox="1"/>
      </xdr:nvSpPr>
      <xdr:spPr>
        <a:xfrm>
          <a:off x="19050" y="9525"/>
          <a:ext cx="13987236" cy="1104854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algn="l" rtl="0" eaLnBrk="1" fontAlgn="base" hangingPunct="1"/>
          <a:r>
            <a:rPr kumimoji="1" lang="fr-FR" sz="2400" b="1" u="none" cap="all" baseline="0">
              <a:solidFill>
                <a:schemeClr val="dk1"/>
              </a:solidFill>
              <a:latin typeface="Bradley Hand ITC" pitchFamily="66" charset="0"/>
              <a:ea typeface="+mn-ea"/>
              <a:cs typeface="Arial" pitchFamily="34" charset="0"/>
            </a:rPr>
            <a:t>                         </a:t>
          </a:r>
        </a:p>
        <a:p>
          <a:pPr algn="ctr" rtl="0" eaLnBrk="1" fontAlgn="base" hangingPunct="1"/>
          <a:r>
            <a:rPr kumimoji="1" lang="fr-FR" sz="2400" b="1" u="sng" cap="all" baseline="0">
              <a:solidFill>
                <a:schemeClr val="dk1"/>
              </a:solidFill>
              <a:latin typeface="Bradley Hand ITC" pitchFamily="66" charset="0"/>
              <a:ea typeface="+mn-ea"/>
              <a:cs typeface="Arial" pitchFamily="34" charset="0"/>
            </a:rPr>
            <a:t>Préambule</a:t>
          </a:r>
        </a:p>
        <a:p>
          <a:pPr rtl="0" eaLnBrk="1" fontAlgn="base" hangingPunct="1"/>
          <a:endParaRPr kumimoji="1" lang="fr-FR" sz="1400">
            <a:solidFill>
              <a:schemeClr val="dk1"/>
            </a:solidFill>
            <a:latin typeface="Arial" pitchFamily="34" charset="0"/>
            <a:ea typeface="+mn-ea"/>
            <a:cs typeface="Arial" pitchFamily="34" charset="0"/>
          </a:endParaRPr>
        </a:p>
        <a:p>
          <a:pPr rtl="0" eaLnBrk="1" fontAlgn="base" hangingPunct="1"/>
          <a:endParaRPr kumimoji="1" lang="fr-FR" sz="1400">
            <a:solidFill>
              <a:schemeClr val="dk1"/>
            </a:solidFill>
            <a:latin typeface="Arial" pitchFamily="34" charset="0"/>
            <a:ea typeface="+mn-ea"/>
            <a:cs typeface="Arial" pitchFamily="34" charset="0"/>
          </a:endParaRPr>
        </a:p>
        <a:p>
          <a:pPr marL="0" marR="0" indent="0" defTabSz="914400" rtl="0" eaLnBrk="1" fontAlgn="base" latinLnBrk="0" hangingPunct="1">
            <a:lnSpc>
              <a:spcPct val="100000"/>
            </a:lnSpc>
            <a:spcBef>
              <a:spcPts val="0"/>
            </a:spcBef>
            <a:spcAft>
              <a:spcPts val="0"/>
            </a:spcAft>
            <a:buClrTx/>
            <a:buSzTx/>
            <a:buFontTx/>
            <a:buNone/>
            <a:tabLst/>
            <a:defRPr/>
          </a:pPr>
          <a:r>
            <a:rPr kumimoji="1" lang="fr-FR" sz="1400">
              <a:solidFill>
                <a:schemeClr val="dk1"/>
              </a:solidFill>
              <a:latin typeface="Arial" pitchFamily="34" charset="0"/>
              <a:ea typeface="+mn-ea"/>
              <a:cs typeface="Arial" pitchFamily="34" charset="0"/>
            </a:rPr>
            <a:t>Le présent travail d'évaluation des risques </a:t>
          </a:r>
          <a:r>
            <a:rPr kumimoji="1" lang="fr-FR" sz="1400" baseline="0">
              <a:solidFill>
                <a:schemeClr val="dk1"/>
              </a:solidFill>
              <a:latin typeface="Arial" pitchFamily="34" charset="0"/>
              <a:ea typeface="+mn-ea"/>
              <a:cs typeface="Arial" pitchFamily="34" charset="0"/>
            </a:rPr>
            <a:t>entre dans le cadre du </a:t>
          </a:r>
          <a:r>
            <a:rPr kumimoji="1" lang="fr-FR" sz="1400" baseline="0">
              <a:solidFill>
                <a:sysClr val="windowText" lastClr="000000"/>
              </a:solidFill>
              <a:latin typeface="Arial" pitchFamily="34" charset="0"/>
              <a:ea typeface="+mn-ea"/>
              <a:cs typeface="Arial" pitchFamily="34" charset="0"/>
            </a:rPr>
            <a:t>projet de </a:t>
          </a:r>
          <a:r>
            <a:rPr kumimoji="1" lang="fr-FR" sz="1400" baseline="0">
              <a:solidFill>
                <a:srgbClr val="FF0000"/>
              </a:solidFill>
              <a:latin typeface="Arial" pitchFamily="34" charset="0"/>
              <a:ea typeface="+mn-ea"/>
              <a:cs typeface="Arial" pitchFamily="34" charset="0"/>
            </a:rPr>
            <a:t>révision de la cartographie exhaustive des risques du groupe COFINA</a:t>
          </a:r>
          <a:r>
            <a:rPr kumimoji="1" lang="fr-FR" sz="1400">
              <a:solidFill>
                <a:srgbClr val="FF0000"/>
              </a:solidFill>
              <a:latin typeface="Arial" pitchFamily="34" charset="0"/>
              <a:ea typeface="+mn-ea"/>
              <a:cs typeface="Arial" pitchFamily="34" charset="0"/>
            </a:rPr>
            <a:t>. </a:t>
          </a:r>
          <a:r>
            <a:rPr kumimoji="1" lang="fr-FR" sz="1400" baseline="0">
              <a:solidFill>
                <a:schemeClr val="dk1"/>
              </a:solidFill>
              <a:latin typeface="Arial" pitchFamily="34" charset="0"/>
              <a:ea typeface="+mn-ea"/>
              <a:cs typeface="Arial" pitchFamily="34" charset="0"/>
            </a:rPr>
            <a:t>Il fait suite aux travaux de mise en adéquation de l'évolution des activités du groupe avec les risques inhérents</a:t>
          </a:r>
        </a:p>
        <a:p>
          <a:pPr rtl="0" eaLnBrk="1" fontAlgn="base" hangingPunct="1"/>
          <a:endParaRPr kumimoji="1" lang="fr-FR" sz="1400" baseline="0">
            <a:solidFill>
              <a:schemeClr val="dk1"/>
            </a:solidFill>
            <a:latin typeface="Arial" pitchFamily="34" charset="0"/>
            <a:ea typeface="+mn-ea"/>
            <a:cs typeface="Arial" pitchFamily="34" charset="0"/>
          </a:endParaRPr>
        </a:p>
        <a:p>
          <a:pPr rtl="0" eaLnBrk="1" fontAlgn="base" hangingPunct="1"/>
          <a:r>
            <a:rPr kumimoji="1" lang="fr-FR" sz="1400" baseline="0">
              <a:solidFill>
                <a:schemeClr val="dk1"/>
              </a:solidFill>
              <a:latin typeface="Arial" pitchFamily="34" charset="0"/>
              <a:ea typeface="+mn-ea"/>
              <a:cs typeface="Arial" pitchFamily="34" charset="0"/>
            </a:rPr>
            <a:t>Il est demandé à présent de procéder à l'évaluation des risques sur l'onglet </a:t>
          </a:r>
          <a:r>
            <a:rPr kumimoji="1" lang="fr-FR" sz="1400" b="1" baseline="0">
              <a:solidFill>
                <a:srgbClr val="0070C0"/>
              </a:solidFill>
              <a:latin typeface="Arial" pitchFamily="34" charset="0"/>
              <a:ea typeface="+mn-ea"/>
              <a:cs typeface="Arial" pitchFamily="34" charset="0"/>
            </a:rPr>
            <a:t>"FICHE D'EVALUATION".</a:t>
          </a:r>
        </a:p>
        <a:p>
          <a:pPr rtl="0" eaLnBrk="1" fontAlgn="base" hangingPunct="1"/>
          <a:endParaRPr kumimoji="1" lang="fr-FR" sz="1400" baseline="0">
            <a:solidFill>
              <a:schemeClr val="dk1"/>
            </a:solidFill>
            <a:latin typeface="Arial" pitchFamily="34" charset="0"/>
            <a:ea typeface="+mn-ea"/>
            <a:cs typeface="Arial" pitchFamily="34" charset="0"/>
          </a:endParaRPr>
        </a:p>
        <a:p>
          <a:pPr rtl="0" eaLnBrk="1" fontAlgn="base" hangingPunct="1"/>
          <a:r>
            <a:rPr kumimoji="1" lang="fr-FR" sz="1400" b="1" i="1" baseline="0">
              <a:solidFill>
                <a:schemeClr val="dk1"/>
              </a:solidFill>
              <a:latin typeface="Arial" pitchFamily="34" charset="0"/>
              <a:ea typeface="+mn-ea"/>
              <a:cs typeface="Arial" pitchFamily="34" charset="0"/>
            </a:rPr>
            <a:t>La démarche d'évaluation des risques se déroule en trois (3) étapes:</a:t>
          </a:r>
        </a:p>
        <a:p>
          <a:pPr rtl="0" eaLnBrk="1" fontAlgn="base" hangingPunct="1"/>
          <a:endParaRPr kumimoji="1" lang="fr-FR" sz="1400" baseline="0">
            <a:solidFill>
              <a:schemeClr val="dk1"/>
            </a:solidFill>
            <a:latin typeface="Arial" pitchFamily="34" charset="0"/>
            <a:ea typeface="+mn-ea"/>
            <a:cs typeface="Arial" pitchFamily="34" charset="0"/>
          </a:endParaRPr>
        </a:p>
        <a:p>
          <a:pPr rtl="0" eaLnBrk="1" fontAlgn="base" hangingPunct="1"/>
          <a:r>
            <a:rPr kumimoji="1" lang="fr-FR" sz="1400" b="1" u="sng" baseline="0">
              <a:solidFill>
                <a:srgbClr val="00B050"/>
              </a:solidFill>
              <a:latin typeface="Arial" pitchFamily="34" charset="0"/>
              <a:ea typeface="+mn-ea"/>
              <a:cs typeface="Arial" pitchFamily="34" charset="0"/>
            </a:rPr>
            <a:t>A réaliser par l'évaluateur (en filiale) sous la coordination du Chef de projet Audit Interne</a:t>
          </a:r>
        </a:p>
        <a:p>
          <a:pPr rtl="0" eaLnBrk="1" fontAlgn="base" hangingPunct="1"/>
          <a:r>
            <a:rPr kumimoji="1" lang="fr-FR" sz="1400" baseline="0">
              <a:solidFill>
                <a:schemeClr val="dk1"/>
              </a:solidFill>
              <a:latin typeface="Arial" pitchFamily="34" charset="0"/>
              <a:ea typeface="+mn-ea"/>
              <a:cs typeface="Arial" pitchFamily="34" charset="0"/>
            </a:rPr>
            <a:t>Etape 1 : Evaluation du risque brut (ou inhérent) : probabilité et gravité (la criticité du risque se calcule </a:t>
          </a:r>
          <a:r>
            <a:rPr kumimoji="1" lang="fr-FR" sz="1400" b="1" u="sng" baseline="0">
              <a:solidFill>
                <a:schemeClr val="dk1"/>
              </a:solidFill>
              <a:latin typeface="Arial" pitchFamily="34" charset="0"/>
              <a:ea typeface="+mn-ea"/>
              <a:cs typeface="Arial" pitchFamily="34" charset="0"/>
            </a:rPr>
            <a:t>automatiquement</a:t>
          </a:r>
          <a:r>
            <a:rPr kumimoji="1" lang="fr-FR" sz="1400" b="0" u="none" baseline="0">
              <a:solidFill>
                <a:schemeClr val="dk1"/>
              </a:solidFill>
              <a:latin typeface="Arial" pitchFamily="34" charset="0"/>
              <a:ea typeface="+mn-ea"/>
              <a:cs typeface="Arial" pitchFamily="34" charset="0"/>
            </a:rPr>
            <a:t>).</a:t>
          </a:r>
          <a:endParaRPr kumimoji="1" lang="fr-FR" sz="1400" baseline="0">
            <a:solidFill>
              <a:schemeClr val="dk1"/>
            </a:solidFill>
            <a:latin typeface="Arial" pitchFamily="34" charset="0"/>
            <a:ea typeface="+mn-ea"/>
            <a:cs typeface="Arial" pitchFamily="34" charset="0"/>
          </a:endParaRPr>
        </a:p>
        <a:p>
          <a:pPr rtl="0" eaLnBrk="1" fontAlgn="base" hangingPunct="1"/>
          <a:r>
            <a:rPr kumimoji="1" lang="fr-FR" sz="1400" baseline="0">
              <a:solidFill>
                <a:schemeClr val="dk1"/>
              </a:solidFill>
              <a:latin typeface="Arial" pitchFamily="34" charset="0"/>
              <a:ea typeface="+mn-ea"/>
              <a:cs typeface="Arial" pitchFamily="34" charset="0"/>
            </a:rPr>
            <a:t>Etape 2 : Evaluation du contrôle (Notation du contrôle) : la maturité du contrôle de se calcule automatiquement</a:t>
          </a:r>
        </a:p>
        <a:p>
          <a:pPr rtl="0" eaLnBrk="1" fontAlgn="base" hangingPunct="1"/>
          <a:r>
            <a:rPr kumimoji="1" lang="fr-FR" sz="1400" baseline="0">
              <a:solidFill>
                <a:schemeClr val="dk1"/>
              </a:solidFill>
              <a:latin typeface="Arial" pitchFamily="34" charset="0"/>
              <a:ea typeface="+mn-ea"/>
              <a:cs typeface="Arial" pitchFamily="34" charset="0"/>
            </a:rPr>
            <a:t>Etape 3 : Détermination du risque résiduel</a:t>
          </a:r>
          <a:endParaRPr kumimoji="1" lang="fr-FR" sz="1400">
            <a:solidFill>
              <a:schemeClr val="dk1"/>
            </a:solidFill>
            <a:latin typeface="Arial" pitchFamily="34" charset="0"/>
            <a:ea typeface="+mn-ea"/>
            <a:cs typeface="Arial" pitchFamily="34" charset="0"/>
          </a:endParaRPr>
        </a:p>
        <a:p>
          <a:pPr rtl="0" eaLnBrk="1" fontAlgn="base" hangingPunct="1"/>
          <a:endParaRPr kumimoji="1" lang="fr-FR" sz="1400">
            <a:solidFill>
              <a:schemeClr val="dk1"/>
            </a:solidFill>
            <a:latin typeface="Arial" pitchFamily="34" charset="0"/>
            <a:ea typeface="+mn-ea"/>
            <a:cs typeface="Arial" pitchFamily="34" charset="0"/>
          </a:endParaRPr>
        </a:p>
        <a:p>
          <a:pPr rtl="0" eaLnBrk="1" fontAlgn="base" hangingPunct="1"/>
          <a:endParaRPr kumimoji="1" lang="fr-FR" sz="1400" baseline="0">
            <a:solidFill>
              <a:schemeClr val="dk1"/>
            </a:solidFill>
            <a:latin typeface="Arial" pitchFamily="34" charset="0"/>
            <a:ea typeface="+mn-ea"/>
            <a:cs typeface="Arial" pitchFamily="34" charset="0"/>
          </a:endParaRPr>
        </a:p>
        <a:p>
          <a:pPr rtl="0" eaLnBrk="1" fontAlgn="base" hangingPunct="1"/>
          <a:r>
            <a:rPr kumimoji="1" lang="fr-FR" sz="1400" b="1" u="none" baseline="0">
              <a:solidFill>
                <a:srgbClr val="C00000"/>
              </a:solidFill>
              <a:latin typeface="Arial" pitchFamily="34" charset="0"/>
              <a:ea typeface="+mn-ea"/>
              <a:cs typeface="Arial" pitchFamily="34" charset="0"/>
            </a:rPr>
            <a:t>      I) </a:t>
          </a:r>
          <a:r>
            <a:rPr kumimoji="1" lang="fr-FR" sz="1400" b="1" u="sng" baseline="0">
              <a:solidFill>
                <a:srgbClr val="C00000"/>
              </a:solidFill>
              <a:latin typeface="Arial" pitchFamily="34" charset="0"/>
              <a:ea typeface="+mn-ea"/>
              <a:cs typeface="Arial" pitchFamily="34" charset="0"/>
            </a:rPr>
            <a:t>Travaux à réaliser par les personnes ressources</a:t>
          </a:r>
        </a:p>
        <a:p>
          <a:pPr rtl="0" eaLnBrk="1" fontAlgn="base" hangingPunct="1"/>
          <a:endParaRPr kumimoji="1" lang="fr-FR" sz="1400" baseline="0">
            <a:solidFill>
              <a:schemeClr val="dk1"/>
            </a:solidFill>
            <a:latin typeface="Arial" pitchFamily="34" charset="0"/>
            <a:ea typeface="+mn-ea"/>
            <a:cs typeface="Arial" pitchFamily="34" charset="0"/>
          </a:endParaRPr>
        </a:p>
        <a:p>
          <a:pPr rtl="0" eaLnBrk="1" fontAlgn="base" hangingPunct="1"/>
          <a:r>
            <a:rPr kumimoji="1" lang="fr-FR" sz="1400" b="1" i="1" u="none" baseline="0">
              <a:solidFill>
                <a:schemeClr val="dk1"/>
              </a:solidFill>
              <a:latin typeface="Arial" pitchFamily="34" charset="0"/>
              <a:ea typeface="+mn-ea"/>
              <a:cs typeface="Arial" pitchFamily="34" charset="0"/>
            </a:rPr>
            <a:t>           </a:t>
          </a:r>
          <a:r>
            <a:rPr kumimoji="1" lang="fr-FR" sz="1400" b="1" i="1" u="sng" baseline="0">
              <a:solidFill>
                <a:schemeClr val="dk1"/>
              </a:solidFill>
              <a:latin typeface="Arial" pitchFamily="34" charset="0"/>
              <a:ea typeface="+mn-ea"/>
              <a:cs typeface="Arial" pitchFamily="34" charset="0"/>
            </a:rPr>
            <a:t>Etape 1 - Analyse de l'exposition naturelle (ou risque inhérent)</a:t>
          </a:r>
          <a:r>
            <a:rPr kumimoji="1" lang="fr-FR" sz="1400" b="1" i="1" u="none" baseline="0">
              <a:solidFill>
                <a:schemeClr val="dk1"/>
              </a:solidFill>
              <a:latin typeface="Arial" pitchFamily="34" charset="0"/>
              <a:ea typeface="+mn-ea"/>
              <a:cs typeface="Arial" pitchFamily="34" charset="0"/>
            </a:rPr>
            <a:t> </a:t>
          </a:r>
        </a:p>
        <a:p>
          <a:pPr rtl="0" eaLnBrk="1" fontAlgn="base" hangingPunct="1"/>
          <a:endParaRPr kumimoji="1" lang="fr-FR" sz="1400" baseline="0">
            <a:solidFill>
              <a:schemeClr val="dk1"/>
            </a:solidFill>
            <a:latin typeface="Arial" pitchFamily="34" charset="0"/>
            <a:ea typeface="+mn-ea"/>
            <a:cs typeface="Arial" pitchFamily="34" charset="0"/>
          </a:endParaRPr>
        </a:p>
        <a:p>
          <a:pPr marL="0" marR="0" lvl="0" indent="0" defTabSz="914400" rtl="0" eaLnBrk="1" fontAlgn="base" latinLnBrk="0" hangingPunct="1">
            <a:lnSpc>
              <a:spcPct val="100000"/>
            </a:lnSpc>
            <a:spcBef>
              <a:spcPts val="0"/>
            </a:spcBef>
            <a:spcAft>
              <a:spcPts val="0"/>
            </a:spcAft>
            <a:buClrTx/>
            <a:buSzTx/>
            <a:buFontTx/>
            <a:buNone/>
            <a:tabLst/>
            <a:defRPr/>
          </a:pPr>
          <a:r>
            <a:rPr kumimoji="1" lang="fr-FR" sz="1400" b="0" i="0" u="none" strike="noStrike" kern="0" cap="none" spc="0" normalizeH="0" baseline="0" noProof="0">
              <a:ln>
                <a:noFill/>
              </a:ln>
              <a:solidFill>
                <a:prstClr val="black"/>
              </a:solidFill>
              <a:effectLst/>
              <a:uLnTx/>
              <a:uFillTx/>
              <a:latin typeface="Arial" pitchFamily="34" charset="0"/>
              <a:ea typeface="+mn-ea"/>
              <a:cs typeface="Arial" pitchFamily="34" charset="0"/>
            </a:rPr>
            <a:t>Cette étape consiste à la détermination d'une probabilité brute et d'une gravité brute (brute = inhérente) sur la base </a:t>
          </a:r>
          <a:r>
            <a:rPr kumimoji="1" lang="fr-FR" sz="1400" baseline="0">
              <a:solidFill>
                <a:schemeClr val="dk1"/>
              </a:solidFill>
              <a:latin typeface="Arial" pitchFamily="34" charset="0"/>
              <a:ea typeface="+mn-ea"/>
              <a:cs typeface="Arial" pitchFamily="34" charset="0"/>
            </a:rPr>
            <a:t>de leur connaissance de l'environnement interne (organisation, RH, gouvernance, système d'information, process, etc.) ou externe (règlementaire, partenariats, législation, concurrentiel, etc.). </a:t>
          </a:r>
        </a:p>
        <a:p>
          <a:pPr marL="0" marR="0" lvl="0" indent="0" defTabSz="914400" rtl="0" eaLnBrk="1" fontAlgn="base" latinLnBrk="0" hangingPunct="1">
            <a:lnSpc>
              <a:spcPct val="100000"/>
            </a:lnSpc>
            <a:spcBef>
              <a:spcPts val="0"/>
            </a:spcBef>
            <a:spcAft>
              <a:spcPts val="0"/>
            </a:spcAft>
            <a:buClrTx/>
            <a:buSzTx/>
            <a:buFontTx/>
            <a:buNone/>
            <a:tabLst/>
            <a:defRPr/>
          </a:pPr>
          <a:endParaRPr kumimoji="1" lang="fr-FR" sz="1400" baseline="0">
            <a:solidFill>
              <a:schemeClr val="dk1"/>
            </a:solidFill>
            <a:latin typeface="Arial" pitchFamily="34" charset="0"/>
            <a:ea typeface="+mn-ea"/>
            <a:cs typeface="Arial" pitchFamily="34" charset="0"/>
          </a:endParaRPr>
        </a:p>
        <a:p>
          <a:pPr marL="0" marR="0" lvl="0" indent="0" defTabSz="914400" rtl="0" eaLnBrk="1" fontAlgn="base" latinLnBrk="0" hangingPunct="1">
            <a:lnSpc>
              <a:spcPct val="100000"/>
            </a:lnSpc>
            <a:spcBef>
              <a:spcPts val="0"/>
            </a:spcBef>
            <a:spcAft>
              <a:spcPts val="0"/>
            </a:spcAft>
            <a:buClrTx/>
            <a:buSzTx/>
            <a:buFontTx/>
            <a:buNone/>
            <a:tabLst/>
            <a:defRPr/>
          </a:pPr>
          <a:r>
            <a:rPr kumimoji="1" lang="fr-FR" sz="1400" b="1" baseline="0">
              <a:solidFill>
                <a:srgbClr val="002060"/>
              </a:solidFill>
              <a:latin typeface="Arial" pitchFamily="34" charset="0"/>
              <a:ea typeface="+mn-ea"/>
              <a:cs typeface="Arial" pitchFamily="34" charset="0"/>
            </a:rPr>
            <a:t>L'évaluation s'effectue sur une échelle à 6 niveaux sur les deux axes (voir feuille </a:t>
          </a:r>
          <a:r>
            <a:rPr kumimoji="1" lang="fr-FR" sz="1400" b="1" baseline="0">
              <a:solidFill>
                <a:srgbClr val="0070C0"/>
              </a:solidFill>
              <a:latin typeface="Arial" pitchFamily="34" charset="0"/>
              <a:ea typeface="+mn-ea"/>
              <a:cs typeface="Arial" pitchFamily="34" charset="0"/>
            </a:rPr>
            <a:t>"Echelle P &amp; G").</a:t>
          </a:r>
        </a:p>
        <a:p>
          <a:pPr rtl="0" eaLnBrk="1" fontAlgn="base" hangingPunct="1"/>
          <a:endParaRPr kumimoji="1" lang="fr-FR" sz="1400" u="sng" baseline="0">
            <a:solidFill>
              <a:schemeClr val="dk1"/>
            </a:solidFill>
            <a:latin typeface="Arial" pitchFamily="34" charset="0"/>
            <a:ea typeface="+mn-ea"/>
            <a:cs typeface="Arial" pitchFamily="34" charset="0"/>
          </a:endParaRPr>
        </a:p>
        <a:p>
          <a:pPr rtl="0" eaLnBrk="1" fontAlgn="base" hangingPunct="1"/>
          <a:endParaRPr kumimoji="1" lang="fr-FR" sz="1400" u="sng" baseline="0">
            <a:solidFill>
              <a:schemeClr val="dk1"/>
            </a:solidFill>
            <a:latin typeface="Arial" pitchFamily="34" charset="0"/>
            <a:ea typeface="+mn-ea"/>
            <a:cs typeface="Arial" pitchFamily="34" charset="0"/>
          </a:endParaRPr>
        </a:p>
        <a:p>
          <a:pPr rtl="0" eaLnBrk="1" fontAlgn="base" hangingPunct="1"/>
          <a:r>
            <a:rPr kumimoji="1" lang="fr-FR" sz="1400" i="1" u="none" baseline="0">
              <a:solidFill>
                <a:schemeClr val="dk1"/>
              </a:solidFill>
              <a:latin typeface="Arial" pitchFamily="34" charset="0"/>
              <a:ea typeface="+mn-ea"/>
              <a:cs typeface="Arial" pitchFamily="34" charset="0"/>
            </a:rPr>
            <a:t>           </a:t>
          </a:r>
          <a:r>
            <a:rPr kumimoji="1" lang="fr-FR" sz="1400" b="1" i="1" u="sng" baseline="0">
              <a:solidFill>
                <a:schemeClr val="dk1"/>
              </a:solidFill>
              <a:latin typeface="Arial" pitchFamily="34" charset="0"/>
              <a:ea typeface="+mn-ea"/>
              <a:cs typeface="Arial" pitchFamily="34" charset="0"/>
            </a:rPr>
            <a:t>Etape 2 : Evaluation des dispositifs de contrôles</a:t>
          </a:r>
        </a:p>
        <a:p>
          <a:pPr rtl="0" eaLnBrk="1" fontAlgn="base" hangingPunct="1"/>
          <a:endParaRPr kumimoji="1" lang="fr-FR" sz="1400" u="sng" baseline="0">
            <a:solidFill>
              <a:schemeClr val="dk1"/>
            </a:solidFill>
            <a:latin typeface="Arial" pitchFamily="34" charset="0"/>
            <a:ea typeface="+mn-ea"/>
            <a:cs typeface="Arial" pitchFamily="34" charset="0"/>
          </a:endParaRPr>
        </a:p>
        <a:p>
          <a:pPr rtl="0" eaLnBrk="1" fontAlgn="base" hangingPunct="1"/>
          <a:r>
            <a:rPr kumimoji="1" lang="fr-FR" sz="1400" u="none" baseline="0">
              <a:solidFill>
                <a:schemeClr val="dk1"/>
              </a:solidFill>
              <a:latin typeface="Arial" pitchFamily="34" charset="0"/>
              <a:ea typeface="+mn-ea"/>
              <a:cs typeface="Arial" pitchFamily="34" charset="0"/>
            </a:rPr>
            <a:t>Cette étape consiste à affecter un niveau de maturité au contrôle; l'évaluateur établira une note au contrôle, suivant une échelle allant de 1 à 5 </a:t>
          </a:r>
          <a:r>
            <a:rPr kumimoji="1" lang="fr-FR" sz="1400" b="1" u="none" baseline="0">
              <a:solidFill>
                <a:srgbClr val="002060"/>
              </a:solidFill>
              <a:latin typeface="Arial" pitchFamily="34" charset="0"/>
              <a:ea typeface="+mn-ea"/>
              <a:cs typeface="Arial" pitchFamily="34" charset="0"/>
            </a:rPr>
            <a:t>(voir feuille </a:t>
          </a:r>
          <a:r>
            <a:rPr kumimoji="1" lang="fr-FR" sz="1400" b="1" u="none" baseline="0">
              <a:solidFill>
                <a:srgbClr val="0070C0"/>
              </a:solidFill>
              <a:latin typeface="Arial" pitchFamily="34" charset="0"/>
              <a:ea typeface="+mn-ea"/>
              <a:cs typeface="Arial" pitchFamily="34" charset="0"/>
            </a:rPr>
            <a:t>"Echelle de contrôle").</a:t>
          </a:r>
        </a:p>
        <a:p>
          <a:pPr rtl="0" eaLnBrk="1" fontAlgn="base" hangingPunct="1"/>
          <a:endParaRPr kumimoji="1" lang="fr-FR" sz="1400" b="0" i="0" u="none" strike="noStrike" kern="0" cap="none" spc="0" normalizeH="0" baseline="0" noProof="0">
            <a:ln>
              <a:noFill/>
            </a:ln>
            <a:solidFill>
              <a:prstClr val="black"/>
            </a:solidFill>
            <a:effectLst/>
            <a:uLnTx/>
            <a:uFillTx/>
            <a:latin typeface="Arial" pitchFamily="34" charset="0"/>
            <a:ea typeface="+mn-ea"/>
            <a:cs typeface="Arial" pitchFamily="34" charset="0"/>
          </a:endParaRPr>
        </a:p>
        <a:p>
          <a:pPr rtl="0" eaLnBrk="1" fontAlgn="base" hangingPunct="1"/>
          <a:r>
            <a:rPr kumimoji="1" lang="fr-FR" sz="1400" b="0" i="0" u="none" strike="noStrike" kern="0" cap="none" spc="0" normalizeH="0" baseline="0" noProof="0">
              <a:ln>
                <a:noFill/>
              </a:ln>
              <a:solidFill>
                <a:prstClr val="black"/>
              </a:solidFill>
              <a:effectLst/>
              <a:uLnTx/>
              <a:uFillTx/>
              <a:latin typeface="Arial" pitchFamily="34" charset="0"/>
              <a:ea typeface="+mn-ea"/>
              <a:cs typeface="Arial" pitchFamily="34" charset="0"/>
            </a:rPr>
            <a:t>L'objectif de la mission n'étant pas d'effectuer un audit (réalisation de tests sur les contrôles), l'évaluateur se basera sur une appréciation </a:t>
          </a:r>
          <a:r>
            <a:rPr kumimoji="1" lang="fr-FR" sz="1400" b="1" i="0" u="sng" strike="noStrike" kern="0" cap="none" spc="0" normalizeH="0" baseline="0" noProof="0">
              <a:ln>
                <a:noFill/>
              </a:ln>
              <a:solidFill>
                <a:prstClr val="black"/>
              </a:solidFill>
              <a:effectLst/>
              <a:uLnTx/>
              <a:uFillTx/>
              <a:latin typeface="Arial" pitchFamily="34" charset="0"/>
              <a:ea typeface="+mn-ea"/>
              <a:cs typeface="Arial" pitchFamily="34" charset="0"/>
            </a:rPr>
            <a:t>conceptuelle</a:t>
          </a:r>
          <a:r>
            <a:rPr kumimoji="1" lang="fr-FR" sz="1400" b="0" i="0" u="none" strike="noStrike" kern="0" cap="none" spc="0" normalizeH="0" baseline="0" noProof="0">
              <a:ln>
                <a:noFill/>
              </a:ln>
              <a:solidFill>
                <a:prstClr val="black"/>
              </a:solidFill>
              <a:effectLst/>
              <a:uLnTx/>
              <a:uFillTx/>
              <a:latin typeface="Arial" pitchFamily="34" charset="0"/>
              <a:ea typeface="+mn-ea"/>
              <a:cs typeface="Arial" pitchFamily="34" charset="0"/>
            </a:rPr>
            <a:t> du dispositif de contrôle (le contrôle est il pertinent ou non ?). Seuls des tests (audit) ou le processus d'autoévaluation du contrôle interne  (dans une moindre mesure) permettent de se prononcer sur l'efficacité </a:t>
          </a:r>
          <a:r>
            <a:rPr kumimoji="1" lang="fr-FR" sz="1400" b="1" i="0" u="sng" strike="noStrike" kern="0" cap="none" spc="0" normalizeH="0" baseline="0" noProof="0">
              <a:ln>
                <a:noFill/>
              </a:ln>
              <a:solidFill>
                <a:prstClr val="black"/>
              </a:solidFill>
              <a:effectLst/>
              <a:uLnTx/>
              <a:uFillTx/>
              <a:latin typeface="Arial" pitchFamily="34" charset="0"/>
              <a:ea typeface="+mn-ea"/>
              <a:cs typeface="Arial" pitchFamily="34" charset="0"/>
            </a:rPr>
            <a:t>opérationnelle</a:t>
          </a:r>
          <a:r>
            <a:rPr kumimoji="1" lang="fr-FR" sz="1400" b="0" i="0" u="none" strike="noStrike" kern="0" cap="none" spc="0" normalizeH="0" baseline="0" noProof="0">
              <a:ln>
                <a:noFill/>
              </a:ln>
              <a:solidFill>
                <a:prstClr val="black"/>
              </a:solidFill>
              <a:effectLst/>
              <a:uLnTx/>
              <a:uFillTx/>
              <a:latin typeface="Arial" pitchFamily="34" charset="0"/>
              <a:ea typeface="+mn-ea"/>
              <a:cs typeface="Arial" pitchFamily="34" charset="0"/>
            </a:rPr>
            <a:t> des contrôles et donc de préciser la criticité issue de la cartographie des risques.</a:t>
          </a:r>
        </a:p>
        <a:p>
          <a:pPr rtl="0" eaLnBrk="1" fontAlgn="base" hangingPunct="1"/>
          <a:endParaRPr kumimoji="1" lang="fr-FR" sz="1400" b="0" i="0" u="none" strike="noStrike" kern="0" cap="none" spc="0" normalizeH="0" baseline="0" noProof="0">
            <a:ln>
              <a:noFill/>
            </a:ln>
            <a:solidFill>
              <a:prstClr val="black"/>
            </a:solidFill>
            <a:effectLst/>
            <a:uLnTx/>
            <a:uFillTx/>
            <a:latin typeface="Arial" pitchFamily="34" charset="0"/>
            <a:ea typeface="+mn-ea"/>
            <a:cs typeface="Arial" pitchFamily="34" charset="0"/>
          </a:endParaRPr>
        </a:p>
        <a:p>
          <a:pPr rtl="0" eaLnBrk="1" fontAlgn="base" hangingPunct="1"/>
          <a:r>
            <a:rPr kumimoji="1" lang="fr-FR" sz="1400" b="0" i="0" u="none" strike="noStrike" kern="0" cap="none" spc="0" normalizeH="0" baseline="0" noProof="0">
              <a:ln>
                <a:noFill/>
              </a:ln>
              <a:solidFill>
                <a:prstClr val="black"/>
              </a:solidFill>
              <a:effectLst/>
              <a:uLnTx/>
              <a:uFillTx/>
              <a:latin typeface="Arial" pitchFamily="34" charset="0"/>
              <a:ea typeface="+mn-ea"/>
              <a:cs typeface="Arial" pitchFamily="34" charset="0"/>
            </a:rPr>
            <a:t>Dans des phases ultérieures du processus de management des risques (Audit, auto-évaluation, etc.), le résultat des travaux permettront d'alimenter, au fur et à mesure, la cartographie des risques avec des données issues du terrain.</a:t>
          </a:r>
          <a:endParaRPr kumimoji="1" lang="fr-FR" sz="1400" u="none" baseline="0">
            <a:solidFill>
              <a:schemeClr val="dk1"/>
            </a:solidFill>
            <a:latin typeface="Arial" pitchFamily="34" charset="0"/>
            <a:ea typeface="+mn-ea"/>
            <a:cs typeface="Arial" pitchFamily="34" charset="0"/>
          </a:endParaRPr>
        </a:p>
        <a:p>
          <a:pPr rtl="0" eaLnBrk="1" fontAlgn="base" hangingPunct="1"/>
          <a:endParaRPr kumimoji="1" lang="fr-FR" sz="1400" u="none" baseline="0">
            <a:solidFill>
              <a:schemeClr val="dk1"/>
            </a:solidFill>
            <a:latin typeface="Arial" pitchFamily="34" charset="0"/>
            <a:ea typeface="+mn-ea"/>
            <a:cs typeface="Arial" pitchFamily="34" charset="0"/>
          </a:endParaRPr>
        </a:p>
        <a:p>
          <a:pPr rtl="0" eaLnBrk="1" fontAlgn="base" hangingPunct="1"/>
          <a:endParaRPr kumimoji="1" lang="fr-FR" sz="1400" baseline="0">
            <a:solidFill>
              <a:schemeClr val="dk1"/>
            </a:solidFill>
            <a:latin typeface="Arial" pitchFamily="34" charset="0"/>
            <a:ea typeface="+mn-ea"/>
            <a:cs typeface="Arial" pitchFamily="34" charset="0"/>
          </a:endParaRPr>
        </a:p>
        <a:p>
          <a:pPr rtl="0" eaLnBrk="1" fontAlgn="base" hangingPunct="1"/>
          <a:r>
            <a:rPr kumimoji="1" lang="fr-FR" sz="1400" i="1" u="none" baseline="0">
              <a:solidFill>
                <a:schemeClr val="dk1"/>
              </a:solidFill>
              <a:latin typeface="Arial" pitchFamily="34" charset="0"/>
              <a:ea typeface="+mn-ea"/>
              <a:cs typeface="Arial" pitchFamily="34" charset="0"/>
            </a:rPr>
            <a:t>             </a:t>
          </a:r>
          <a:r>
            <a:rPr kumimoji="1" lang="fr-FR" sz="1400" b="1" i="1" u="sng" baseline="0">
              <a:solidFill>
                <a:schemeClr val="dk1"/>
              </a:solidFill>
              <a:latin typeface="Arial" pitchFamily="34" charset="0"/>
              <a:ea typeface="+mn-ea"/>
              <a:cs typeface="Arial" pitchFamily="34" charset="0"/>
            </a:rPr>
            <a:t>Etape 3 - Analyse de la vulnérabilité réelle ou risque résiduel</a:t>
          </a:r>
          <a:endParaRPr kumimoji="1" lang="fr-FR" sz="1400" b="1" i="1" u="none" baseline="0">
            <a:solidFill>
              <a:schemeClr val="dk1"/>
            </a:solidFill>
            <a:latin typeface="Arial" pitchFamily="34" charset="0"/>
            <a:ea typeface="+mn-ea"/>
            <a:cs typeface="Arial" pitchFamily="34" charset="0"/>
          </a:endParaRPr>
        </a:p>
        <a:p>
          <a:pPr rtl="0" eaLnBrk="1" fontAlgn="base" hangingPunct="1"/>
          <a:endParaRPr kumimoji="1" lang="fr-FR" sz="1400" u="none" baseline="0">
            <a:solidFill>
              <a:schemeClr val="dk1"/>
            </a:solidFill>
            <a:latin typeface="Arial" pitchFamily="34" charset="0"/>
            <a:ea typeface="+mn-ea"/>
            <a:cs typeface="Arial" pitchFamily="34" charset="0"/>
          </a:endParaRPr>
        </a:p>
        <a:p>
          <a:pPr rtl="0" eaLnBrk="1" fontAlgn="base" hangingPunct="1"/>
          <a:r>
            <a:rPr kumimoji="1" lang="fr-FR" sz="1400" baseline="0">
              <a:solidFill>
                <a:schemeClr val="dk1"/>
              </a:solidFill>
              <a:latin typeface="Arial" pitchFamily="34" charset="0"/>
              <a:ea typeface="+mn-ea"/>
              <a:cs typeface="Arial" pitchFamily="34" charset="0"/>
            </a:rPr>
            <a:t>Le risque résiduel traduit le niveau de criticité des risques subsistant après le contrôle interne. Il traduit un niveau de vulnérabilité supposé (sous réserve que les contrôles soient correctement mis en œuvre).</a:t>
          </a:r>
        </a:p>
        <a:p>
          <a:pPr rtl="0" eaLnBrk="1" fontAlgn="base" hangingPunct="1"/>
          <a:endParaRPr kumimoji="1" lang="fr-FR" sz="1400" baseline="0">
            <a:solidFill>
              <a:schemeClr val="dk1"/>
            </a:solidFill>
            <a:latin typeface="Arial" pitchFamily="34" charset="0"/>
            <a:ea typeface="+mn-ea"/>
            <a:cs typeface="Arial" pitchFamily="34" charset="0"/>
          </a:endParaRPr>
        </a:p>
        <a:p>
          <a:pPr rtl="0" eaLnBrk="1" fontAlgn="base" hangingPunct="1"/>
          <a:r>
            <a:rPr kumimoji="1" lang="fr-FR" sz="1400" baseline="0">
              <a:solidFill>
                <a:schemeClr val="dk1"/>
              </a:solidFill>
              <a:latin typeface="Arial" pitchFamily="34" charset="0"/>
              <a:ea typeface="+mn-ea"/>
              <a:cs typeface="Arial" pitchFamily="34" charset="0"/>
            </a:rPr>
            <a:t>Les données de probabilité et gravité seront utilisées pour la restitution de la cartographie des risques sur la matrice de criticité (voir </a:t>
          </a:r>
          <a:r>
            <a:rPr kumimoji="1" lang="fr-FR" sz="1400" b="1" baseline="0">
              <a:solidFill>
                <a:srgbClr val="0070C0"/>
              </a:solidFill>
              <a:latin typeface="Arial" pitchFamily="34" charset="0"/>
              <a:ea typeface="+mn-ea"/>
              <a:cs typeface="Arial" pitchFamily="34" charset="0"/>
            </a:rPr>
            <a:t>"Matrice"</a:t>
          </a:r>
          <a:r>
            <a:rPr kumimoji="1" lang="fr-FR" sz="1400" baseline="0">
              <a:solidFill>
                <a:schemeClr val="dk1"/>
              </a:solidFill>
              <a:latin typeface="Arial" pitchFamily="34" charset="0"/>
              <a:ea typeface="+mn-ea"/>
              <a:cs typeface="Arial" pitchFamily="34" charset="0"/>
            </a:rPr>
            <a:t>) correspondant à un repère orthonormé (G = X et P = Y).</a:t>
          </a:r>
        </a:p>
        <a:p>
          <a:pPr rtl="0" eaLnBrk="1" fontAlgn="base" hangingPunct="1"/>
          <a:endParaRPr kumimoji="1" lang="fr-FR" sz="1400" baseline="0">
            <a:solidFill>
              <a:schemeClr val="dk1"/>
            </a:solidFill>
            <a:latin typeface="Arial" pitchFamily="34" charset="0"/>
            <a:ea typeface="+mn-ea"/>
            <a:cs typeface="Arial" pitchFamily="34" charset="0"/>
          </a:endParaRPr>
        </a:p>
        <a:p>
          <a:pPr rtl="0" eaLnBrk="1" fontAlgn="base" hangingPunct="1"/>
          <a:endParaRPr kumimoji="1" lang="fr-FR" sz="1400" baseline="0">
            <a:solidFill>
              <a:schemeClr val="dk1"/>
            </a:solidFill>
            <a:latin typeface="Arial" pitchFamily="34" charset="0"/>
            <a:ea typeface="+mn-ea"/>
            <a:cs typeface="Arial" pitchFamily="34" charset="0"/>
          </a:endParaRPr>
        </a:p>
        <a:p>
          <a:pPr algn="l" rtl="0" eaLnBrk="1" fontAlgn="base" hangingPunct="1"/>
          <a:r>
            <a:rPr kumimoji="1" lang="fr-FR" sz="2000" b="1" u="sng" baseline="0">
              <a:solidFill>
                <a:srgbClr val="C00000"/>
              </a:solidFill>
              <a:latin typeface="Arial" pitchFamily="34" charset="0"/>
              <a:ea typeface="+mn-ea"/>
              <a:cs typeface="Arial" pitchFamily="34" charset="0"/>
            </a:rPr>
            <a:t>L'équipe projet vous remercie de votre collaboration !!!</a:t>
          </a:r>
        </a:p>
      </xdr:txBody>
    </xdr:sp>
    <xdr:clientData/>
  </xdr:twoCellAnchor>
  <xdr:twoCellAnchor editAs="oneCell">
    <xdr:from>
      <xdr:col>13</xdr:col>
      <xdr:colOff>544285</xdr:colOff>
      <xdr:row>1</xdr:row>
      <xdr:rowOff>54428</xdr:rowOff>
    </xdr:from>
    <xdr:to>
      <xdr:col>14</xdr:col>
      <xdr:colOff>137885</xdr:colOff>
      <xdr:row>3</xdr:row>
      <xdr:rowOff>46465</xdr:rowOff>
    </xdr:to>
    <xdr:pic>
      <xdr:nvPicPr>
        <xdr:cNvPr id="3" name="Graphique 2" descr="Logement avec un remplissage uni">
          <a:hlinkClick xmlns:r="http://schemas.openxmlformats.org/officeDocument/2006/relationships" r:id="rId1"/>
          <a:extLst>
            <a:ext uri="{FF2B5EF4-FFF2-40B4-BE49-F238E27FC236}">
              <a16:creationId xmlns:a16="http://schemas.microsoft.com/office/drawing/2014/main" id="{F7753D3D-5820-438A-944B-A9BE9EAF2EC2}"/>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13434785" y="235857"/>
          <a:ext cx="355600" cy="354894"/>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4</xdr:col>
      <xdr:colOff>515937</xdr:colOff>
      <xdr:row>1</xdr:row>
      <xdr:rowOff>79375</xdr:rowOff>
    </xdr:from>
    <xdr:to>
      <xdr:col>5</xdr:col>
      <xdr:colOff>64558</xdr:colOff>
      <xdr:row>2</xdr:row>
      <xdr:rowOff>67380</xdr:rowOff>
    </xdr:to>
    <xdr:pic>
      <xdr:nvPicPr>
        <xdr:cNvPr id="2" name="Graphique 1" descr="Logement avec un remplissage uni">
          <a:hlinkClick xmlns:r="http://schemas.openxmlformats.org/officeDocument/2006/relationships" r:id="rId1"/>
          <a:extLst>
            <a:ext uri="{FF2B5EF4-FFF2-40B4-BE49-F238E27FC236}">
              <a16:creationId xmlns:a16="http://schemas.microsoft.com/office/drawing/2014/main" id="{BE22BBA2-0A32-492D-92C8-061FE2403DFD}"/>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13176250" y="254000"/>
          <a:ext cx="350308" cy="35313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3</xdr:col>
      <xdr:colOff>254000</xdr:colOff>
      <xdr:row>0</xdr:row>
      <xdr:rowOff>186764</xdr:rowOff>
    </xdr:from>
    <xdr:to>
      <xdr:col>3</xdr:col>
      <xdr:colOff>609600</xdr:colOff>
      <xdr:row>0</xdr:row>
      <xdr:rowOff>541658</xdr:rowOff>
    </xdr:to>
    <xdr:pic>
      <xdr:nvPicPr>
        <xdr:cNvPr id="2" name="Graphique 1" descr="Logement avec un remplissage uni">
          <a:hlinkClick xmlns:r="http://schemas.openxmlformats.org/officeDocument/2006/relationships" r:id="rId1"/>
          <a:extLst>
            <a:ext uri="{FF2B5EF4-FFF2-40B4-BE49-F238E27FC236}">
              <a16:creationId xmlns:a16="http://schemas.microsoft.com/office/drawing/2014/main" id="{40E2BEEA-90BC-4B30-87A2-FD1DCF26BB16}"/>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11616765" y="186764"/>
          <a:ext cx="355600" cy="354894"/>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6</xdr:col>
      <xdr:colOff>209176</xdr:colOff>
      <xdr:row>2</xdr:row>
      <xdr:rowOff>7470</xdr:rowOff>
    </xdr:from>
    <xdr:to>
      <xdr:col>6</xdr:col>
      <xdr:colOff>564776</xdr:colOff>
      <xdr:row>2</xdr:row>
      <xdr:rowOff>362364</xdr:rowOff>
    </xdr:to>
    <xdr:pic>
      <xdr:nvPicPr>
        <xdr:cNvPr id="2" name="Graphique 1" descr="Logement avec un remplissage uni">
          <a:hlinkClick xmlns:r="http://schemas.openxmlformats.org/officeDocument/2006/relationships" r:id="rId1"/>
          <a:extLst>
            <a:ext uri="{FF2B5EF4-FFF2-40B4-BE49-F238E27FC236}">
              <a16:creationId xmlns:a16="http://schemas.microsoft.com/office/drawing/2014/main" id="{8070FBBC-EEA7-47DC-B34B-A4379539722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11571941" y="380999"/>
          <a:ext cx="355600" cy="354894"/>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7</xdr:col>
      <xdr:colOff>733425</xdr:colOff>
      <xdr:row>2</xdr:row>
      <xdr:rowOff>276225</xdr:rowOff>
    </xdr:from>
    <xdr:to>
      <xdr:col>9</xdr:col>
      <xdr:colOff>95250</xdr:colOff>
      <xdr:row>3</xdr:row>
      <xdr:rowOff>190500</xdr:rowOff>
    </xdr:to>
    <xdr:sp macro="" textlink="">
      <xdr:nvSpPr>
        <xdr:cNvPr id="2" name="Ellipse 1">
          <a:extLst>
            <a:ext uri="{FF2B5EF4-FFF2-40B4-BE49-F238E27FC236}">
              <a16:creationId xmlns:a16="http://schemas.microsoft.com/office/drawing/2014/main" id="{28DB0F18-36CF-496E-9301-C9A95093E499}"/>
            </a:ext>
          </a:extLst>
        </xdr:cNvPr>
        <xdr:cNvSpPr/>
      </xdr:nvSpPr>
      <xdr:spPr>
        <a:xfrm>
          <a:off x="4054475" y="663575"/>
          <a:ext cx="962025" cy="390525"/>
        </a:xfrm>
        <a:prstGeom prst="ellipse">
          <a:avLst/>
        </a:prstGeom>
        <a:no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a:defRPr lang="fr-F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fr-FR" sz="1050" b="1">
              <a:solidFill>
                <a:sysClr val="windowText" lastClr="000000"/>
              </a:solidFill>
            </a:rPr>
            <a:t>Critique</a:t>
          </a:r>
        </a:p>
      </xdr:txBody>
    </xdr:sp>
    <xdr:clientData/>
  </xdr:twoCellAnchor>
  <xdr:twoCellAnchor>
    <xdr:from>
      <xdr:col>8</xdr:col>
      <xdr:colOff>0</xdr:colOff>
      <xdr:row>7</xdr:row>
      <xdr:rowOff>371475</xdr:rowOff>
    </xdr:from>
    <xdr:to>
      <xdr:col>9</xdr:col>
      <xdr:colOff>123825</xdr:colOff>
      <xdr:row>9</xdr:row>
      <xdr:rowOff>95250</xdr:rowOff>
    </xdr:to>
    <xdr:sp macro="" textlink="">
      <xdr:nvSpPr>
        <xdr:cNvPr id="3" name="Ellipse 2">
          <a:extLst>
            <a:ext uri="{FF2B5EF4-FFF2-40B4-BE49-F238E27FC236}">
              <a16:creationId xmlns:a16="http://schemas.microsoft.com/office/drawing/2014/main" id="{4176BDD7-BE54-44DE-A06F-18EB08235B08}"/>
            </a:ext>
          </a:extLst>
        </xdr:cNvPr>
        <xdr:cNvSpPr/>
      </xdr:nvSpPr>
      <xdr:spPr>
        <a:xfrm>
          <a:off x="4121150" y="3140075"/>
          <a:ext cx="923925" cy="384175"/>
        </a:xfrm>
        <a:prstGeom prst="ellipse">
          <a:avLst/>
        </a:prstGeom>
        <a:no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a:defRPr lang="fr-F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fr-FR" sz="1050" b="1">
              <a:solidFill>
                <a:sysClr val="windowText" lastClr="000000"/>
              </a:solidFill>
            </a:rPr>
            <a:t>Faible</a:t>
          </a:r>
        </a:p>
      </xdr:txBody>
    </xdr:sp>
    <xdr:clientData/>
  </xdr:twoCellAnchor>
  <xdr:twoCellAnchor>
    <xdr:from>
      <xdr:col>1</xdr:col>
      <xdr:colOff>47625</xdr:colOff>
      <xdr:row>10</xdr:row>
      <xdr:rowOff>104775</xdr:rowOff>
    </xdr:from>
    <xdr:to>
      <xdr:col>3</xdr:col>
      <xdr:colOff>203200</xdr:colOff>
      <xdr:row>12</xdr:row>
      <xdr:rowOff>114300</xdr:rowOff>
    </xdr:to>
    <xdr:sp macro="" textlink="">
      <xdr:nvSpPr>
        <xdr:cNvPr id="4" name="Ellipse 3">
          <a:extLst>
            <a:ext uri="{FF2B5EF4-FFF2-40B4-BE49-F238E27FC236}">
              <a16:creationId xmlns:a16="http://schemas.microsoft.com/office/drawing/2014/main" id="{B3AAB5AA-1C2F-491F-8547-B21E5F7EBDC7}"/>
            </a:ext>
          </a:extLst>
        </xdr:cNvPr>
        <xdr:cNvSpPr/>
      </xdr:nvSpPr>
      <xdr:spPr>
        <a:xfrm>
          <a:off x="396875" y="3717925"/>
          <a:ext cx="1146175" cy="377825"/>
        </a:xfrm>
        <a:prstGeom prst="ellipse">
          <a:avLst/>
        </a:prstGeom>
        <a:no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a:defRPr lang="fr-F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fr-FR" sz="1050" b="1">
              <a:solidFill>
                <a:sysClr val="windowText" lastClr="000000"/>
              </a:solidFill>
            </a:rPr>
            <a:t>Non</a:t>
          </a:r>
          <a:r>
            <a:rPr lang="fr-FR" sz="1050" b="1" baseline="0">
              <a:solidFill>
                <a:sysClr val="windowText" lastClr="000000"/>
              </a:solidFill>
            </a:rPr>
            <a:t> significatif</a:t>
          </a:r>
          <a:endParaRPr lang="fr-FR" sz="1050" b="1">
            <a:solidFill>
              <a:sysClr val="windowText" lastClr="000000"/>
            </a:solidFill>
          </a:endParaRPr>
        </a:p>
      </xdr:txBody>
    </xdr:sp>
    <xdr:clientData/>
  </xdr:twoCellAnchor>
  <xdr:twoCellAnchor>
    <xdr:from>
      <xdr:col>7</xdr:col>
      <xdr:colOff>52297</xdr:colOff>
      <xdr:row>3</xdr:row>
      <xdr:rowOff>546</xdr:rowOff>
    </xdr:from>
    <xdr:to>
      <xdr:col>7</xdr:col>
      <xdr:colOff>736297</xdr:colOff>
      <xdr:row>3</xdr:row>
      <xdr:rowOff>546</xdr:rowOff>
    </xdr:to>
    <xdr:cxnSp macro="">
      <xdr:nvCxnSpPr>
        <xdr:cNvPr id="5" name="Connecteur droit avec flèche 4">
          <a:extLst>
            <a:ext uri="{FF2B5EF4-FFF2-40B4-BE49-F238E27FC236}">
              <a16:creationId xmlns:a16="http://schemas.microsoft.com/office/drawing/2014/main" id="{039B19F7-FA88-4F66-B40B-1D174BF1D1CD}"/>
            </a:ext>
          </a:extLst>
        </xdr:cNvPr>
        <xdr:cNvCxnSpPr/>
      </xdr:nvCxnSpPr>
      <xdr:spPr>
        <a:xfrm flipH="1">
          <a:off x="3373347" y="864146"/>
          <a:ext cx="684000"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42772</xdr:colOff>
      <xdr:row>8</xdr:row>
      <xdr:rowOff>546</xdr:rowOff>
    </xdr:from>
    <xdr:to>
      <xdr:col>8</xdr:col>
      <xdr:colOff>0</xdr:colOff>
      <xdr:row>8</xdr:row>
      <xdr:rowOff>90488</xdr:rowOff>
    </xdr:to>
    <xdr:cxnSp macro="">
      <xdr:nvCxnSpPr>
        <xdr:cNvPr id="6" name="Connecteur droit avec flèche 5">
          <a:extLst>
            <a:ext uri="{FF2B5EF4-FFF2-40B4-BE49-F238E27FC236}">
              <a16:creationId xmlns:a16="http://schemas.microsoft.com/office/drawing/2014/main" id="{5EB4F282-30BB-4594-84E7-A188F7C32BCE}"/>
            </a:ext>
          </a:extLst>
        </xdr:cNvPr>
        <xdr:cNvCxnSpPr>
          <a:stCxn id="3" idx="2"/>
        </xdr:cNvCxnSpPr>
      </xdr:nvCxnSpPr>
      <xdr:spPr>
        <a:xfrm flipH="1" flipV="1">
          <a:off x="3363822" y="3245396"/>
          <a:ext cx="757328" cy="89942"/>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9525</xdr:colOff>
      <xdr:row>8</xdr:row>
      <xdr:rowOff>28575</xdr:rowOff>
    </xdr:from>
    <xdr:to>
      <xdr:col>2</xdr:col>
      <xdr:colOff>12397</xdr:colOff>
      <xdr:row>10</xdr:row>
      <xdr:rowOff>86271</xdr:rowOff>
    </xdr:to>
    <xdr:cxnSp macro="">
      <xdr:nvCxnSpPr>
        <xdr:cNvPr id="7" name="Connecteur droit avec flèche 6">
          <a:extLst>
            <a:ext uri="{FF2B5EF4-FFF2-40B4-BE49-F238E27FC236}">
              <a16:creationId xmlns:a16="http://schemas.microsoft.com/office/drawing/2014/main" id="{27653D01-CB8C-4DA2-9B73-6103628C589C}"/>
            </a:ext>
          </a:extLst>
        </xdr:cNvPr>
        <xdr:cNvCxnSpPr/>
      </xdr:nvCxnSpPr>
      <xdr:spPr>
        <a:xfrm flipH="1" flipV="1">
          <a:off x="854075" y="3273425"/>
          <a:ext cx="2872" cy="425996"/>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0</xdr:colOff>
      <xdr:row>6</xdr:row>
      <xdr:rowOff>76200</xdr:rowOff>
    </xdr:from>
    <xdr:to>
      <xdr:col>9</xdr:col>
      <xdr:colOff>152400</xdr:colOff>
      <xdr:row>6</xdr:row>
      <xdr:rowOff>466725</xdr:rowOff>
    </xdr:to>
    <xdr:sp macro="" textlink="">
      <xdr:nvSpPr>
        <xdr:cNvPr id="8" name="Ellipse 7">
          <a:extLst>
            <a:ext uri="{FF2B5EF4-FFF2-40B4-BE49-F238E27FC236}">
              <a16:creationId xmlns:a16="http://schemas.microsoft.com/office/drawing/2014/main" id="{DB4CED67-A4EF-4DA6-BE90-6F5F24F1DEEF}"/>
            </a:ext>
          </a:extLst>
        </xdr:cNvPr>
        <xdr:cNvSpPr/>
      </xdr:nvSpPr>
      <xdr:spPr>
        <a:xfrm>
          <a:off x="4121150" y="2368550"/>
          <a:ext cx="952500" cy="390525"/>
        </a:xfrm>
        <a:prstGeom prst="ellipse">
          <a:avLst/>
        </a:prstGeom>
        <a:no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a:defRPr lang="fr-F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fr-FR" sz="1050" b="1">
              <a:solidFill>
                <a:sysClr val="windowText" lastClr="000000"/>
              </a:solidFill>
            </a:rPr>
            <a:t>Modéré</a:t>
          </a:r>
        </a:p>
      </xdr:txBody>
    </xdr:sp>
    <xdr:clientData/>
  </xdr:twoCellAnchor>
  <xdr:twoCellAnchor>
    <xdr:from>
      <xdr:col>7</xdr:col>
      <xdr:colOff>28575</xdr:colOff>
      <xdr:row>6</xdr:row>
      <xdr:rowOff>266700</xdr:rowOff>
    </xdr:from>
    <xdr:to>
      <xdr:col>8</xdr:col>
      <xdr:colOff>1</xdr:colOff>
      <xdr:row>6</xdr:row>
      <xdr:rowOff>290514</xdr:rowOff>
    </xdr:to>
    <xdr:cxnSp macro="">
      <xdr:nvCxnSpPr>
        <xdr:cNvPr id="9" name="Connecteur droit avec flèche 8">
          <a:extLst>
            <a:ext uri="{FF2B5EF4-FFF2-40B4-BE49-F238E27FC236}">
              <a16:creationId xmlns:a16="http://schemas.microsoft.com/office/drawing/2014/main" id="{5B20677B-37F9-4C6F-A477-C36BF2C510FD}"/>
            </a:ext>
          </a:extLst>
        </xdr:cNvPr>
        <xdr:cNvCxnSpPr/>
      </xdr:nvCxnSpPr>
      <xdr:spPr>
        <a:xfrm flipH="1" flipV="1">
          <a:off x="3349625" y="2559050"/>
          <a:ext cx="771526" cy="23814"/>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9525</xdr:colOff>
      <xdr:row>5</xdr:row>
      <xdr:rowOff>12700</xdr:rowOff>
    </xdr:from>
    <xdr:to>
      <xdr:col>9</xdr:col>
      <xdr:colOff>161925</xdr:colOff>
      <xdr:row>5</xdr:row>
      <xdr:rowOff>403225</xdr:rowOff>
    </xdr:to>
    <xdr:sp macro="" textlink="">
      <xdr:nvSpPr>
        <xdr:cNvPr id="10" name="Ellipse 9">
          <a:extLst>
            <a:ext uri="{FF2B5EF4-FFF2-40B4-BE49-F238E27FC236}">
              <a16:creationId xmlns:a16="http://schemas.microsoft.com/office/drawing/2014/main" id="{EC0A6550-AB11-4475-8DF7-A35007D1F997}"/>
            </a:ext>
          </a:extLst>
        </xdr:cNvPr>
        <xdr:cNvSpPr/>
      </xdr:nvSpPr>
      <xdr:spPr>
        <a:xfrm>
          <a:off x="4130675" y="1828800"/>
          <a:ext cx="952500" cy="390525"/>
        </a:xfrm>
        <a:prstGeom prst="ellipse">
          <a:avLst/>
        </a:prstGeom>
        <a:no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a:defRPr lang="fr-F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fr-FR" sz="1050" b="1">
              <a:solidFill>
                <a:sysClr val="windowText" lastClr="000000"/>
              </a:solidFill>
            </a:rPr>
            <a:t>Elevé</a:t>
          </a:r>
        </a:p>
      </xdr:txBody>
    </xdr:sp>
    <xdr:clientData/>
  </xdr:twoCellAnchor>
  <xdr:twoCellAnchor>
    <xdr:from>
      <xdr:col>7</xdr:col>
      <xdr:colOff>38100</xdr:colOff>
      <xdr:row>5</xdr:row>
      <xdr:rowOff>203200</xdr:rowOff>
    </xdr:from>
    <xdr:to>
      <xdr:col>8</xdr:col>
      <xdr:colOff>9526</xdr:colOff>
      <xdr:row>5</xdr:row>
      <xdr:rowOff>227014</xdr:rowOff>
    </xdr:to>
    <xdr:cxnSp macro="">
      <xdr:nvCxnSpPr>
        <xdr:cNvPr id="11" name="Connecteur droit avec flèche 10">
          <a:extLst>
            <a:ext uri="{FF2B5EF4-FFF2-40B4-BE49-F238E27FC236}">
              <a16:creationId xmlns:a16="http://schemas.microsoft.com/office/drawing/2014/main" id="{76A06177-007A-4529-B52E-9845B2629128}"/>
            </a:ext>
          </a:extLst>
        </xdr:cNvPr>
        <xdr:cNvCxnSpPr/>
      </xdr:nvCxnSpPr>
      <xdr:spPr>
        <a:xfrm flipH="1" flipV="1">
          <a:off x="3359150" y="2019300"/>
          <a:ext cx="771526" cy="23814"/>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771525</xdr:colOff>
      <xdr:row>4</xdr:row>
      <xdr:rowOff>0</xdr:rowOff>
    </xdr:from>
    <xdr:to>
      <xdr:col>9</xdr:col>
      <xdr:colOff>123825</xdr:colOff>
      <xdr:row>4</xdr:row>
      <xdr:rowOff>390525</xdr:rowOff>
    </xdr:to>
    <xdr:sp macro="" textlink="">
      <xdr:nvSpPr>
        <xdr:cNvPr id="12" name="Ellipse 11">
          <a:extLst>
            <a:ext uri="{FF2B5EF4-FFF2-40B4-BE49-F238E27FC236}">
              <a16:creationId xmlns:a16="http://schemas.microsoft.com/office/drawing/2014/main" id="{44928067-6185-4F67-99F7-344194F69611}"/>
            </a:ext>
          </a:extLst>
        </xdr:cNvPr>
        <xdr:cNvSpPr/>
      </xdr:nvSpPr>
      <xdr:spPr>
        <a:xfrm>
          <a:off x="4092575" y="1339850"/>
          <a:ext cx="952500" cy="390525"/>
        </a:xfrm>
        <a:prstGeom prst="ellipse">
          <a:avLst/>
        </a:prstGeom>
        <a:no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a:defRPr lang="fr-F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fr-FR" sz="1050" b="1">
              <a:solidFill>
                <a:sysClr val="windowText" lastClr="000000"/>
              </a:solidFill>
            </a:rPr>
            <a:t>Très élevé</a:t>
          </a:r>
        </a:p>
      </xdr:txBody>
    </xdr:sp>
    <xdr:clientData/>
  </xdr:twoCellAnchor>
  <xdr:twoCellAnchor>
    <xdr:from>
      <xdr:col>7</xdr:col>
      <xdr:colOff>0</xdr:colOff>
      <xdr:row>4</xdr:row>
      <xdr:rowOff>190500</xdr:rowOff>
    </xdr:from>
    <xdr:to>
      <xdr:col>7</xdr:col>
      <xdr:colOff>771526</xdr:colOff>
      <xdr:row>4</xdr:row>
      <xdr:rowOff>214314</xdr:rowOff>
    </xdr:to>
    <xdr:cxnSp macro="">
      <xdr:nvCxnSpPr>
        <xdr:cNvPr id="13" name="Connecteur droit avec flèche 12">
          <a:extLst>
            <a:ext uri="{FF2B5EF4-FFF2-40B4-BE49-F238E27FC236}">
              <a16:creationId xmlns:a16="http://schemas.microsoft.com/office/drawing/2014/main" id="{B505507B-AF38-4606-AA58-DD22AB6763FC}"/>
            </a:ext>
          </a:extLst>
        </xdr:cNvPr>
        <xdr:cNvCxnSpPr/>
      </xdr:nvCxnSpPr>
      <xdr:spPr>
        <a:xfrm flipH="1" flipV="1">
          <a:off x="3321050" y="1530350"/>
          <a:ext cx="771526" cy="23814"/>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0</xdr:col>
      <xdr:colOff>0</xdr:colOff>
      <xdr:row>0</xdr:row>
      <xdr:rowOff>6350</xdr:rowOff>
    </xdr:from>
    <xdr:to>
      <xdr:col>1</xdr:col>
      <xdr:colOff>6350</xdr:colOff>
      <xdr:row>1</xdr:row>
      <xdr:rowOff>177094</xdr:rowOff>
    </xdr:to>
    <xdr:pic>
      <xdr:nvPicPr>
        <xdr:cNvPr id="14" name="Graphique 13" descr="Logement avec un remplissage uni">
          <a:hlinkClick xmlns:r="http://schemas.openxmlformats.org/officeDocument/2006/relationships" r:id="rId1"/>
          <a:extLst>
            <a:ext uri="{FF2B5EF4-FFF2-40B4-BE49-F238E27FC236}">
              <a16:creationId xmlns:a16="http://schemas.microsoft.com/office/drawing/2014/main" id="{C41DBF13-8571-47F6-9B36-67C99112C76B}"/>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0" y="6350"/>
          <a:ext cx="355600" cy="354894"/>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105481</xdr:colOff>
      <xdr:row>0</xdr:row>
      <xdr:rowOff>351719</xdr:rowOff>
    </xdr:to>
    <xdr:pic>
      <xdr:nvPicPr>
        <xdr:cNvPr id="2" name="Graphique 1" descr="Logement avec un remplissage uni">
          <a:hlinkClick xmlns:r="http://schemas.openxmlformats.org/officeDocument/2006/relationships" r:id="rId1"/>
          <a:extLst>
            <a:ext uri="{FF2B5EF4-FFF2-40B4-BE49-F238E27FC236}">
              <a16:creationId xmlns:a16="http://schemas.microsoft.com/office/drawing/2014/main" id="{A78667EB-F6C7-4E30-87DE-FCEFA00E82AA}"/>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0" y="0"/>
          <a:ext cx="355600" cy="354894"/>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63500</xdr:colOff>
      <xdr:row>0</xdr:row>
      <xdr:rowOff>0</xdr:rowOff>
    </xdr:from>
    <xdr:to>
      <xdr:col>1</xdr:col>
      <xdr:colOff>172156</xdr:colOff>
      <xdr:row>0</xdr:row>
      <xdr:rowOff>351719</xdr:rowOff>
    </xdr:to>
    <xdr:pic>
      <xdr:nvPicPr>
        <xdr:cNvPr id="3" name="Graphique 2" descr="Logement avec un remplissage uni">
          <a:hlinkClick xmlns:r="http://schemas.openxmlformats.org/officeDocument/2006/relationships" r:id="rId1"/>
          <a:extLst>
            <a:ext uri="{FF2B5EF4-FFF2-40B4-BE49-F238E27FC236}">
              <a16:creationId xmlns:a16="http://schemas.microsoft.com/office/drawing/2014/main" id="{DC7806FD-71A4-46AB-9FF0-883E12164CFA}"/>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63500" y="49389"/>
          <a:ext cx="355600" cy="354894"/>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73378</xdr:colOff>
      <xdr:row>0</xdr:row>
      <xdr:rowOff>351719</xdr:rowOff>
    </xdr:to>
    <xdr:pic>
      <xdr:nvPicPr>
        <xdr:cNvPr id="2" name="Graphique 1" descr="Logement avec un remplissage uni">
          <a:hlinkClick xmlns:r="http://schemas.openxmlformats.org/officeDocument/2006/relationships" r:id="rId1"/>
          <a:extLst>
            <a:ext uri="{FF2B5EF4-FFF2-40B4-BE49-F238E27FC236}">
              <a16:creationId xmlns:a16="http://schemas.microsoft.com/office/drawing/2014/main" id="{6E98AB44-3994-4D62-9C85-887AE48ADAA1}"/>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0" y="0"/>
          <a:ext cx="355600" cy="354894"/>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84666</xdr:colOff>
      <xdr:row>0</xdr:row>
      <xdr:rowOff>0</xdr:rowOff>
    </xdr:from>
    <xdr:to>
      <xdr:col>1</xdr:col>
      <xdr:colOff>165099</xdr:colOff>
      <xdr:row>0</xdr:row>
      <xdr:rowOff>354894</xdr:rowOff>
    </xdr:to>
    <xdr:pic>
      <xdr:nvPicPr>
        <xdr:cNvPr id="2" name="Graphique 1" descr="Logement avec un remplissage uni">
          <a:hlinkClick xmlns:r="http://schemas.openxmlformats.org/officeDocument/2006/relationships" r:id="rId1"/>
          <a:extLst>
            <a:ext uri="{FF2B5EF4-FFF2-40B4-BE49-F238E27FC236}">
              <a16:creationId xmlns:a16="http://schemas.microsoft.com/office/drawing/2014/main" id="{F5F7398B-D5A5-4E77-9663-5CFEB943124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4666" y="0"/>
          <a:ext cx="355600" cy="354894"/>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0</xdr:col>
      <xdr:colOff>148167</xdr:colOff>
      <xdr:row>0</xdr:row>
      <xdr:rowOff>0</xdr:rowOff>
    </xdr:from>
    <xdr:to>
      <xdr:col>1</xdr:col>
      <xdr:colOff>179211</xdr:colOff>
      <xdr:row>0</xdr:row>
      <xdr:rowOff>354894</xdr:rowOff>
    </xdr:to>
    <xdr:pic>
      <xdr:nvPicPr>
        <xdr:cNvPr id="2" name="Graphique 1" descr="Logement avec un remplissage uni">
          <a:hlinkClick xmlns:r="http://schemas.openxmlformats.org/officeDocument/2006/relationships" r:id="rId1"/>
          <a:extLst>
            <a:ext uri="{FF2B5EF4-FFF2-40B4-BE49-F238E27FC236}">
              <a16:creationId xmlns:a16="http://schemas.microsoft.com/office/drawing/2014/main" id="{C3D4EFA1-F891-46C0-9033-F8890EB28F25}"/>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148167" y="42333"/>
          <a:ext cx="355600" cy="354894"/>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101600</xdr:colOff>
      <xdr:row>0</xdr:row>
      <xdr:rowOff>354894</xdr:rowOff>
    </xdr:to>
    <xdr:pic>
      <xdr:nvPicPr>
        <xdr:cNvPr id="2" name="Graphique 1" descr="Logement avec un remplissage uni">
          <a:hlinkClick xmlns:r="http://schemas.openxmlformats.org/officeDocument/2006/relationships" r:id="rId1"/>
          <a:extLst>
            <a:ext uri="{FF2B5EF4-FFF2-40B4-BE49-F238E27FC236}">
              <a16:creationId xmlns:a16="http://schemas.microsoft.com/office/drawing/2014/main" id="{67F39EDD-C101-48F7-9ECC-195DE4F7A68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0" y="0"/>
          <a:ext cx="355600" cy="354894"/>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83608</xdr:colOff>
      <xdr:row>0</xdr:row>
      <xdr:rowOff>351719</xdr:rowOff>
    </xdr:to>
    <xdr:pic>
      <xdr:nvPicPr>
        <xdr:cNvPr id="2" name="Graphique 1" descr="Logement avec un remplissage uni">
          <a:hlinkClick xmlns:r="http://schemas.openxmlformats.org/officeDocument/2006/relationships" r:id="rId1"/>
          <a:extLst>
            <a:ext uri="{FF2B5EF4-FFF2-40B4-BE49-F238E27FC236}">
              <a16:creationId xmlns:a16="http://schemas.microsoft.com/office/drawing/2014/main" id="{DDB8A9F9-D096-46EB-822B-370B26546F3F}"/>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0" y="0"/>
          <a:ext cx="355600" cy="354894"/>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105481</xdr:colOff>
      <xdr:row>0</xdr:row>
      <xdr:rowOff>351719</xdr:rowOff>
    </xdr:to>
    <xdr:pic>
      <xdr:nvPicPr>
        <xdr:cNvPr id="2" name="Graphique 1" descr="Logement avec un remplissage uni">
          <a:hlinkClick xmlns:r="http://schemas.openxmlformats.org/officeDocument/2006/relationships" r:id="rId1"/>
          <a:extLst>
            <a:ext uri="{FF2B5EF4-FFF2-40B4-BE49-F238E27FC236}">
              <a16:creationId xmlns:a16="http://schemas.microsoft.com/office/drawing/2014/main" id="{E91035F8-41B8-4EE5-92EC-4226468982F6}"/>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0" y="0"/>
          <a:ext cx="355600" cy="354894"/>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122767</xdr:colOff>
      <xdr:row>0</xdr:row>
      <xdr:rowOff>354894</xdr:rowOff>
    </xdr:to>
    <xdr:pic>
      <xdr:nvPicPr>
        <xdr:cNvPr id="2" name="Graphique 1" descr="Logement avec un remplissage uni">
          <a:hlinkClick xmlns:r="http://schemas.openxmlformats.org/officeDocument/2006/relationships" r:id="rId1"/>
          <a:extLst>
            <a:ext uri="{FF2B5EF4-FFF2-40B4-BE49-F238E27FC236}">
              <a16:creationId xmlns:a16="http://schemas.microsoft.com/office/drawing/2014/main" id="{7B63F278-D69F-4365-9C6D-E915312C02AB}"/>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0" y="0"/>
          <a:ext cx="355600" cy="354894"/>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86783</xdr:colOff>
      <xdr:row>0</xdr:row>
      <xdr:rowOff>354894</xdr:rowOff>
    </xdr:to>
    <xdr:pic>
      <xdr:nvPicPr>
        <xdr:cNvPr id="2" name="Graphique 1" descr="Logement avec un remplissage uni">
          <a:hlinkClick xmlns:r="http://schemas.openxmlformats.org/officeDocument/2006/relationships" r:id="rId1"/>
          <a:extLst>
            <a:ext uri="{FF2B5EF4-FFF2-40B4-BE49-F238E27FC236}">
              <a16:creationId xmlns:a16="http://schemas.microsoft.com/office/drawing/2014/main" id="{0D411843-A24C-4417-8DD4-4352A421917A}"/>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0" y="0"/>
          <a:ext cx="355600" cy="354894"/>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0</xdr:col>
      <xdr:colOff>91723</xdr:colOff>
      <xdr:row>0</xdr:row>
      <xdr:rowOff>0</xdr:rowOff>
    </xdr:from>
    <xdr:to>
      <xdr:col>1</xdr:col>
      <xdr:colOff>172156</xdr:colOff>
      <xdr:row>0</xdr:row>
      <xdr:rowOff>354894</xdr:rowOff>
    </xdr:to>
    <xdr:pic>
      <xdr:nvPicPr>
        <xdr:cNvPr id="2" name="Graphique 1" descr="Logement avec un remplissage uni">
          <a:hlinkClick xmlns:r="http://schemas.openxmlformats.org/officeDocument/2006/relationships" r:id="rId1"/>
          <a:extLst>
            <a:ext uri="{FF2B5EF4-FFF2-40B4-BE49-F238E27FC236}">
              <a16:creationId xmlns:a16="http://schemas.microsoft.com/office/drawing/2014/main" id="{76608882-0A72-464E-900D-A58F26034BDC}"/>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91723" y="0"/>
          <a:ext cx="355600" cy="354894"/>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83608</xdr:colOff>
      <xdr:row>0</xdr:row>
      <xdr:rowOff>351719</xdr:rowOff>
    </xdr:to>
    <xdr:pic>
      <xdr:nvPicPr>
        <xdr:cNvPr id="2" name="Graphique 1" descr="Logement avec un remplissage uni">
          <a:hlinkClick xmlns:r="http://schemas.openxmlformats.org/officeDocument/2006/relationships" r:id="rId1"/>
          <a:extLst>
            <a:ext uri="{FF2B5EF4-FFF2-40B4-BE49-F238E27FC236}">
              <a16:creationId xmlns:a16="http://schemas.microsoft.com/office/drawing/2014/main" id="{13A895FF-CA9F-4793-9D72-2E1F01A004E2}"/>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0" y="0"/>
          <a:ext cx="355600" cy="354894"/>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0</xdr:col>
      <xdr:colOff>91723</xdr:colOff>
      <xdr:row>0</xdr:row>
      <xdr:rowOff>0</xdr:rowOff>
    </xdr:from>
    <xdr:to>
      <xdr:col>0</xdr:col>
      <xdr:colOff>445206</xdr:colOff>
      <xdr:row>0</xdr:row>
      <xdr:rowOff>342900</xdr:rowOff>
    </xdr:to>
    <xdr:pic>
      <xdr:nvPicPr>
        <xdr:cNvPr id="2" name="Graphique 1" descr="Logement avec un remplissage uni">
          <a:hlinkClick xmlns:r="http://schemas.openxmlformats.org/officeDocument/2006/relationships" r:id="rId1"/>
          <a:extLst>
            <a:ext uri="{FF2B5EF4-FFF2-40B4-BE49-F238E27FC236}">
              <a16:creationId xmlns:a16="http://schemas.microsoft.com/office/drawing/2014/main" id="{5FD30E94-981C-496C-9E69-CF7344796EF4}"/>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91723" y="0"/>
          <a:ext cx="353483" cy="34290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168981</xdr:colOff>
      <xdr:row>3</xdr:row>
      <xdr:rowOff>27869</xdr:rowOff>
    </xdr:to>
    <xdr:pic>
      <xdr:nvPicPr>
        <xdr:cNvPr id="2" name="Graphique 1" descr="Logement avec un remplissage uni">
          <a:hlinkClick xmlns:r="http://schemas.openxmlformats.org/officeDocument/2006/relationships" r:id="rId1"/>
          <a:extLst>
            <a:ext uri="{FF2B5EF4-FFF2-40B4-BE49-F238E27FC236}">
              <a16:creationId xmlns:a16="http://schemas.microsoft.com/office/drawing/2014/main" id="{472907EC-FF47-4D37-A6D9-BF5DBE8F21BA}"/>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0" y="0"/>
          <a:ext cx="353131" cy="554919"/>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355600</xdr:colOff>
      <xdr:row>0</xdr:row>
      <xdr:rowOff>354894</xdr:rowOff>
    </xdr:to>
    <xdr:pic>
      <xdr:nvPicPr>
        <xdr:cNvPr id="2" name="Graphique 1" descr="Logement avec un remplissage uni">
          <a:hlinkClick xmlns:r="http://schemas.openxmlformats.org/officeDocument/2006/relationships" r:id="rId1"/>
          <a:extLst>
            <a:ext uri="{FF2B5EF4-FFF2-40B4-BE49-F238E27FC236}">
              <a16:creationId xmlns:a16="http://schemas.microsoft.com/office/drawing/2014/main" id="{1C585E3C-4068-4F62-B327-C5D9164CC88F}"/>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0" y="0"/>
          <a:ext cx="355600" cy="354894"/>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352425</xdr:colOff>
      <xdr:row>0</xdr:row>
      <xdr:rowOff>351719</xdr:rowOff>
    </xdr:to>
    <xdr:pic>
      <xdr:nvPicPr>
        <xdr:cNvPr id="2" name="Graphique 1" descr="Logement avec un remplissage uni">
          <a:hlinkClick xmlns:r="http://schemas.openxmlformats.org/officeDocument/2006/relationships" r:id="rId1"/>
          <a:extLst>
            <a:ext uri="{FF2B5EF4-FFF2-40B4-BE49-F238E27FC236}">
              <a16:creationId xmlns:a16="http://schemas.microsoft.com/office/drawing/2014/main" id="{1F167AA2-4886-4C0A-9BD9-61F64E1CA78E}"/>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0" y="0"/>
          <a:ext cx="355600" cy="354894"/>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0</xdr:col>
      <xdr:colOff>63500</xdr:colOff>
      <xdr:row>0</xdr:row>
      <xdr:rowOff>49389</xdr:rowOff>
    </xdr:from>
    <xdr:to>
      <xdr:col>1</xdr:col>
      <xdr:colOff>172156</xdr:colOff>
      <xdr:row>2</xdr:row>
      <xdr:rowOff>35983</xdr:rowOff>
    </xdr:to>
    <xdr:pic>
      <xdr:nvPicPr>
        <xdr:cNvPr id="2" name="Graphique 1" descr="Logement avec un remplissage uni">
          <a:hlinkClick xmlns:r="http://schemas.openxmlformats.org/officeDocument/2006/relationships" r:id="rId1"/>
          <a:extLst>
            <a:ext uri="{FF2B5EF4-FFF2-40B4-BE49-F238E27FC236}">
              <a16:creationId xmlns:a16="http://schemas.microsoft.com/office/drawing/2014/main" id="{B2DD282A-89B3-4A7C-9AC3-E316F13BD644}"/>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63500" y="49389"/>
          <a:ext cx="356306" cy="354894"/>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355600</xdr:colOff>
      <xdr:row>0</xdr:row>
      <xdr:rowOff>354894</xdr:rowOff>
    </xdr:to>
    <xdr:pic>
      <xdr:nvPicPr>
        <xdr:cNvPr id="2" name="Graphique 1" descr="Logement avec un remplissage uni">
          <a:hlinkClick xmlns:r="http://schemas.openxmlformats.org/officeDocument/2006/relationships" r:id="rId1"/>
          <a:extLst>
            <a:ext uri="{FF2B5EF4-FFF2-40B4-BE49-F238E27FC236}">
              <a16:creationId xmlns:a16="http://schemas.microsoft.com/office/drawing/2014/main" id="{3590F3D2-90AA-4ACB-B1F5-43D8C533594A}"/>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0" y="0"/>
          <a:ext cx="355600" cy="354894"/>
        </a:xfrm>
        <a:prstGeom prst="rect">
          <a:avLst/>
        </a:prstGeom>
      </xdr:spPr>
    </xdr:pic>
    <xdr:clientData/>
  </xdr:twoCellAnchor>
</xdr:wsDr>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7.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0.xml"/><Relationship Id="rId1" Type="http://schemas.openxmlformats.org/officeDocument/2006/relationships/printerSettings" Target="../printerSettings/printerSettings9.bin"/><Relationship Id="rId4" Type="http://schemas.openxmlformats.org/officeDocument/2006/relationships/comments" Target="../comments1.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0.bin"/></Relationships>
</file>

<file path=xl/worksheets/_rels/sheet15.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12.xml"/><Relationship Id="rId1" Type="http://schemas.openxmlformats.org/officeDocument/2006/relationships/printerSettings" Target="../printerSettings/printerSettings11.bin"/><Relationship Id="rId4" Type="http://schemas.openxmlformats.org/officeDocument/2006/relationships/comments" Target="../comments2.xml"/></Relationships>
</file>

<file path=xl/worksheets/_rels/sheet16.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13.xml"/><Relationship Id="rId1" Type="http://schemas.openxmlformats.org/officeDocument/2006/relationships/printerSettings" Target="../printerSettings/printerSettings12.bin"/><Relationship Id="rId4" Type="http://schemas.openxmlformats.org/officeDocument/2006/relationships/comments" Target="../comments3.xml"/></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3.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4.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5.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21.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17.xml"/><Relationship Id="rId1" Type="http://schemas.openxmlformats.org/officeDocument/2006/relationships/printerSettings" Target="../printerSettings/printerSettings17.bin"/><Relationship Id="rId4" Type="http://schemas.openxmlformats.org/officeDocument/2006/relationships/comments" Target="../comments4.xml"/></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18.bin"/></Relationships>
</file>

<file path=xl/worksheets/_rels/sheet23.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19.xml"/><Relationship Id="rId1" Type="http://schemas.openxmlformats.org/officeDocument/2006/relationships/printerSettings" Target="../printerSettings/printerSettings19.bin"/><Relationship Id="rId4" Type="http://schemas.openxmlformats.org/officeDocument/2006/relationships/comments" Target="../comments5.xml"/></Relationships>
</file>

<file path=xl/worksheets/_rels/sheet24.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20.xml"/><Relationship Id="rId1" Type="http://schemas.openxmlformats.org/officeDocument/2006/relationships/printerSettings" Target="../printerSettings/printerSettings20.bin"/><Relationship Id="rId4" Type="http://schemas.openxmlformats.org/officeDocument/2006/relationships/comments" Target="../comments6.xml"/></Relationships>
</file>

<file path=xl/worksheets/_rels/sheet25.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21.xml"/><Relationship Id="rId1" Type="http://schemas.openxmlformats.org/officeDocument/2006/relationships/printerSettings" Target="../printerSettings/printerSettings21.bin"/><Relationship Id="rId4" Type="http://schemas.openxmlformats.org/officeDocument/2006/relationships/comments" Target="../comments7.xml"/></Relationships>
</file>

<file path=xl/worksheets/_rels/sheet26.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drawing" Target="../drawings/drawing22.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8.xml.rels><?xml version="1.0" encoding="UTF-8" standalone="yes"?>
<Relationships xmlns="http://schemas.openxmlformats.org/package/2006/relationships"><Relationship Id="rId2" Type="http://schemas.openxmlformats.org/officeDocument/2006/relationships/drawing" Target="../drawings/drawing24.xml"/><Relationship Id="rId1" Type="http://schemas.openxmlformats.org/officeDocument/2006/relationships/printerSettings" Target="../printerSettings/printerSettings22.bin"/></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25.xml"/><Relationship Id="rId1" Type="http://schemas.openxmlformats.org/officeDocument/2006/relationships/printerSettings" Target="../printerSettings/printerSettings23.bin"/></Relationships>
</file>

<file path=xl/worksheets/_rels/sheet30.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drawing" Target="../drawings/drawing26.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2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1"/>
  </sheetPr>
  <dimension ref="A2:M9"/>
  <sheetViews>
    <sheetView workbookViewId="0">
      <selection activeCell="K3" sqref="K3"/>
    </sheetView>
  </sheetViews>
  <sheetFormatPr baseColWidth="10" defaultColWidth="11.453125" defaultRowHeight="14.5"/>
  <cols>
    <col min="1" max="1" width="5" style="80" customWidth="1"/>
    <col min="2" max="7" width="7.08984375" style="81" customWidth="1"/>
    <col min="8" max="11" width="11.453125" style="81"/>
    <col min="12" max="12" width="11.453125" style="82"/>
    <col min="13" max="13" width="77.08984375" style="82" customWidth="1"/>
    <col min="14" max="16384" width="11.453125" style="81"/>
  </cols>
  <sheetData>
    <row r="2" spans="2:13" ht="16" thickBot="1">
      <c r="L2" s="90" t="s">
        <v>191</v>
      </c>
    </row>
    <row r="3" spans="2:13" ht="37.5" customHeight="1">
      <c r="B3" s="15">
        <v>6</v>
      </c>
      <c r="C3" s="84">
        <v>12</v>
      </c>
      <c r="D3" s="16">
        <v>18</v>
      </c>
      <c r="E3" s="16">
        <v>24</v>
      </c>
      <c r="F3" s="16">
        <v>30</v>
      </c>
      <c r="G3" s="17">
        <v>36</v>
      </c>
      <c r="L3" s="89" t="s">
        <v>188</v>
      </c>
      <c r="M3" s="88" t="s">
        <v>204</v>
      </c>
    </row>
    <row r="4" spans="2:13" ht="37.5" customHeight="1">
      <c r="B4" s="18">
        <v>5</v>
      </c>
      <c r="C4" s="19">
        <v>10</v>
      </c>
      <c r="D4" s="85">
        <v>15</v>
      </c>
      <c r="E4" s="20">
        <v>20</v>
      </c>
      <c r="F4" s="20">
        <v>25</v>
      </c>
      <c r="G4" s="21">
        <v>30</v>
      </c>
      <c r="L4" s="89" t="s">
        <v>194</v>
      </c>
      <c r="M4" s="88" t="s">
        <v>203</v>
      </c>
    </row>
    <row r="5" spans="2:13" ht="37.5" customHeight="1">
      <c r="B5" s="22">
        <v>4</v>
      </c>
      <c r="C5" s="19">
        <v>8</v>
      </c>
      <c r="D5" s="85">
        <v>12</v>
      </c>
      <c r="E5" s="85">
        <v>16</v>
      </c>
      <c r="F5" s="20">
        <v>20</v>
      </c>
      <c r="G5" s="21">
        <v>24</v>
      </c>
      <c r="L5" s="89" t="s">
        <v>195</v>
      </c>
      <c r="M5" s="88" t="s">
        <v>199</v>
      </c>
    </row>
    <row r="6" spans="2:13" ht="37.5" customHeight="1">
      <c r="B6" s="22">
        <v>3</v>
      </c>
      <c r="C6" s="19">
        <v>6</v>
      </c>
      <c r="D6" s="19">
        <v>9</v>
      </c>
      <c r="E6" s="85">
        <v>12</v>
      </c>
      <c r="F6" s="85">
        <v>15</v>
      </c>
      <c r="G6" s="21">
        <v>18</v>
      </c>
      <c r="L6" s="89" t="s">
        <v>196</v>
      </c>
      <c r="M6" s="87" t="s">
        <v>201</v>
      </c>
    </row>
    <row r="7" spans="2:13" ht="37.5" customHeight="1">
      <c r="B7" s="22">
        <v>2</v>
      </c>
      <c r="C7" s="23">
        <v>4</v>
      </c>
      <c r="D7" s="19">
        <v>6</v>
      </c>
      <c r="E7" s="19">
        <v>8</v>
      </c>
      <c r="F7" s="19">
        <v>10</v>
      </c>
      <c r="G7" s="86">
        <v>12</v>
      </c>
      <c r="M7" s="82" t="s">
        <v>200</v>
      </c>
    </row>
    <row r="8" spans="2:13" ht="37.5" customHeight="1" thickBot="1">
      <c r="B8" s="24">
        <v>1</v>
      </c>
      <c r="C8" s="25">
        <v>2</v>
      </c>
      <c r="D8" s="25">
        <v>3</v>
      </c>
      <c r="E8" s="25">
        <v>4</v>
      </c>
      <c r="F8" s="26">
        <v>5</v>
      </c>
      <c r="G8" s="27">
        <v>6</v>
      </c>
    </row>
    <row r="9" spans="2:13">
      <c r="B9" s="83"/>
      <c r="C9" s="83"/>
      <c r="D9" s="83"/>
      <c r="E9" s="83"/>
      <c r="F9" s="83"/>
      <c r="G9" s="83"/>
    </row>
  </sheetData>
  <pageMargins left="0.7" right="0.7" top="0.75" bottom="0.75" header="0.3" footer="0.3"/>
  <pageSetup paperSize="9" orientation="portrait" verticalDpi="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0000"/>
  </sheetPr>
  <dimension ref="A2:I44"/>
  <sheetViews>
    <sheetView topLeftCell="A2" zoomScaleNormal="100" workbookViewId="0">
      <selection activeCell="E9" sqref="E9"/>
    </sheetView>
  </sheetViews>
  <sheetFormatPr baseColWidth="10" defaultColWidth="11.453125" defaultRowHeight="11.5"/>
  <cols>
    <col min="1" max="1" width="3.36328125" style="120" bestFit="1" customWidth="1"/>
    <col min="2" max="2" width="14" style="121" customWidth="1"/>
    <col min="3" max="3" width="6.08984375" style="122" customWidth="1"/>
    <col min="4" max="4" width="26.453125" style="123" customWidth="1"/>
    <col min="5" max="5" width="84.08984375" style="124" customWidth="1"/>
    <col min="6" max="7" width="7.6328125" style="92" customWidth="1"/>
    <col min="8" max="8" width="12.6328125" style="98" customWidth="1"/>
    <col min="9" max="9" width="11.453125" style="119"/>
    <col min="10" max="16384" width="11.453125" style="98"/>
  </cols>
  <sheetData>
    <row r="2" spans="1:9" s="92" customFormat="1" ht="25.5" customHeight="1">
      <c r="A2" s="525" t="s">
        <v>71</v>
      </c>
      <c r="B2" s="526" t="s">
        <v>72</v>
      </c>
      <c r="C2" s="527" t="s">
        <v>73</v>
      </c>
      <c r="D2" s="525" t="s">
        <v>74</v>
      </c>
      <c r="E2" s="526" t="s">
        <v>158</v>
      </c>
      <c r="F2" s="91" t="s">
        <v>2</v>
      </c>
      <c r="G2" s="91" t="s">
        <v>3</v>
      </c>
      <c r="H2" s="91" t="s">
        <v>77</v>
      </c>
      <c r="I2" s="523" t="s">
        <v>211</v>
      </c>
    </row>
    <row r="3" spans="1:9" s="92" customFormat="1" ht="27" customHeight="1">
      <c r="A3" s="525"/>
      <c r="B3" s="526"/>
      <c r="C3" s="527"/>
      <c r="D3" s="525"/>
      <c r="E3" s="526"/>
      <c r="F3" s="91" t="s">
        <v>0</v>
      </c>
      <c r="G3" s="91" t="s">
        <v>1</v>
      </c>
      <c r="H3" s="91" t="s">
        <v>4</v>
      </c>
      <c r="I3" s="524"/>
    </row>
    <row r="4" spans="1:9" ht="46">
      <c r="A4" s="516">
        <v>1</v>
      </c>
      <c r="B4" s="517" t="s">
        <v>38</v>
      </c>
      <c r="C4" s="522">
        <v>0.2</v>
      </c>
      <c r="D4" s="93" t="s">
        <v>97</v>
      </c>
      <c r="E4" s="94" t="s">
        <v>170</v>
      </c>
      <c r="F4" s="95">
        <v>4</v>
      </c>
      <c r="G4" s="95">
        <v>5</v>
      </c>
      <c r="H4" s="96">
        <f>+F4*G4</f>
        <v>20</v>
      </c>
      <c r="I4" s="97" t="s">
        <v>192</v>
      </c>
    </row>
    <row r="5" spans="1:9" ht="80.5">
      <c r="A5" s="516"/>
      <c r="B5" s="517"/>
      <c r="C5" s="522"/>
      <c r="D5" s="93" t="s">
        <v>29</v>
      </c>
      <c r="E5" s="94" t="s">
        <v>166</v>
      </c>
      <c r="F5" s="95">
        <v>5</v>
      </c>
      <c r="G5" s="95">
        <v>5</v>
      </c>
      <c r="H5" s="96">
        <f t="shared" ref="H5:H39" si="0">+F5*G5</f>
        <v>25</v>
      </c>
      <c r="I5" s="97" t="s">
        <v>192</v>
      </c>
    </row>
    <row r="6" spans="1:9" ht="34.5">
      <c r="A6" s="516"/>
      <c r="B6" s="517"/>
      <c r="C6" s="522"/>
      <c r="D6" s="93" t="s">
        <v>30</v>
      </c>
      <c r="E6" s="94" t="s">
        <v>202</v>
      </c>
      <c r="F6" s="95">
        <v>4</v>
      </c>
      <c r="G6" s="95">
        <v>4</v>
      </c>
      <c r="H6" s="96">
        <f t="shared" si="0"/>
        <v>16</v>
      </c>
      <c r="I6" s="99" t="s">
        <v>210</v>
      </c>
    </row>
    <row r="7" spans="1:9">
      <c r="A7" s="516"/>
      <c r="B7" s="517"/>
      <c r="C7" s="522"/>
      <c r="D7" s="93" t="s">
        <v>31</v>
      </c>
      <c r="E7" s="93" t="s">
        <v>164</v>
      </c>
      <c r="F7" s="95">
        <v>5</v>
      </c>
      <c r="G7" s="95">
        <v>5</v>
      </c>
      <c r="H7" s="96">
        <f t="shared" si="0"/>
        <v>25</v>
      </c>
      <c r="I7" s="97" t="s">
        <v>192</v>
      </c>
    </row>
    <row r="8" spans="1:9" s="92" customFormat="1">
      <c r="A8" s="516"/>
      <c r="B8" s="517"/>
      <c r="C8" s="522"/>
      <c r="D8" s="100" t="s">
        <v>151</v>
      </c>
      <c r="E8" s="101"/>
      <c r="F8" s="102">
        <f>+ROUND(IFERROR(AVERAGE(F4:F7),0),0)</f>
        <v>5</v>
      </c>
      <c r="G8" s="102">
        <f>+ROUND(IFERROR(AVERAGE(G4:G7),0),0)</f>
        <v>5</v>
      </c>
      <c r="H8" s="103">
        <f>+F8*G8</f>
        <v>25</v>
      </c>
      <c r="I8" s="97" t="s">
        <v>192</v>
      </c>
    </row>
    <row r="9" spans="1:9" ht="73.5" customHeight="1">
      <c r="A9" s="516">
        <v>2</v>
      </c>
      <c r="B9" s="517" t="s">
        <v>167</v>
      </c>
      <c r="C9" s="522">
        <v>0.2</v>
      </c>
      <c r="D9" s="93" t="s">
        <v>163</v>
      </c>
      <c r="E9" s="104" t="s">
        <v>165</v>
      </c>
      <c r="F9" s="95">
        <v>5</v>
      </c>
      <c r="G9" s="95">
        <v>5</v>
      </c>
      <c r="H9" s="96">
        <f t="shared" si="0"/>
        <v>25</v>
      </c>
      <c r="I9" s="97" t="s">
        <v>192</v>
      </c>
    </row>
    <row r="10" spans="1:9" ht="22.5" customHeight="1">
      <c r="A10" s="516"/>
      <c r="B10" s="517"/>
      <c r="C10" s="522"/>
      <c r="D10" s="93" t="s">
        <v>26</v>
      </c>
      <c r="E10" s="105" t="s">
        <v>107</v>
      </c>
      <c r="F10" s="95">
        <v>5</v>
      </c>
      <c r="G10" s="95">
        <v>5</v>
      </c>
      <c r="H10" s="96">
        <f t="shared" si="0"/>
        <v>25</v>
      </c>
      <c r="I10" s="97" t="s">
        <v>192</v>
      </c>
    </row>
    <row r="11" spans="1:9" s="92" customFormat="1">
      <c r="A11" s="516"/>
      <c r="B11" s="517"/>
      <c r="C11" s="522"/>
      <c r="D11" s="100" t="s">
        <v>150</v>
      </c>
      <c r="E11" s="101"/>
      <c r="F11" s="102">
        <f>+ROUND(IFERROR(AVERAGE(F9:F10),0),0)</f>
        <v>5</v>
      </c>
      <c r="G11" s="102">
        <f>+ROUND(IFERROR(AVERAGE(G9:G10),0),0)</f>
        <v>5</v>
      </c>
      <c r="H11" s="103">
        <f t="shared" si="0"/>
        <v>25</v>
      </c>
      <c r="I11" s="97" t="s">
        <v>192</v>
      </c>
    </row>
    <row r="12" spans="1:9">
      <c r="A12" s="516">
        <v>3</v>
      </c>
      <c r="B12" s="517" t="s">
        <v>34</v>
      </c>
      <c r="C12" s="522">
        <v>0.15</v>
      </c>
      <c r="D12" s="93" t="s">
        <v>41</v>
      </c>
      <c r="E12" s="105" t="s">
        <v>84</v>
      </c>
      <c r="F12" s="95">
        <v>5</v>
      </c>
      <c r="G12" s="95">
        <v>4</v>
      </c>
      <c r="H12" s="96">
        <f t="shared" si="0"/>
        <v>20</v>
      </c>
      <c r="I12" s="97" t="s">
        <v>192</v>
      </c>
    </row>
    <row r="13" spans="1:9" ht="23">
      <c r="A13" s="516"/>
      <c r="B13" s="517"/>
      <c r="C13" s="522"/>
      <c r="D13" s="93" t="s">
        <v>10</v>
      </c>
      <c r="E13" s="105" t="s">
        <v>86</v>
      </c>
      <c r="F13" s="95">
        <v>4</v>
      </c>
      <c r="G13" s="95">
        <v>3</v>
      </c>
      <c r="H13" s="96">
        <f t="shared" si="0"/>
        <v>12</v>
      </c>
      <c r="I13" s="99" t="s">
        <v>210</v>
      </c>
    </row>
    <row r="14" spans="1:9" ht="23">
      <c r="A14" s="516"/>
      <c r="B14" s="517"/>
      <c r="C14" s="522"/>
      <c r="D14" s="93" t="s">
        <v>42</v>
      </c>
      <c r="E14" s="105" t="s">
        <v>168</v>
      </c>
      <c r="F14" s="95">
        <v>4</v>
      </c>
      <c r="G14" s="95">
        <v>3</v>
      </c>
      <c r="H14" s="96">
        <f t="shared" si="0"/>
        <v>12</v>
      </c>
      <c r="I14" s="99" t="s">
        <v>210</v>
      </c>
    </row>
    <row r="15" spans="1:9" ht="23">
      <c r="A15" s="516"/>
      <c r="B15" s="517"/>
      <c r="C15" s="522"/>
      <c r="D15" s="93" t="s">
        <v>11</v>
      </c>
      <c r="E15" s="94" t="s">
        <v>169</v>
      </c>
      <c r="F15" s="95">
        <v>4</v>
      </c>
      <c r="G15" s="95">
        <v>5</v>
      </c>
      <c r="H15" s="96">
        <f t="shared" si="0"/>
        <v>20</v>
      </c>
      <c r="I15" s="97" t="s">
        <v>192</v>
      </c>
    </row>
    <row r="16" spans="1:9" s="92" customFormat="1">
      <c r="A16" s="516"/>
      <c r="B16" s="517"/>
      <c r="C16" s="522"/>
      <c r="D16" s="100" t="s">
        <v>153</v>
      </c>
      <c r="E16" s="101"/>
      <c r="F16" s="102">
        <f>+ROUND(IFERROR(AVERAGE(F12:F15),0),0)</f>
        <v>4</v>
      </c>
      <c r="G16" s="102">
        <f>+ROUND(IFERROR(AVERAGE(G12:G15),0),0)</f>
        <v>4</v>
      </c>
      <c r="H16" s="103">
        <f t="shared" si="0"/>
        <v>16</v>
      </c>
      <c r="I16" s="99" t="s">
        <v>210</v>
      </c>
    </row>
    <row r="17" spans="1:9" ht="57.5">
      <c r="A17" s="516">
        <v>4</v>
      </c>
      <c r="B17" s="517" t="s">
        <v>39</v>
      </c>
      <c r="C17" s="522">
        <v>0.15</v>
      </c>
      <c r="D17" s="106" t="s">
        <v>40</v>
      </c>
      <c r="E17" s="107" t="s">
        <v>171</v>
      </c>
      <c r="F17" s="95">
        <v>4</v>
      </c>
      <c r="G17" s="95">
        <v>4</v>
      </c>
      <c r="H17" s="96">
        <f t="shared" si="0"/>
        <v>16</v>
      </c>
      <c r="I17" s="99" t="s">
        <v>210</v>
      </c>
    </row>
    <row r="18" spans="1:9" ht="80.5">
      <c r="A18" s="516"/>
      <c r="B18" s="517"/>
      <c r="C18" s="522"/>
      <c r="D18" s="106" t="s">
        <v>32</v>
      </c>
      <c r="E18" s="107" t="s">
        <v>173</v>
      </c>
      <c r="F18" s="95">
        <v>4</v>
      </c>
      <c r="G18" s="95">
        <v>4</v>
      </c>
      <c r="H18" s="96">
        <f t="shared" si="0"/>
        <v>16</v>
      </c>
      <c r="I18" s="99" t="s">
        <v>210</v>
      </c>
    </row>
    <row r="19" spans="1:9" s="92" customFormat="1">
      <c r="A19" s="516"/>
      <c r="B19" s="517"/>
      <c r="C19" s="522"/>
      <c r="D19" s="100" t="s">
        <v>154</v>
      </c>
      <c r="E19" s="101"/>
      <c r="F19" s="102">
        <f>+ROUND(IFERROR(AVERAGE(F17:F18),0),0)</f>
        <v>4</v>
      </c>
      <c r="G19" s="102">
        <f>+ROUND(IFERROR(AVERAGE(G17:G18),0),0)</f>
        <v>4</v>
      </c>
      <c r="H19" s="103">
        <f t="shared" si="0"/>
        <v>16</v>
      </c>
      <c r="I19" s="99" t="s">
        <v>210</v>
      </c>
    </row>
    <row r="20" spans="1:9" ht="57.5">
      <c r="A20" s="516">
        <v>5</v>
      </c>
      <c r="B20" s="517" t="s">
        <v>36</v>
      </c>
      <c r="C20" s="522">
        <v>0.15</v>
      </c>
      <c r="D20" s="108" t="s">
        <v>172</v>
      </c>
      <c r="E20" s="104" t="s">
        <v>174</v>
      </c>
      <c r="F20" s="95">
        <v>5</v>
      </c>
      <c r="G20" s="95">
        <v>5</v>
      </c>
      <c r="H20" s="96">
        <f t="shared" si="0"/>
        <v>25</v>
      </c>
      <c r="I20" s="97" t="s">
        <v>192</v>
      </c>
    </row>
    <row r="21" spans="1:9" ht="46">
      <c r="A21" s="516"/>
      <c r="B21" s="517"/>
      <c r="C21" s="522"/>
      <c r="D21" s="93" t="s">
        <v>113</v>
      </c>
      <c r="E21" s="104" t="s">
        <v>198</v>
      </c>
      <c r="F21" s="95">
        <v>4</v>
      </c>
      <c r="G21" s="95">
        <v>2</v>
      </c>
      <c r="H21" s="96">
        <f t="shared" si="0"/>
        <v>8</v>
      </c>
      <c r="I21" s="109" t="s">
        <v>189</v>
      </c>
    </row>
    <row r="22" spans="1:9" ht="34.5">
      <c r="A22" s="516"/>
      <c r="B22" s="517"/>
      <c r="C22" s="522"/>
      <c r="D22" s="108" t="s">
        <v>17</v>
      </c>
      <c r="E22" s="104" t="s">
        <v>187</v>
      </c>
      <c r="F22" s="95">
        <v>4</v>
      </c>
      <c r="G22" s="95">
        <v>3</v>
      </c>
      <c r="H22" s="96">
        <f t="shared" si="0"/>
        <v>12</v>
      </c>
      <c r="I22" s="99" t="s">
        <v>210</v>
      </c>
    </row>
    <row r="23" spans="1:9">
      <c r="A23" s="516"/>
      <c r="B23" s="517"/>
      <c r="C23" s="522"/>
      <c r="D23" s="108" t="s">
        <v>18</v>
      </c>
      <c r="E23" s="105" t="s">
        <v>175</v>
      </c>
      <c r="F23" s="95">
        <v>5</v>
      </c>
      <c r="G23" s="95">
        <v>3</v>
      </c>
      <c r="H23" s="96">
        <f t="shared" si="0"/>
        <v>15</v>
      </c>
      <c r="I23" s="99" t="s">
        <v>210</v>
      </c>
    </row>
    <row r="24" spans="1:9" s="92" customFormat="1">
      <c r="A24" s="516"/>
      <c r="B24" s="517"/>
      <c r="C24" s="522"/>
      <c r="D24" s="100" t="s">
        <v>152</v>
      </c>
      <c r="E24" s="101"/>
      <c r="F24" s="102">
        <f>+ROUND(IFERROR(AVERAGE(F20:F23),0),0)</f>
        <v>5</v>
      </c>
      <c r="G24" s="102">
        <f>+ROUND(IFERROR(AVERAGE(G20:G23),0),0)</f>
        <v>3</v>
      </c>
      <c r="H24" s="103">
        <f t="shared" si="0"/>
        <v>15</v>
      </c>
      <c r="I24" s="99" t="s">
        <v>210</v>
      </c>
    </row>
    <row r="25" spans="1:9" ht="46">
      <c r="A25" s="516">
        <v>6</v>
      </c>
      <c r="B25" s="517" t="s">
        <v>207</v>
      </c>
      <c r="C25" s="522">
        <v>0.05</v>
      </c>
      <c r="D25" s="108" t="s">
        <v>157</v>
      </c>
      <c r="E25" s="104" t="s">
        <v>176</v>
      </c>
      <c r="F25" s="95">
        <v>4</v>
      </c>
      <c r="G25" s="95">
        <v>4</v>
      </c>
      <c r="H25" s="96">
        <f t="shared" si="0"/>
        <v>16</v>
      </c>
      <c r="I25" s="99" t="s">
        <v>210</v>
      </c>
    </row>
    <row r="26" spans="1:9" ht="80.5">
      <c r="A26" s="516"/>
      <c r="B26" s="517"/>
      <c r="C26" s="522"/>
      <c r="D26" s="93" t="s">
        <v>161</v>
      </c>
      <c r="E26" s="104" t="s">
        <v>177</v>
      </c>
      <c r="F26" s="95">
        <v>4</v>
      </c>
      <c r="G26" s="95">
        <v>4</v>
      </c>
      <c r="H26" s="96">
        <f t="shared" si="0"/>
        <v>16</v>
      </c>
      <c r="I26" s="99" t="s">
        <v>210</v>
      </c>
    </row>
    <row r="27" spans="1:9" s="92" customFormat="1">
      <c r="A27" s="516"/>
      <c r="B27" s="517"/>
      <c r="C27" s="522"/>
      <c r="D27" s="100" t="s">
        <v>162</v>
      </c>
      <c r="E27" s="101"/>
      <c r="F27" s="102">
        <f>+ROUND(IFERROR(AVERAGE(F25:F26),0),0)</f>
        <v>4</v>
      </c>
      <c r="G27" s="102">
        <f>+ROUND(IFERROR(AVERAGE(G25:G26),0),0)</f>
        <v>4</v>
      </c>
      <c r="H27" s="103">
        <f t="shared" si="0"/>
        <v>16</v>
      </c>
      <c r="I27" s="99" t="s">
        <v>210</v>
      </c>
    </row>
    <row r="28" spans="1:9" ht="34.5">
      <c r="A28" s="516">
        <v>7</v>
      </c>
      <c r="B28" s="517" t="s">
        <v>37</v>
      </c>
      <c r="C28" s="522">
        <v>0.05</v>
      </c>
      <c r="D28" s="108" t="s">
        <v>19</v>
      </c>
      <c r="E28" s="105" t="s">
        <v>141</v>
      </c>
      <c r="F28" s="95">
        <v>3</v>
      </c>
      <c r="G28" s="95">
        <v>3</v>
      </c>
      <c r="H28" s="96">
        <f t="shared" si="0"/>
        <v>9</v>
      </c>
      <c r="I28" s="109" t="s">
        <v>189</v>
      </c>
    </row>
    <row r="29" spans="1:9" ht="23">
      <c r="A29" s="516"/>
      <c r="B29" s="517"/>
      <c r="C29" s="522"/>
      <c r="D29" s="93" t="s">
        <v>20</v>
      </c>
      <c r="E29" s="105" t="s">
        <v>142</v>
      </c>
      <c r="F29" s="95">
        <v>5</v>
      </c>
      <c r="G29" s="95">
        <v>2</v>
      </c>
      <c r="H29" s="96">
        <f t="shared" si="0"/>
        <v>10</v>
      </c>
      <c r="I29" s="109" t="s">
        <v>189</v>
      </c>
    </row>
    <row r="30" spans="1:9" ht="57.5">
      <c r="A30" s="516"/>
      <c r="B30" s="517"/>
      <c r="C30" s="522"/>
      <c r="D30" s="108" t="s">
        <v>21</v>
      </c>
      <c r="E30" s="105" t="s">
        <v>178</v>
      </c>
      <c r="F30" s="95">
        <v>3</v>
      </c>
      <c r="G30" s="95">
        <v>2</v>
      </c>
      <c r="H30" s="96">
        <f t="shared" si="0"/>
        <v>6</v>
      </c>
      <c r="I30" s="109" t="s">
        <v>189</v>
      </c>
    </row>
    <row r="31" spans="1:9" ht="46">
      <c r="A31" s="516"/>
      <c r="B31" s="517"/>
      <c r="C31" s="522"/>
      <c r="D31" s="93" t="s">
        <v>179</v>
      </c>
      <c r="E31" s="105" t="s">
        <v>180</v>
      </c>
      <c r="F31" s="95">
        <v>3</v>
      </c>
      <c r="G31" s="95">
        <v>2</v>
      </c>
      <c r="H31" s="96">
        <f t="shared" si="0"/>
        <v>6</v>
      </c>
      <c r="I31" s="109" t="s">
        <v>189</v>
      </c>
    </row>
    <row r="32" spans="1:9" s="92" customFormat="1">
      <c r="A32" s="516"/>
      <c r="B32" s="517"/>
      <c r="C32" s="522"/>
      <c r="D32" s="100" t="s">
        <v>160</v>
      </c>
      <c r="E32" s="101"/>
      <c r="F32" s="102">
        <f>+ROUND(IFERROR(AVERAGE(F28:F31),0),0)</f>
        <v>4</v>
      </c>
      <c r="G32" s="102">
        <f>+ROUND(IFERROR(AVERAGE(G28:G31),0),0)</f>
        <v>2</v>
      </c>
      <c r="H32" s="103">
        <f t="shared" si="0"/>
        <v>8</v>
      </c>
      <c r="I32" s="109" t="s">
        <v>189</v>
      </c>
    </row>
    <row r="33" spans="1:9" ht="34.5">
      <c r="A33" s="516">
        <v>8</v>
      </c>
      <c r="B33" s="517" t="s">
        <v>35</v>
      </c>
      <c r="C33" s="518">
        <v>2.5000000000000001E-2</v>
      </c>
      <c r="D33" s="93" t="s">
        <v>14</v>
      </c>
      <c r="E33" s="104" t="s">
        <v>181</v>
      </c>
      <c r="F33" s="95">
        <v>4</v>
      </c>
      <c r="G33" s="95">
        <v>3</v>
      </c>
      <c r="H33" s="96">
        <f t="shared" si="0"/>
        <v>12</v>
      </c>
      <c r="I33" s="99" t="s">
        <v>210</v>
      </c>
    </row>
    <row r="34" spans="1:9" ht="92">
      <c r="A34" s="516"/>
      <c r="B34" s="517"/>
      <c r="C34" s="518"/>
      <c r="D34" s="93" t="s">
        <v>133</v>
      </c>
      <c r="E34" s="104" t="s">
        <v>182</v>
      </c>
      <c r="F34" s="95">
        <v>4</v>
      </c>
      <c r="G34" s="95">
        <v>3</v>
      </c>
      <c r="H34" s="96">
        <f t="shared" si="0"/>
        <v>12</v>
      </c>
      <c r="I34" s="99" t="s">
        <v>210</v>
      </c>
    </row>
    <row r="35" spans="1:9" ht="34.5">
      <c r="A35" s="516"/>
      <c r="B35" s="517"/>
      <c r="C35" s="518"/>
      <c r="D35" s="93" t="s">
        <v>138</v>
      </c>
      <c r="E35" s="104" t="s">
        <v>183</v>
      </c>
      <c r="F35" s="95">
        <v>3</v>
      </c>
      <c r="G35" s="95">
        <v>4</v>
      </c>
      <c r="H35" s="96">
        <f t="shared" si="0"/>
        <v>12</v>
      </c>
      <c r="I35" s="99" t="s">
        <v>210</v>
      </c>
    </row>
    <row r="36" spans="1:9" s="92" customFormat="1">
      <c r="A36" s="516"/>
      <c r="B36" s="517"/>
      <c r="C36" s="518"/>
      <c r="D36" s="100" t="s">
        <v>159</v>
      </c>
      <c r="E36" s="101"/>
      <c r="F36" s="102">
        <f>+ROUND(IFERROR(AVERAGE(F33:F35),0),0)</f>
        <v>4</v>
      </c>
      <c r="G36" s="102">
        <f>+ROUND(IFERROR(AVERAGE(G33:G35),0),0)</f>
        <v>3</v>
      </c>
      <c r="H36" s="103">
        <f t="shared" si="0"/>
        <v>12</v>
      </c>
      <c r="I36" s="99" t="s">
        <v>210</v>
      </c>
    </row>
    <row r="37" spans="1:9" ht="34.5">
      <c r="A37" s="516">
        <v>9</v>
      </c>
      <c r="B37" s="517" t="s">
        <v>33</v>
      </c>
      <c r="C37" s="518">
        <v>2.5000000000000001E-2</v>
      </c>
      <c r="D37" s="93" t="s">
        <v>6</v>
      </c>
      <c r="E37" s="94" t="s">
        <v>186</v>
      </c>
      <c r="F37" s="95">
        <v>3</v>
      </c>
      <c r="G37" s="95">
        <v>3</v>
      </c>
      <c r="H37" s="96">
        <f t="shared" si="0"/>
        <v>9</v>
      </c>
      <c r="I37" s="109" t="s">
        <v>189</v>
      </c>
    </row>
    <row r="38" spans="1:9" ht="23">
      <c r="A38" s="516"/>
      <c r="B38" s="517"/>
      <c r="C38" s="518"/>
      <c r="D38" s="93" t="s">
        <v>7</v>
      </c>
      <c r="E38" s="94" t="s">
        <v>184</v>
      </c>
      <c r="F38" s="95">
        <v>3</v>
      </c>
      <c r="G38" s="95">
        <v>3</v>
      </c>
      <c r="H38" s="96">
        <f t="shared" si="0"/>
        <v>9</v>
      </c>
      <c r="I38" s="109" t="s">
        <v>189</v>
      </c>
    </row>
    <row r="39" spans="1:9" ht="23">
      <c r="A39" s="516"/>
      <c r="B39" s="517"/>
      <c r="C39" s="518"/>
      <c r="D39" s="93" t="s">
        <v>8</v>
      </c>
      <c r="E39" s="105" t="s">
        <v>185</v>
      </c>
      <c r="F39" s="95">
        <v>3</v>
      </c>
      <c r="G39" s="95">
        <v>3</v>
      </c>
      <c r="H39" s="96">
        <f t="shared" si="0"/>
        <v>9</v>
      </c>
      <c r="I39" s="109" t="s">
        <v>189</v>
      </c>
    </row>
    <row r="40" spans="1:9" s="92" customFormat="1">
      <c r="A40" s="516"/>
      <c r="B40" s="517"/>
      <c r="C40" s="518"/>
      <c r="D40" s="100" t="s">
        <v>155</v>
      </c>
      <c r="E40" s="101"/>
      <c r="F40" s="102">
        <f>+ROUND(IFERROR(AVERAGE(F37:F39),0),0)</f>
        <v>3</v>
      </c>
      <c r="G40" s="102">
        <f>+ROUND(IFERROR(AVERAGE(G37:G39),0),0)</f>
        <v>3</v>
      </c>
      <c r="H40" s="103">
        <f>+F40*G40</f>
        <v>9</v>
      </c>
      <c r="I40" s="109" t="s">
        <v>189</v>
      </c>
    </row>
    <row r="42" spans="1:9" ht="23.25" customHeight="1">
      <c r="A42" s="519"/>
      <c r="B42" s="519"/>
      <c r="C42" s="110">
        <f>+SUM(C4:C40)</f>
        <v>1.0000000000000002</v>
      </c>
      <c r="D42" s="111" t="s">
        <v>156</v>
      </c>
      <c r="E42" s="112"/>
      <c r="F42" s="113">
        <f>ROUND(+F8*$C4+F11*$C9+F24*$C20+F16*$C12+F19*$C17+F40*$C37+F36*$C33+F32*$C28+F27*$C25,0)</f>
        <v>5</v>
      </c>
      <c r="G42" s="113">
        <f>ROUND(+G8*$C4+G11*$C9+G24*$C20+G16*$C12+G19*$C17+G40*$C37+G36*$C33+G32*$C28+G27*$C25,0)</f>
        <v>4</v>
      </c>
      <c r="H42" s="113">
        <f>+G42*F42</f>
        <v>20</v>
      </c>
      <c r="I42" s="97" t="s">
        <v>192</v>
      </c>
    </row>
    <row r="44" spans="1:9" ht="15.75" hidden="1" customHeight="1" thickBot="1">
      <c r="A44" s="520"/>
      <c r="B44" s="521"/>
      <c r="C44" s="114">
        <f>+SUM(C4:C25)</f>
        <v>0.90000000000000013</v>
      </c>
      <c r="D44" s="115" t="s">
        <v>156</v>
      </c>
      <c r="E44" s="116"/>
      <c r="F44" s="117">
        <f>ROUND(IFERROR(AVERAGE(F4:F7)*$C4,0)+IFERROR(AVERAGE(F9:F10)*$C9,0)+IFERROR(AVERAGE(F20:F23)*$C20,0)+IFERROR(AVERAGE(F12:F15)*$C12,0)+IFERROR(AVERAGE(F17:F18)*$C17,0),+IFERROR(AVERAGE(F37:F39)*$C37,0)+IFERROR(AVERAGE(F33:F35)*$C33,0)+IFERROR(AVERAGE(F28:F31)*$C28,0)+IFERROR(AVERAGE(F25:F26)*$C25,0)*0)</f>
        <v>4</v>
      </c>
      <c r="G44" s="117">
        <f>ROUND(IFERROR(AVERAGE(G4:G7)*$C4,0)+IFERROR(AVERAGE(G9:G10)*$C9,0)+IFERROR(AVERAGE(G20:G23)*$C20,0)+IFERROR(AVERAGE(G12:G15)*$C12,0)+IFERROR(AVERAGE(G17:G18)*$C17,0),+IFERROR(AVERAGE(G37:G39)*$C37,0)+IFERROR(AVERAGE(G33:G35)*$C33,0)+IFERROR(AVERAGE(G28:G31)*$C28,0)+IFERROR(AVERAGE(G25:G26)*$C25,0)*0)</f>
        <v>4</v>
      </c>
      <c r="H44" s="118">
        <f>+G44*F44</f>
        <v>16</v>
      </c>
    </row>
  </sheetData>
  <mergeCells count="35">
    <mergeCell ref="I2:I3"/>
    <mergeCell ref="A2:A3"/>
    <mergeCell ref="B2:B3"/>
    <mergeCell ref="C2:C3"/>
    <mergeCell ref="D2:D3"/>
    <mergeCell ref="E2:E3"/>
    <mergeCell ref="A4:A8"/>
    <mergeCell ref="B4:B8"/>
    <mergeCell ref="C4:C8"/>
    <mergeCell ref="A9:A11"/>
    <mergeCell ref="B9:B11"/>
    <mergeCell ref="C9:C11"/>
    <mergeCell ref="A12:A16"/>
    <mergeCell ref="B12:B16"/>
    <mergeCell ref="C12:C16"/>
    <mergeCell ref="A17:A19"/>
    <mergeCell ref="B17:B19"/>
    <mergeCell ref="C17:C19"/>
    <mergeCell ref="A20:A24"/>
    <mergeCell ref="B20:B24"/>
    <mergeCell ref="C20:C24"/>
    <mergeCell ref="A25:A27"/>
    <mergeCell ref="B25:B27"/>
    <mergeCell ref="C25:C27"/>
    <mergeCell ref="A28:A32"/>
    <mergeCell ref="B28:B32"/>
    <mergeCell ref="C28:C32"/>
    <mergeCell ref="A33:A36"/>
    <mergeCell ref="B33:B36"/>
    <mergeCell ref="C33:C36"/>
    <mergeCell ref="A37:A40"/>
    <mergeCell ref="B37:B40"/>
    <mergeCell ref="C37:C40"/>
    <mergeCell ref="A42:B42"/>
    <mergeCell ref="A44:B44"/>
  </mergeCells>
  <pageMargins left="0.7" right="0.7" top="0.75" bottom="0.75" header="0.3" footer="0.3"/>
  <pageSetup paperSize="9" orientation="portrait" horizontalDpi="0"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C00000"/>
  </sheetPr>
  <dimension ref="A1:A2"/>
  <sheetViews>
    <sheetView showGridLines="0" workbookViewId="0">
      <selection activeCell="B10" sqref="B10"/>
    </sheetView>
  </sheetViews>
  <sheetFormatPr baseColWidth="10" defaultRowHeight="14.5"/>
  <sheetData>
    <row r="1" s="348" customFormat="1"/>
    <row r="2" s="348" customFormat="1"/>
  </sheetData>
  <sheetProtection algorithmName="SHA-512" hashValue="y6+LTP6+J2LmitoKq9wmTRBu641X2Ms4XemqkUcsYB1dKHoLxIlIJNa8APKkC588X8X9wU/I3J3FUaLfQYiU0w==" saltValue="aDEIz6g/Gi2mvBjV479rKw==" spinCount="100000" sheet="1" selectLockedCells="1" selectUnlockedCells="1"/>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C00000"/>
  </sheetPr>
  <dimension ref="A1:A2"/>
  <sheetViews>
    <sheetView showGridLines="0" workbookViewId="0">
      <selection activeCell="A6" sqref="A6"/>
    </sheetView>
  </sheetViews>
  <sheetFormatPr baseColWidth="10" defaultRowHeight="14.5"/>
  <sheetData>
    <row r="1" s="348" customFormat="1"/>
    <row r="2" s="348" customFormat="1"/>
  </sheetData>
  <sheetProtection algorithmName="SHA-512" hashValue="BjTyTEIIErRftjtrStciLxmZXRE+YYZYWyX8jusTVx+XMT9R2cQvhM81EfE5ahQQaapsqmym2BS17aNlULItyA==" saltValue="+Zsi9u6p9lcmL8wWxfqTLw==" spinCount="100000" sheet="1" selectLockedCells="1" selectUnlockedCells="1"/>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00B050"/>
  </sheetPr>
  <dimension ref="A1"/>
  <sheetViews>
    <sheetView topLeftCell="A22" zoomScale="70" zoomScaleNormal="70" workbookViewId="0"/>
  </sheetViews>
  <sheetFormatPr baseColWidth="10" defaultColWidth="10.90625" defaultRowHeight="14.5"/>
  <cols>
    <col min="1" max="11" width="10.90625" style="174"/>
    <col min="12" max="12" width="53.6328125" style="174" customWidth="1"/>
    <col min="13" max="16384" width="10.90625" style="174"/>
  </cols>
  <sheetData/>
  <sheetProtection algorithmName="SHA-512" hashValue="/ZAVscE91a9zwjc4ZG5tcH2qkCIs42jC9tIA+uQElUUV0I8Fnsj7sRjZEN6+ka0HXhXhjR7R7Z6Y4NWHMUywYA==" saltValue="o9Brfdb7TECFh3Ok5kRQAQ==" spinCount="100000" sheet="1" objects="1" scenarios="1"/>
  <pageMargins left="0.7" right="0.7" top="0.75" bottom="0.75" header="0.3" footer="0.3"/>
  <pageSetup paperSize="9" orientation="portrait" verticalDpi="0"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0" tint="-0.499984740745262"/>
  </sheetPr>
  <dimension ref="A1"/>
  <sheetViews>
    <sheetView topLeftCell="A19" zoomScale="70" zoomScaleNormal="70" workbookViewId="0"/>
  </sheetViews>
  <sheetFormatPr baseColWidth="10" defaultColWidth="10.90625" defaultRowHeight="14.5"/>
  <cols>
    <col min="1" max="11" width="10.90625" style="174"/>
    <col min="12" max="12" width="53.6328125" style="174" customWidth="1"/>
    <col min="13" max="16384" width="10.90625" style="174"/>
  </cols>
  <sheetData/>
  <sheetProtection algorithmName="SHA-512" hashValue="kmhKo8cNMPgcZUrgvSZ3t8YYZHniI8IGvwUqPBlH/3Kfv/PuoDDzCANtrpdmus1jR7qP6/yzQXJp1Hsg/oawPg==" saltValue="JhYS9n2wu6VxVCBKekSR6A==" spinCount="100000" sheet="1" objects="1" scenarios="1"/>
  <pageMargins left="0.7" right="0.7" top="0.75" bottom="0.75" header="0.3" footer="0.3"/>
  <pageSetup paperSize="9" orientation="portrait" verticalDpi="0"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0" tint="-0.499984740745262"/>
  </sheetPr>
  <dimension ref="B2:E7"/>
  <sheetViews>
    <sheetView zoomScale="80" zoomScaleNormal="80" workbookViewId="0">
      <selection activeCell="D10" sqref="D10"/>
    </sheetView>
  </sheetViews>
  <sheetFormatPr baseColWidth="10" defaultColWidth="11.453125" defaultRowHeight="14"/>
  <cols>
    <col min="1" max="1" width="3.90625" style="5" customWidth="1"/>
    <col min="2" max="2" width="14.81640625" style="5" bestFit="1" customWidth="1"/>
    <col min="3" max="3" width="38.36328125" style="5" customWidth="1"/>
    <col min="4" max="4" width="124.1796875" style="5" customWidth="1"/>
    <col min="5" max="16384" width="11.453125" style="5"/>
  </cols>
  <sheetData>
    <row r="2" spans="2:5" s="176" customFormat="1" ht="29" customHeight="1">
      <c r="B2" s="175" t="s">
        <v>422</v>
      </c>
      <c r="C2" s="175" t="s">
        <v>423</v>
      </c>
      <c r="D2" s="175" t="s">
        <v>424</v>
      </c>
    </row>
    <row r="3" spans="2:5" ht="82" customHeight="1">
      <c r="B3" s="177" t="s">
        <v>425</v>
      </c>
      <c r="C3" s="178" t="s">
        <v>426</v>
      </c>
      <c r="D3" s="178" t="s">
        <v>427</v>
      </c>
      <c r="E3" s="4"/>
    </row>
    <row r="4" spans="2:5" ht="62">
      <c r="B4" s="177" t="s">
        <v>428</v>
      </c>
      <c r="C4" s="178" t="s">
        <v>429</v>
      </c>
      <c r="D4" s="178" t="s">
        <v>430</v>
      </c>
    </row>
    <row r="5" spans="2:5" ht="46.5">
      <c r="B5" s="177" t="s">
        <v>431</v>
      </c>
      <c r="C5" s="178" t="s">
        <v>432</v>
      </c>
      <c r="D5" s="178" t="s">
        <v>433</v>
      </c>
      <c r="E5" s="4"/>
    </row>
    <row r="6" spans="2:5" ht="46.5">
      <c r="B6" s="177" t="s">
        <v>434</v>
      </c>
      <c r="C6" s="178" t="s">
        <v>435</v>
      </c>
      <c r="D6" s="178" t="s">
        <v>436</v>
      </c>
      <c r="E6" s="4"/>
    </row>
    <row r="7" spans="2:5" ht="62">
      <c r="B7" s="177" t="s">
        <v>437</v>
      </c>
      <c r="C7" s="178" t="s">
        <v>438</v>
      </c>
      <c r="D7" s="178" t="s">
        <v>439</v>
      </c>
    </row>
  </sheetData>
  <sheetProtection algorithmName="SHA-512" hashValue="WQHkTlIJqYudw6oq3Xh4nPj/aH+RmEef0q/0VLj8brQ0OHUrzfxJOzQvycra4XHOjZLYGkQ6dhUWK8Hb9hbbvw==" saltValue="20iEpXMon6F6YWz9vET3OA==" spinCount="100000" sheet="1" objects="1" scenarios="1"/>
  <printOptions horizontalCentered="1" verticalCentered="1"/>
  <pageMargins left="0.31496062992125984" right="0.31496062992125984" top="0.15748031496062992" bottom="0.19685039370078741" header="0.31496062992125984" footer="0.31496062992125984"/>
  <pageSetup paperSize="9" scale="70" orientation="landscape" verticalDpi="0"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1"/>
    <pageSetUpPr fitToPage="1"/>
  </sheetPr>
  <dimension ref="A1:C18"/>
  <sheetViews>
    <sheetView zoomScale="85" zoomScaleNormal="85" workbookViewId="0">
      <selection activeCell="C5" sqref="C5"/>
    </sheetView>
  </sheetViews>
  <sheetFormatPr baseColWidth="10" defaultColWidth="11.453125" defaultRowHeight="14"/>
  <cols>
    <col min="1" max="1" width="12" style="4" bestFit="1" customWidth="1"/>
    <col min="2" max="2" width="39.08984375" style="4" bestFit="1" customWidth="1"/>
    <col min="3" max="3" width="111.54296875" style="5" customWidth="1"/>
    <col min="4" max="4" width="12.36328125" style="5" customWidth="1"/>
    <col min="5" max="16384" width="11.453125" style="5"/>
  </cols>
  <sheetData>
    <row r="1" spans="1:3" ht="54" customHeight="1">
      <c r="A1" s="528" t="s">
        <v>404</v>
      </c>
      <c r="B1" s="528"/>
      <c r="C1" s="528"/>
    </row>
    <row r="2" spans="1:3" ht="36.75" customHeight="1">
      <c r="A2" s="12" t="s">
        <v>58</v>
      </c>
      <c r="B2" s="13" t="s">
        <v>44</v>
      </c>
      <c r="C2" s="14" t="s">
        <v>59</v>
      </c>
    </row>
    <row r="3" spans="1:3">
      <c r="A3" s="6">
        <v>1</v>
      </c>
      <c r="B3" s="1" t="s">
        <v>60</v>
      </c>
      <c r="C3" s="1" t="s">
        <v>61</v>
      </c>
    </row>
    <row r="4" spans="1:3" ht="28">
      <c r="A4" s="6">
        <v>2</v>
      </c>
      <c r="B4" s="3" t="s">
        <v>62</v>
      </c>
      <c r="C4" s="3" t="s">
        <v>63</v>
      </c>
    </row>
    <row r="5" spans="1:3" ht="28">
      <c r="A5" s="6">
        <v>3</v>
      </c>
      <c r="B5" s="3" t="s">
        <v>64</v>
      </c>
      <c r="C5" s="3" t="s">
        <v>65</v>
      </c>
    </row>
    <row r="6" spans="1:3" ht="28">
      <c r="A6" s="6">
        <v>4</v>
      </c>
      <c r="B6" s="3" t="s">
        <v>66</v>
      </c>
      <c r="C6" s="3" t="s">
        <v>197</v>
      </c>
    </row>
    <row r="7" spans="1:3" ht="28">
      <c r="A7" s="6">
        <v>5</v>
      </c>
      <c r="B7" s="3" t="s">
        <v>67</v>
      </c>
      <c r="C7" s="3" t="s">
        <v>68</v>
      </c>
    </row>
    <row r="8" spans="1:3">
      <c r="A8" s="6">
        <v>6</v>
      </c>
      <c r="B8" s="3" t="s">
        <v>69</v>
      </c>
      <c r="C8" s="3" t="s">
        <v>70</v>
      </c>
    </row>
    <row r="11" spans="1:3" ht="36.75" customHeight="1">
      <c r="A11" s="10" t="s">
        <v>43</v>
      </c>
      <c r="B11" s="11" t="s">
        <v>44</v>
      </c>
      <c r="C11" s="11" t="s">
        <v>45</v>
      </c>
    </row>
    <row r="12" spans="1:3" ht="28">
      <c r="A12" s="6">
        <v>1</v>
      </c>
      <c r="B12" s="2" t="s">
        <v>46</v>
      </c>
      <c r="C12" s="1" t="s">
        <v>47</v>
      </c>
    </row>
    <row r="13" spans="1:3" ht="29.25" customHeight="1">
      <c r="A13" s="6">
        <v>2</v>
      </c>
      <c r="B13" s="4" t="s">
        <v>48</v>
      </c>
      <c r="C13" s="1" t="s">
        <v>49</v>
      </c>
    </row>
    <row r="14" spans="1:3" ht="56">
      <c r="A14" s="6">
        <v>3</v>
      </c>
      <c r="B14" s="2" t="s">
        <v>50</v>
      </c>
      <c r="C14" s="3" t="s">
        <v>51</v>
      </c>
    </row>
    <row r="15" spans="1:3" ht="70">
      <c r="A15" s="6">
        <v>4</v>
      </c>
      <c r="B15" s="3" t="s">
        <v>52</v>
      </c>
      <c r="C15" s="3" t="s">
        <v>53</v>
      </c>
    </row>
    <row r="16" spans="1:3" ht="28">
      <c r="A16" s="6">
        <v>5</v>
      </c>
      <c r="B16" s="7" t="s">
        <v>54</v>
      </c>
      <c r="C16" s="3" t="s">
        <v>55</v>
      </c>
    </row>
    <row r="17" spans="1:3" ht="28">
      <c r="A17" s="6">
        <v>6</v>
      </c>
      <c r="B17" s="7" t="s">
        <v>56</v>
      </c>
      <c r="C17" s="3" t="s">
        <v>57</v>
      </c>
    </row>
    <row r="18" spans="1:3">
      <c r="A18" s="8"/>
      <c r="C18" s="9"/>
    </row>
  </sheetData>
  <sheetProtection algorithmName="SHA-512" hashValue="1S9n0oJuWgt3DR2i/XLo0ow6jmRKOyytwlloo6xI6R625mpOqJjlXdxA4C8lUDiQ/tLAKs40Yh/nUi9YF6YFHw==" saltValue="YyZ6X9Hj7rZ4ncM2lHNoEQ==" spinCount="100000" sheet="1" objects="1" scenarios="1"/>
  <mergeCells count="1">
    <mergeCell ref="A1:C1"/>
  </mergeCells>
  <pageMargins left="0.70866141732283472" right="0.70866141732283472" top="0.74803149606299213" bottom="0.74803149606299213" header="0.31496062992125984" footer="0.31496062992125984"/>
  <pageSetup paperSize="9" scale="59" orientation="landscape"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1"/>
  </sheetPr>
  <dimension ref="B3:E8"/>
  <sheetViews>
    <sheetView zoomScale="85" zoomScaleNormal="85" workbookViewId="0"/>
  </sheetViews>
  <sheetFormatPr baseColWidth="10" defaultColWidth="10.90625" defaultRowHeight="14.5"/>
  <cols>
    <col min="1" max="1" width="10.90625" style="81"/>
    <col min="2" max="2" width="20.54296875" style="81" bestFit="1" customWidth="1"/>
    <col min="3" max="3" width="21.81640625" style="81" customWidth="1"/>
    <col min="4" max="4" width="76.6328125" style="81" customWidth="1"/>
    <col min="5" max="5" width="21.81640625" style="81" customWidth="1"/>
    <col min="6" max="16384" width="10.90625" style="81"/>
  </cols>
  <sheetData>
    <row r="3" spans="2:5" ht="46.5" customHeight="1">
      <c r="B3" s="179" t="s">
        <v>440</v>
      </c>
      <c r="C3" s="179" t="s">
        <v>44</v>
      </c>
      <c r="D3" s="179" t="s">
        <v>441</v>
      </c>
      <c r="E3" s="180" t="s">
        <v>442</v>
      </c>
    </row>
    <row r="4" spans="2:5" ht="37" customHeight="1">
      <c r="B4" s="177">
        <v>1</v>
      </c>
      <c r="C4" s="181" t="s">
        <v>443</v>
      </c>
      <c r="D4" s="178" t="s">
        <v>444</v>
      </c>
      <c r="E4" s="180" t="s">
        <v>445</v>
      </c>
    </row>
    <row r="5" spans="2:5" ht="46.5">
      <c r="B5" s="177">
        <v>2</v>
      </c>
      <c r="C5" s="181" t="s">
        <v>446</v>
      </c>
      <c r="D5" s="178" t="s">
        <v>447</v>
      </c>
      <c r="E5" s="180" t="s">
        <v>448</v>
      </c>
    </row>
    <row r="6" spans="2:5" ht="46.5">
      <c r="B6" s="177">
        <v>3</v>
      </c>
      <c r="C6" s="181" t="s">
        <v>449</v>
      </c>
      <c r="D6" s="178" t="s">
        <v>450</v>
      </c>
      <c r="E6" s="180" t="s">
        <v>449</v>
      </c>
    </row>
    <row r="7" spans="2:5" ht="46.5">
      <c r="B7" s="177">
        <v>4</v>
      </c>
      <c r="C7" s="181" t="s">
        <v>451</v>
      </c>
      <c r="D7" s="178" t="s">
        <v>452</v>
      </c>
      <c r="E7" s="180" t="s">
        <v>451</v>
      </c>
    </row>
    <row r="8" spans="2:5" ht="62">
      <c r="B8" s="177">
        <v>5</v>
      </c>
      <c r="C8" s="181" t="s">
        <v>453</v>
      </c>
      <c r="D8" s="178" t="s">
        <v>454</v>
      </c>
      <c r="E8" s="180" t="s">
        <v>453</v>
      </c>
    </row>
  </sheetData>
  <sheetProtection algorithmName="SHA-512" hashValue="WejsWffvYXRGVOzezDK6+JhSqSozxDvUNXENErZHn7xisbBf6/bkOIU5EUwgpl0HYdFuHiF0rinmbdkwFsvcvw==" saltValue="PgQVwm9k3mJbtEW58sbmRw==" spinCount="100000" sheet="1" objects="1" scenarios="1"/>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1"/>
    <pageSetUpPr fitToPage="1"/>
  </sheetPr>
  <dimension ref="A2:M9"/>
  <sheetViews>
    <sheetView workbookViewId="0">
      <selection activeCell="K11" sqref="K11"/>
    </sheetView>
  </sheetViews>
  <sheetFormatPr baseColWidth="10" defaultColWidth="11.453125" defaultRowHeight="14.5"/>
  <cols>
    <col min="1" max="1" width="5" style="80" customWidth="1"/>
    <col min="2" max="7" width="7.08984375" style="81" customWidth="1"/>
    <col min="8" max="11" width="11.453125" style="81"/>
    <col min="12" max="12" width="14.54296875" style="82" bestFit="1" customWidth="1"/>
    <col min="13" max="13" width="77.08984375" style="82" customWidth="1"/>
    <col min="14" max="16384" width="11.453125" style="81"/>
  </cols>
  <sheetData>
    <row r="2" spans="2:13" ht="16" thickBot="1">
      <c r="L2" s="90" t="s">
        <v>517</v>
      </c>
    </row>
    <row r="3" spans="2:13" ht="37.5" customHeight="1">
      <c r="B3" s="224">
        <v>6</v>
      </c>
      <c r="C3" s="225">
        <v>12</v>
      </c>
      <c r="D3" s="226">
        <v>18</v>
      </c>
      <c r="E3" s="16">
        <v>24</v>
      </c>
      <c r="F3" s="227">
        <v>30</v>
      </c>
      <c r="G3" s="228">
        <v>36</v>
      </c>
      <c r="L3" s="349" t="s">
        <v>188</v>
      </c>
      <c r="M3" s="88" t="s">
        <v>512</v>
      </c>
    </row>
    <row r="4" spans="2:13" ht="37.5" customHeight="1">
      <c r="B4" s="22">
        <v>5</v>
      </c>
      <c r="C4" s="19">
        <v>10</v>
      </c>
      <c r="D4" s="85">
        <v>15</v>
      </c>
      <c r="E4" s="20">
        <v>20</v>
      </c>
      <c r="F4" s="229">
        <v>25</v>
      </c>
      <c r="G4" s="230">
        <v>30</v>
      </c>
      <c r="L4" s="349" t="s">
        <v>513</v>
      </c>
      <c r="M4" s="88" t="s">
        <v>514</v>
      </c>
    </row>
    <row r="5" spans="2:13" ht="37.5" customHeight="1">
      <c r="B5" s="231">
        <v>4</v>
      </c>
      <c r="C5" s="23">
        <v>8</v>
      </c>
      <c r="D5" s="19">
        <v>12</v>
      </c>
      <c r="E5" s="85">
        <v>16</v>
      </c>
      <c r="F5" s="20">
        <v>20</v>
      </c>
      <c r="G5" s="21">
        <v>24</v>
      </c>
      <c r="L5" s="349" t="s">
        <v>208</v>
      </c>
      <c r="M5" s="88" t="s">
        <v>209</v>
      </c>
    </row>
    <row r="6" spans="2:13" ht="37.5" customHeight="1">
      <c r="B6" s="231">
        <v>3</v>
      </c>
      <c r="C6" s="23">
        <v>6</v>
      </c>
      <c r="D6" s="19">
        <v>9</v>
      </c>
      <c r="E6" s="19">
        <v>12</v>
      </c>
      <c r="F6" s="85">
        <v>15</v>
      </c>
      <c r="G6" s="232">
        <v>18</v>
      </c>
      <c r="L6" s="349" t="s">
        <v>195</v>
      </c>
      <c r="M6" s="88" t="s">
        <v>205</v>
      </c>
    </row>
    <row r="7" spans="2:13" ht="37.5" customHeight="1">
      <c r="B7" s="231">
        <v>2</v>
      </c>
      <c r="C7" s="233">
        <v>4</v>
      </c>
      <c r="D7" s="23">
        <v>6</v>
      </c>
      <c r="E7" s="23">
        <v>8</v>
      </c>
      <c r="F7" s="19">
        <v>10</v>
      </c>
      <c r="G7" s="234">
        <v>12</v>
      </c>
      <c r="L7" s="349" t="s">
        <v>196</v>
      </c>
      <c r="M7" s="87" t="s">
        <v>206</v>
      </c>
    </row>
    <row r="8" spans="2:13" ht="37.5" customHeight="1" thickBot="1">
      <c r="B8" s="235">
        <v>1</v>
      </c>
      <c r="C8" s="236">
        <v>2</v>
      </c>
      <c r="D8" s="236">
        <v>3</v>
      </c>
      <c r="E8" s="236">
        <v>4</v>
      </c>
      <c r="F8" s="25">
        <v>5</v>
      </c>
      <c r="G8" s="237">
        <v>6</v>
      </c>
      <c r="L8" s="199" t="s">
        <v>515</v>
      </c>
      <c r="M8" s="87" t="s">
        <v>516</v>
      </c>
    </row>
    <row r="9" spans="2:13">
      <c r="B9" s="83"/>
      <c r="C9" s="83"/>
      <c r="D9" s="83"/>
      <c r="E9" s="83"/>
      <c r="F9" s="83"/>
      <c r="G9" s="83"/>
    </row>
  </sheetData>
  <sheetProtection algorithmName="SHA-512" hashValue="jwRIchWycfeocZ93EDVJp92NeV97rFbLPADZEsk8QMaVLPMamM5vnFBVZmZtEMl/kC/aTF/5Seax9IsjQ1G2SQ==" saltValue="D5vhgG8LXzj45s/yjUjT7A==" spinCount="100000" sheet="1" objects="1" scenarios="1"/>
  <pageMargins left="0.70866141732283472" right="0.70866141732283472" top="0.74803149606299213" bottom="0.74803149606299213" header="0.31496062992125984" footer="0.31496062992125984"/>
  <pageSetup paperSize="9" scale="72" orientation="landscape"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FF0000"/>
  </sheetPr>
  <dimension ref="A2:H82"/>
  <sheetViews>
    <sheetView topLeftCell="A11" zoomScaleNormal="100" workbookViewId="0">
      <selection activeCell="E18" sqref="E18"/>
    </sheetView>
  </sheetViews>
  <sheetFormatPr baseColWidth="10" defaultColWidth="11.453125" defaultRowHeight="14"/>
  <cols>
    <col min="1" max="1" width="3.36328125" style="36" bestFit="1" customWidth="1"/>
    <col min="2" max="2" width="22.08984375" style="35" customWidth="1"/>
    <col min="3" max="3" width="10.08984375" style="38" bestFit="1" customWidth="1"/>
    <col min="4" max="4" width="40.08984375" style="28" customWidth="1"/>
    <col min="5" max="5" width="68" style="34" customWidth="1"/>
    <col min="6" max="6" width="12.36328125" style="29" customWidth="1"/>
    <col min="7" max="7" width="11.54296875" style="29" customWidth="1"/>
    <col min="8" max="8" width="14.08984375" style="28" customWidth="1"/>
    <col min="9" max="16384" width="11.453125" style="28"/>
  </cols>
  <sheetData>
    <row r="2" spans="1:8" ht="25.5" customHeight="1">
      <c r="A2" s="529" t="s">
        <v>71</v>
      </c>
      <c r="B2" s="530" t="s">
        <v>72</v>
      </c>
      <c r="C2" s="540" t="s">
        <v>73</v>
      </c>
      <c r="D2" s="529" t="s">
        <v>74</v>
      </c>
      <c r="E2" s="530" t="s">
        <v>5</v>
      </c>
      <c r="F2" s="40" t="s">
        <v>2</v>
      </c>
      <c r="G2" s="40" t="s">
        <v>3</v>
      </c>
      <c r="H2" s="41" t="s">
        <v>77</v>
      </c>
    </row>
    <row r="3" spans="1:8" s="29" customFormat="1" ht="18.75" customHeight="1">
      <c r="A3" s="529"/>
      <c r="B3" s="530"/>
      <c r="C3" s="540"/>
      <c r="D3" s="529"/>
      <c r="E3" s="530"/>
      <c r="F3" s="40" t="s">
        <v>0</v>
      </c>
      <c r="G3" s="40" t="s">
        <v>1</v>
      </c>
      <c r="H3" s="40" t="s">
        <v>4</v>
      </c>
    </row>
    <row r="4" spans="1:8" ht="28">
      <c r="A4" s="531">
        <v>1</v>
      </c>
      <c r="B4" s="534" t="s">
        <v>38</v>
      </c>
      <c r="C4" s="537">
        <v>0.25</v>
      </c>
      <c r="D4" s="541" t="s">
        <v>97</v>
      </c>
      <c r="E4" s="30" t="s">
        <v>149</v>
      </c>
      <c r="F4" s="43"/>
      <c r="G4" s="43"/>
      <c r="H4" s="39">
        <f>+F4*G4</f>
        <v>0</v>
      </c>
    </row>
    <row r="5" spans="1:8" ht="28.5" customHeight="1">
      <c r="A5" s="532"/>
      <c r="B5" s="535"/>
      <c r="C5" s="538"/>
      <c r="D5" s="542"/>
      <c r="E5" s="30" t="s">
        <v>95</v>
      </c>
      <c r="F5" s="43"/>
      <c r="G5" s="43"/>
      <c r="H5" s="39">
        <f t="shared" ref="H5:H73" si="0">+F5*G5</f>
        <v>0</v>
      </c>
    </row>
    <row r="6" spans="1:8" ht="28">
      <c r="A6" s="532"/>
      <c r="B6" s="535"/>
      <c r="C6" s="538"/>
      <c r="D6" s="542"/>
      <c r="E6" s="30" t="s">
        <v>96</v>
      </c>
      <c r="F6" s="43"/>
      <c r="G6" s="43"/>
      <c r="H6" s="39">
        <f t="shared" si="0"/>
        <v>0</v>
      </c>
    </row>
    <row r="7" spans="1:8" ht="28">
      <c r="A7" s="532"/>
      <c r="B7" s="535"/>
      <c r="C7" s="538"/>
      <c r="D7" s="541" t="s">
        <v>29</v>
      </c>
      <c r="E7" s="30" t="s">
        <v>98</v>
      </c>
      <c r="F7" s="43"/>
      <c r="G7" s="43"/>
      <c r="H7" s="39">
        <f t="shared" si="0"/>
        <v>0</v>
      </c>
    </row>
    <row r="8" spans="1:8">
      <c r="A8" s="532"/>
      <c r="B8" s="535"/>
      <c r="C8" s="538"/>
      <c r="D8" s="542"/>
      <c r="E8" s="30" t="s">
        <v>100</v>
      </c>
      <c r="F8" s="43"/>
      <c r="G8" s="43"/>
      <c r="H8" s="39">
        <f t="shared" si="0"/>
        <v>0</v>
      </c>
    </row>
    <row r="9" spans="1:8" ht="28">
      <c r="A9" s="532"/>
      <c r="B9" s="535"/>
      <c r="C9" s="538"/>
      <c r="D9" s="542"/>
      <c r="E9" s="30" t="s">
        <v>104</v>
      </c>
      <c r="F9" s="43"/>
      <c r="G9" s="43"/>
      <c r="H9" s="39">
        <f t="shared" si="0"/>
        <v>0</v>
      </c>
    </row>
    <row r="10" spans="1:8">
      <c r="A10" s="532"/>
      <c r="B10" s="535"/>
      <c r="C10" s="538"/>
      <c r="D10" s="543"/>
      <c r="E10" s="30" t="s">
        <v>105</v>
      </c>
      <c r="F10" s="43"/>
      <c r="G10" s="43"/>
      <c r="H10" s="39">
        <f t="shared" si="0"/>
        <v>0</v>
      </c>
    </row>
    <row r="11" spans="1:8" ht="28">
      <c r="A11" s="532"/>
      <c r="B11" s="535"/>
      <c r="C11" s="538"/>
      <c r="D11" s="541" t="s">
        <v>30</v>
      </c>
      <c r="E11" s="30" t="s">
        <v>99</v>
      </c>
      <c r="F11" s="43"/>
      <c r="G11" s="43"/>
      <c r="H11" s="39">
        <f t="shared" si="0"/>
        <v>0</v>
      </c>
    </row>
    <row r="12" spans="1:8" ht="28">
      <c r="A12" s="532"/>
      <c r="B12" s="535"/>
      <c r="C12" s="538"/>
      <c r="D12" s="543"/>
      <c r="E12" s="30" t="s">
        <v>101</v>
      </c>
      <c r="F12" s="43"/>
      <c r="G12" s="43"/>
      <c r="H12" s="39">
        <f t="shared" si="0"/>
        <v>0</v>
      </c>
    </row>
    <row r="13" spans="1:8">
      <c r="A13" s="532"/>
      <c r="B13" s="535"/>
      <c r="C13" s="538"/>
      <c r="D13" s="541" t="s">
        <v>31</v>
      </c>
      <c r="E13" s="30" t="s">
        <v>102</v>
      </c>
      <c r="F13" s="43"/>
      <c r="G13" s="43"/>
      <c r="H13" s="39">
        <f t="shared" si="0"/>
        <v>0</v>
      </c>
    </row>
    <row r="14" spans="1:8" ht="28">
      <c r="A14" s="532"/>
      <c r="B14" s="535"/>
      <c r="C14" s="538"/>
      <c r="D14" s="543"/>
      <c r="E14" s="30" t="s">
        <v>103</v>
      </c>
      <c r="F14" s="43"/>
      <c r="G14" s="43"/>
      <c r="H14" s="39">
        <f t="shared" si="0"/>
        <v>0</v>
      </c>
    </row>
    <row r="15" spans="1:8" s="29" customFormat="1" ht="18.75" customHeight="1">
      <c r="A15" s="533"/>
      <c r="B15" s="536"/>
      <c r="C15" s="539"/>
      <c r="D15" s="544" t="s">
        <v>151</v>
      </c>
      <c r="E15" s="545"/>
      <c r="F15" s="42">
        <f>+ROUND(IFERROR(AVERAGE(F4:F14),0),0)</f>
        <v>0</v>
      </c>
      <c r="G15" s="42">
        <f>+ROUND(IFERROR(AVERAGE(G4:G14),0),0)</f>
        <v>0</v>
      </c>
      <c r="H15" s="44">
        <f>+F15*G15</f>
        <v>0</v>
      </c>
    </row>
    <row r="16" spans="1:8" ht="42">
      <c r="A16" s="531">
        <v>2</v>
      </c>
      <c r="B16" s="534" t="s">
        <v>75</v>
      </c>
      <c r="C16" s="537">
        <v>0.2</v>
      </c>
      <c r="D16" s="32" t="s">
        <v>25</v>
      </c>
      <c r="E16" s="30" t="s">
        <v>106</v>
      </c>
      <c r="F16" s="43"/>
      <c r="G16" s="43"/>
      <c r="H16" s="39">
        <f t="shared" si="0"/>
        <v>0</v>
      </c>
    </row>
    <row r="17" spans="1:8" ht="14.25" customHeight="1">
      <c r="A17" s="532"/>
      <c r="B17" s="535"/>
      <c r="C17" s="538"/>
      <c r="D17" s="32" t="s">
        <v>25</v>
      </c>
      <c r="E17" s="30" t="s">
        <v>108</v>
      </c>
      <c r="F17" s="43"/>
      <c r="G17" s="43"/>
      <c r="H17" s="39">
        <f t="shared" si="0"/>
        <v>0</v>
      </c>
    </row>
    <row r="18" spans="1:8" ht="25.5" customHeight="1">
      <c r="A18" s="532"/>
      <c r="B18" s="535"/>
      <c r="C18" s="538"/>
      <c r="D18" s="32" t="s">
        <v>26</v>
      </c>
      <c r="E18" s="30" t="s">
        <v>107</v>
      </c>
      <c r="F18" s="43"/>
      <c r="G18" s="43"/>
      <c r="H18" s="39">
        <f t="shared" si="0"/>
        <v>0</v>
      </c>
    </row>
    <row r="19" spans="1:8" s="29" customFormat="1" ht="18.75" customHeight="1">
      <c r="A19" s="533"/>
      <c r="B19" s="536"/>
      <c r="C19" s="539"/>
      <c r="D19" s="544" t="s">
        <v>150</v>
      </c>
      <c r="E19" s="545"/>
      <c r="F19" s="42">
        <f>+ROUND(IFERROR(AVERAGE(F16:F18),0),0)</f>
        <v>0</v>
      </c>
      <c r="G19" s="42">
        <f>+ROUND(IFERROR(AVERAGE(G16:G18),0),0)</f>
        <v>0</v>
      </c>
      <c r="H19" s="44">
        <f t="shared" ref="H19:H29" si="1">+F19*G19</f>
        <v>0</v>
      </c>
    </row>
    <row r="20" spans="1:8" ht="70">
      <c r="A20" s="531">
        <v>4</v>
      </c>
      <c r="B20" s="534" t="s">
        <v>36</v>
      </c>
      <c r="C20" s="537">
        <v>0.15</v>
      </c>
      <c r="D20" s="33" t="s">
        <v>15</v>
      </c>
      <c r="E20" s="30" t="s">
        <v>109</v>
      </c>
      <c r="F20" s="43"/>
      <c r="G20" s="43"/>
      <c r="H20" s="39">
        <f t="shared" si="1"/>
        <v>0</v>
      </c>
    </row>
    <row r="21" spans="1:8" ht="42">
      <c r="A21" s="532"/>
      <c r="B21" s="535"/>
      <c r="C21" s="538"/>
      <c r="D21" s="33" t="s">
        <v>16</v>
      </c>
      <c r="E21" s="30" t="s">
        <v>115</v>
      </c>
      <c r="F21" s="43"/>
      <c r="G21" s="43"/>
      <c r="H21" s="39">
        <f t="shared" si="1"/>
        <v>0</v>
      </c>
    </row>
    <row r="22" spans="1:8" ht="28">
      <c r="A22" s="532"/>
      <c r="B22" s="535"/>
      <c r="C22" s="538"/>
      <c r="D22" s="33" t="s">
        <v>16</v>
      </c>
      <c r="E22" s="30" t="s">
        <v>110</v>
      </c>
      <c r="F22" s="43"/>
      <c r="G22" s="43"/>
      <c r="H22" s="39">
        <f t="shared" si="1"/>
        <v>0</v>
      </c>
    </row>
    <row r="23" spans="1:8" ht="28">
      <c r="A23" s="532"/>
      <c r="B23" s="535"/>
      <c r="C23" s="538"/>
      <c r="D23" s="33" t="s">
        <v>16</v>
      </c>
      <c r="E23" s="30" t="s">
        <v>111</v>
      </c>
      <c r="F23" s="43"/>
      <c r="G23" s="43"/>
      <c r="H23" s="39">
        <f t="shared" si="1"/>
        <v>0</v>
      </c>
    </row>
    <row r="24" spans="1:8">
      <c r="A24" s="532"/>
      <c r="B24" s="535"/>
      <c r="C24" s="538"/>
      <c r="D24" s="33" t="s">
        <v>16</v>
      </c>
      <c r="E24" s="30" t="s">
        <v>114</v>
      </c>
      <c r="F24" s="43"/>
      <c r="G24" s="43"/>
      <c r="H24" s="39">
        <f t="shared" si="1"/>
        <v>0</v>
      </c>
    </row>
    <row r="25" spans="1:8" ht="28">
      <c r="A25" s="532"/>
      <c r="B25" s="535"/>
      <c r="C25" s="538"/>
      <c r="D25" s="33" t="s">
        <v>16</v>
      </c>
      <c r="E25" s="30" t="s">
        <v>116</v>
      </c>
      <c r="F25" s="43"/>
      <c r="G25" s="43"/>
      <c r="H25" s="39">
        <f t="shared" si="1"/>
        <v>0</v>
      </c>
    </row>
    <row r="26" spans="1:8" ht="70">
      <c r="A26" s="532"/>
      <c r="B26" s="535"/>
      <c r="C26" s="538"/>
      <c r="D26" s="32" t="s">
        <v>113</v>
      </c>
      <c r="E26" s="30" t="s">
        <v>112</v>
      </c>
      <c r="F26" s="43"/>
      <c r="G26" s="43"/>
      <c r="H26" s="39">
        <f t="shared" si="1"/>
        <v>0</v>
      </c>
    </row>
    <row r="27" spans="1:8" ht="28">
      <c r="A27" s="532"/>
      <c r="B27" s="535"/>
      <c r="C27" s="538"/>
      <c r="D27" s="33" t="s">
        <v>17</v>
      </c>
      <c r="E27" s="30" t="s">
        <v>117</v>
      </c>
      <c r="F27" s="43"/>
      <c r="G27" s="43"/>
      <c r="H27" s="39">
        <f t="shared" si="1"/>
        <v>0</v>
      </c>
    </row>
    <row r="28" spans="1:8" ht="20.25" customHeight="1">
      <c r="A28" s="532"/>
      <c r="B28" s="535"/>
      <c r="C28" s="538"/>
      <c r="D28" s="33" t="s">
        <v>18</v>
      </c>
      <c r="E28" s="30" t="s">
        <v>118</v>
      </c>
      <c r="F28" s="43"/>
      <c r="G28" s="43"/>
      <c r="H28" s="39">
        <f t="shared" si="1"/>
        <v>0</v>
      </c>
    </row>
    <row r="29" spans="1:8" s="29" customFormat="1" ht="18.75" customHeight="1">
      <c r="A29" s="533"/>
      <c r="B29" s="536"/>
      <c r="C29" s="539"/>
      <c r="D29" s="544" t="s">
        <v>152</v>
      </c>
      <c r="E29" s="545"/>
      <c r="F29" s="42">
        <f>+ROUND(IFERROR(AVERAGE(F20:F28),0),0)</f>
        <v>0</v>
      </c>
      <c r="G29" s="42">
        <f>+ROUND(IFERROR(AVERAGE(G20:G28),0),0)</f>
        <v>0</v>
      </c>
      <c r="H29" s="44">
        <f t="shared" si="1"/>
        <v>0</v>
      </c>
    </row>
    <row r="30" spans="1:8">
      <c r="A30" s="531">
        <v>3</v>
      </c>
      <c r="B30" s="534" t="s">
        <v>34</v>
      </c>
      <c r="C30" s="537">
        <v>0.1</v>
      </c>
      <c r="D30" s="32" t="s">
        <v>41</v>
      </c>
      <c r="E30" s="30" t="s">
        <v>84</v>
      </c>
      <c r="F30" s="43"/>
      <c r="G30" s="43"/>
      <c r="H30" s="39">
        <f t="shared" si="0"/>
        <v>0</v>
      </c>
    </row>
    <row r="31" spans="1:8" ht="42">
      <c r="A31" s="532"/>
      <c r="B31" s="535"/>
      <c r="C31" s="538"/>
      <c r="D31" s="32" t="s">
        <v>10</v>
      </c>
      <c r="E31" s="30" t="s">
        <v>86</v>
      </c>
      <c r="F31" s="43"/>
      <c r="G31" s="43"/>
      <c r="H31" s="39">
        <f t="shared" si="0"/>
        <v>0</v>
      </c>
    </row>
    <row r="32" spans="1:8">
      <c r="A32" s="532"/>
      <c r="B32" s="535"/>
      <c r="C32" s="538"/>
      <c r="D32" s="32" t="s">
        <v>42</v>
      </c>
      <c r="E32" s="30" t="s">
        <v>87</v>
      </c>
      <c r="F32" s="43"/>
      <c r="G32" s="43"/>
      <c r="H32" s="39">
        <f t="shared" si="0"/>
        <v>0</v>
      </c>
    </row>
    <row r="33" spans="1:8" ht="28">
      <c r="A33" s="532"/>
      <c r="B33" s="535"/>
      <c r="C33" s="538"/>
      <c r="D33" s="32" t="s">
        <v>9</v>
      </c>
      <c r="E33" s="30" t="s">
        <v>88</v>
      </c>
      <c r="F33" s="43"/>
      <c r="G33" s="43"/>
      <c r="H33" s="39">
        <f t="shared" si="0"/>
        <v>0</v>
      </c>
    </row>
    <row r="34" spans="1:8" ht="28">
      <c r="A34" s="532"/>
      <c r="B34" s="535"/>
      <c r="C34" s="538"/>
      <c r="D34" s="541" t="s">
        <v>11</v>
      </c>
      <c r="E34" s="30" t="s">
        <v>91</v>
      </c>
      <c r="F34" s="43"/>
      <c r="G34" s="43"/>
      <c r="H34" s="39">
        <f t="shared" si="0"/>
        <v>0</v>
      </c>
    </row>
    <row r="35" spans="1:8">
      <c r="A35" s="532"/>
      <c r="B35" s="535"/>
      <c r="C35" s="538"/>
      <c r="D35" s="542"/>
      <c r="E35" s="30" t="s">
        <v>89</v>
      </c>
      <c r="F35" s="43"/>
      <c r="G35" s="43"/>
      <c r="H35" s="39">
        <f t="shared" si="0"/>
        <v>0</v>
      </c>
    </row>
    <row r="36" spans="1:8" ht="42">
      <c r="A36" s="532"/>
      <c r="B36" s="535"/>
      <c r="C36" s="538"/>
      <c r="D36" s="543"/>
      <c r="E36" s="30" t="s">
        <v>90</v>
      </c>
      <c r="F36" s="43"/>
      <c r="G36" s="43"/>
      <c r="H36" s="39">
        <f t="shared" si="0"/>
        <v>0</v>
      </c>
    </row>
    <row r="37" spans="1:8" ht="28.5" customHeight="1">
      <c r="A37" s="532"/>
      <c r="B37" s="535"/>
      <c r="C37" s="538"/>
      <c r="D37" s="541" t="s">
        <v>12</v>
      </c>
      <c r="E37" s="30" t="s">
        <v>92</v>
      </c>
      <c r="F37" s="43"/>
      <c r="G37" s="43"/>
      <c r="H37" s="39">
        <f t="shared" si="0"/>
        <v>0</v>
      </c>
    </row>
    <row r="38" spans="1:8" ht="28.5" customHeight="1">
      <c r="A38" s="532"/>
      <c r="B38" s="535"/>
      <c r="C38" s="538"/>
      <c r="D38" s="543"/>
      <c r="E38" s="30" t="s">
        <v>93</v>
      </c>
      <c r="F38" s="43"/>
      <c r="G38" s="43"/>
      <c r="H38" s="39">
        <f t="shared" si="0"/>
        <v>0</v>
      </c>
    </row>
    <row r="39" spans="1:8" ht="28">
      <c r="A39" s="532"/>
      <c r="B39" s="535"/>
      <c r="C39" s="538"/>
      <c r="D39" s="32" t="s">
        <v>13</v>
      </c>
      <c r="E39" s="30" t="s">
        <v>94</v>
      </c>
      <c r="F39" s="43"/>
      <c r="G39" s="43"/>
      <c r="H39" s="39">
        <f t="shared" si="0"/>
        <v>0</v>
      </c>
    </row>
    <row r="40" spans="1:8" s="29" customFormat="1" ht="18.75" customHeight="1">
      <c r="A40" s="533"/>
      <c r="B40" s="536"/>
      <c r="C40" s="539"/>
      <c r="D40" s="544" t="s">
        <v>153</v>
      </c>
      <c r="E40" s="545"/>
      <c r="F40" s="42">
        <f>+ROUND(IFERROR(AVERAGE(F30:F39),0),0)</f>
        <v>0</v>
      </c>
      <c r="G40" s="42">
        <f>+ROUND(IFERROR(AVERAGE(G30:G39),0),0)</f>
        <v>0</v>
      </c>
      <c r="H40" s="44">
        <f>+F40*G40</f>
        <v>0</v>
      </c>
    </row>
    <row r="41" spans="1:8" ht="28">
      <c r="A41" s="531">
        <v>5</v>
      </c>
      <c r="B41" s="534" t="s">
        <v>39</v>
      </c>
      <c r="C41" s="537">
        <v>0.1</v>
      </c>
      <c r="D41" s="31" t="s">
        <v>40</v>
      </c>
      <c r="E41" s="30" t="s">
        <v>119</v>
      </c>
      <c r="F41" s="43"/>
      <c r="G41" s="43"/>
      <c r="H41" s="39">
        <f t="shared" si="0"/>
        <v>0</v>
      </c>
    </row>
    <row r="42" spans="1:8" ht="28">
      <c r="A42" s="532"/>
      <c r="B42" s="535"/>
      <c r="C42" s="538"/>
      <c r="D42" s="31" t="s">
        <v>40</v>
      </c>
      <c r="E42" s="30" t="s">
        <v>122</v>
      </c>
      <c r="F42" s="43"/>
      <c r="G42" s="43"/>
      <c r="H42" s="39">
        <f t="shared" si="0"/>
        <v>0</v>
      </c>
    </row>
    <row r="43" spans="1:8">
      <c r="A43" s="532"/>
      <c r="B43" s="535"/>
      <c r="C43" s="538"/>
      <c r="D43" s="31" t="s">
        <v>40</v>
      </c>
      <c r="E43" s="30" t="s">
        <v>120</v>
      </c>
      <c r="F43" s="43"/>
      <c r="G43" s="43"/>
      <c r="H43" s="39">
        <f t="shared" si="0"/>
        <v>0</v>
      </c>
    </row>
    <row r="44" spans="1:8">
      <c r="A44" s="532"/>
      <c r="B44" s="535"/>
      <c r="C44" s="538"/>
      <c r="D44" s="31" t="s">
        <v>40</v>
      </c>
      <c r="E44" s="30" t="s">
        <v>124</v>
      </c>
      <c r="F44" s="43"/>
      <c r="G44" s="43"/>
      <c r="H44" s="39">
        <f t="shared" si="0"/>
        <v>0</v>
      </c>
    </row>
    <row r="45" spans="1:8">
      <c r="A45" s="532"/>
      <c r="B45" s="535"/>
      <c r="C45" s="538"/>
      <c r="D45" s="31" t="s">
        <v>40</v>
      </c>
      <c r="E45" s="30" t="s">
        <v>125</v>
      </c>
      <c r="F45" s="43"/>
      <c r="G45" s="43"/>
      <c r="H45" s="39">
        <f t="shared" si="0"/>
        <v>0</v>
      </c>
    </row>
    <row r="46" spans="1:8">
      <c r="A46" s="532"/>
      <c r="B46" s="535"/>
      <c r="C46" s="538"/>
      <c r="D46" s="31" t="s">
        <v>40</v>
      </c>
      <c r="E46" s="30" t="s">
        <v>121</v>
      </c>
      <c r="F46" s="43"/>
      <c r="G46" s="43"/>
      <c r="H46" s="39">
        <f t="shared" si="0"/>
        <v>0</v>
      </c>
    </row>
    <row r="47" spans="1:8">
      <c r="A47" s="532"/>
      <c r="B47" s="535"/>
      <c r="C47" s="538"/>
      <c r="D47" s="31" t="s">
        <v>32</v>
      </c>
      <c r="E47" s="30" t="s">
        <v>126</v>
      </c>
      <c r="F47" s="43"/>
      <c r="G47" s="43"/>
      <c r="H47" s="39">
        <f t="shared" si="0"/>
        <v>0</v>
      </c>
    </row>
    <row r="48" spans="1:8" ht="28">
      <c r="A48" s="532"/>
      <c r="B48" s="535"/>
      <c r="C48" s="538"/>
      <c r="D48" s="31" t="s">
        <v>32</v>
      </c>
      <c r="E48" s="30" t="s">
        <v>128</v>
      </c>
      <c r="F48" s="43"/>
      <c r="G48" s="43"/>
      <c r="H48" s="39">
        <f t="shared" si="0"/>
        <v>0</v>
      </c>
    </row>
    <row r="49" spans="1:8" ht="28">
      <c r="A49" s="532"/>
      <c r="B49" s="535"/>
      <c r="C49" s="538"/>
      <c r="D49" s="31" t="s">
        <v>32</v>
      </c>
      <c r="E49" s="30" t="s">
        <v>127</v>
      </c>
      <c r="F49" s="43"/>
      <c r="G49" s="43"/>
      <c r="H49" s="39">
        <f t="shared" si="0"/>
        <v>0</v>
      </c>
    </row>
    <row r="50" spans="1:8" ht="28">
      <c r="A50" s="532"/>
      <c r="B50" s="535"/>
      <c r="C50" s="538"/>
      <c r="D50" s="31" t="s">
        <v>32</v>
      </c>
      <c r="E50" s="30" t="s">
        <v>123</v>
      </c>
      <c r="F50" s="43"/>
      <c r="G50" s="43"/>
      <c r="H50" s="39">
        <f t="shared" si="0"/>
        <v>0</v>
      </c>
    </row>
    <row r="51" spans="1:8" ht="42">
      <c r="A51" s="532"/>
      <c r="B51" s="535"/>
      <c r="C51" s="538"/>
      <c r="D51" s="31" t="s">
        <v>32</v>
      </c>
      <c r="E51" s="30" t="s">
        <v>129</v>
      </c>
      <c r="F51" s="43"/>
      <c r="G51" s="43"/>
      <c r="H51" s="39">
        <f t="shared" si="0"/>
        <v>0</v>
      </c>
    </row>
    <row r="52" spans="1:8" s="29" customFormat="1" ht="18.75" customHeight="1">
      <c r="A52" s="533"/>
      <c r="B52" s="536"/>
      <c r="C52" s="539"/>
      <c r="D52" s="544" t="s">
        <v>154</v>
      </c>
      <c r="E52" s="545"/>
      <c r="F52" s="42">
        <f>+ROUND(IFERROR(AVERAGE(F41:F51),0),0)</f>
        <v>0</v>
      </c>
      <c r="G52" s="42">
        <f>+ROUND(IFERROR(AVERAGE(G41:G51),0),0)</f>
        <v>0</v>
      </c>
      <c r="H52" s="44">
        <f>+F52*G52</f>
        <v>0</v>
      </c>
    </row>
    <row r="53" spans="1:8" ht="24.75" customHeight="1">
      <c r="A53" s="531">
        <v>6</v>
      </c>
      <c r="B53" s="534" t="s">
        <v>33</v>
      </c>
      <c r="C53" s="537">
        <v>0.05</v>
      </c>
      <c r="D53" s="541" t="s">
        <v>6</v>
      </c>
      <c r="E53" s="30" t="s">
        <v>82</v>
      </c>
      <c r="F53" s="43"/>
      <c r="G53" s="43"/>
      <c r="H53" s="39">
        <f t="shared" si="0"/>
        <v>0</v>
      </c>
    </row>
    <row r="54" spans="1:8" ht="28">
      <c r="A54" s="532"/>
      <c r="B54" s="535"/>
      <c r="C54" s="538"/>
      <c r="D54" s="543"/>
      <c r="E54" s="30" t="s">
        <v>83</v>
      </c>
      <c r="F54" s="43"/>
      <c r="G54" s="43"/>
      <c r="H54" s="39">
        <f t="shared" si="0"/>
        <v>0</v>
      </c>
    </row>
    <row r="55" spans="1:8">
      <c r="A55" s="532"/>
      <c r="B55" s="535"/>
      <c r="C55" s="538"/>
      <c r="D55" s="541" t="s">
        <v>7</v>
      </c>
      <c r="E55" s="30" t="s">
        <v>80</v>
      </c>
      <c r="F55" s="43"/>
      <c r="G55" s="43"/>
      <c r="H55" s="39">
        <f t="shared" si="0"/>
        <v>0</v>
      </c>
    </row>
    <row r="56" spans="1:8" ht="28">
      <c r="A56" s="532"/>
      <c r="B56" s="535"/>
      <c r="C56" s="538"/>
      <c r="D56" s="543"/>
      <c r="E56" s="30" t="s">
        <v>81</v>
      </c>
      <c r="F56" s="43"/>
      <c r="G56" s="43"/>
      <c r="H56" s="39">
        <f t="shared" si="0"/>
        <v>0</v>
      </c>
    </row>
    <row r="57" spans="1:8" ht="28">
      <c r="A57" s="532"/>
      <c r="B57" s="535"/>
      <c r="C57" s="538"/>
      <c r="D57" s="37" t="s">
        <v>8</v>
      </c>
      <c r="E57" s="30" t="s">
        <v>85</v>
      </c>
      <c r="F57" s="43"/>
      <c r="G57" s="43"/>
      <c r="H57" s="39">
        <f t="shared" si="0"/>
        <v>0</v>
      </c>
    </row>
    <row r="58" spans="1:8" s="29" customFormat="1" ht="18.75" customHeight="1">
      <c r="A58" s="533"/>
      <c r="B58" s="536"/>
      <c r="C58" s="539"/>
      <c r="D58" s="544" t="s">
        <v>155</v>
      </c>
      <c r="E58" s="545"/>
      <c r="F58" s="42">
        <f>+ROUND(IFERROR(AVERAGE(F53:F57),0),0)</f>
        <v>0</v>
      </c>
      <c r="G58" s="42">
        <f>+ROUND(IFERROR(AVERAGE(G53:G57),0),0)</f>
        <v>0</v>
      </c>
      <c r="H58" s="44">
        <f>+F58*G58</f>
        <v>0</v>
      </c>
    </row>
    <row r="59" spans="1:8" ht="28">
      <c r="A59" s="531">
        <v>7</v>
      </c>
      <c r="B59" s="534" t="s">
        <v>35</v>
      </c>
      <c r="C59" s="537">
        <v>0.05</v>
      </c>
      <c r="D59" s="32" t="s">
        <v>14</v>
      </c>
      <c r="E59" s="30" t="s">
        <v>130</v>
      </c>
      <c r="F59" s="43"/>
      <c r="G59" s="43"/>
      <c r="H59" s="39">
        <f t="shared" si="0"/>
        <v>0</v>
      </c>
    </row>
    <row r="60" spans="1:8" ht="28">
      <c r="A60" s="532"/>
      <c r="B60" s="535"/>
      <c r="C60" s="538"/>
      <c r="D60" s="32" t="s">
        <v>14</v>
      </c>
      <c r="E60" s="30" t="s">
        <v>131</v>
      </c>
      <c r="F60" s="43"/>
      <c r="G60" s="43"/>
      <c r="H60" s="39">
        <f t="shared" si="0"/>
        <v>0</v>
      </c>
    </row>
    <row r="61" spans="1:8">
      <c r="A61" s="532"/>
      <c r="B61" s="535"/>
      <c r="C61" s="538"/>
      <c r="D61" s="32" t="s">
        <v>133</v>
      </c>
      <c r="E61" s="30" t="s">
        <v>137</v>
      </c>
      <c r="F61" s="43"/>
      <c r="G61" s="43"/>
      <c r="H61" s="39">
        <f t="shared" si="0"/>
        <v>0</v>
      </c>
    </row>
    <row r="62" spans="1:8" ht="42">
      <c r="A62" s="532"/>
      <c r="B62" s="535"/>
      <c r="C62" s="538"/>
      <c r="D62" s="32" t="s">
        <v>133</v>
      </c>
      <c r="E62" s="30" t="s">
        <v>135</v>
      </c>
      <c r="F62" s="43"/>
      <c r="G62" s="43"/>
      <c r="H62" s="39">
        <f t="shared" si="0"/>
        <v>0</v>
      </c>
    </row>
    <row r="63" spans="1:8" ht="28">
      <c r="A63" s="532"/>
      <c r="B63" s="535"/>
      <c r="C63" s="538"/>
      <c r="D63" s="32" t="s">
        <v>133</v>
      </c>
      <c r="E63" s="30" t="s">
        <v>132</v>
      </c>
      <c r="F63" s="43"/>
      <c r="G63" s="43"/>
      <c r="H63" s="39">
        <f t="shared" si="0"/>
        <v>0</v>
      </c>
    </row>
    <row r="64" spans="1:8" ht="28">
      <c r="A64" s="532"/>
      <c r="B64" s="535"/>
      <c r="C64" s="538"/>
      <c r="D64" s="32" t="s">
        <v>133</v>
      </c>
      <c r="E64" s="30" t="s">
        <v>134</v>
      </c>
      <c r="F64" s="43"/>
      <c r="G64" s="43"/>
      <c r="H64" s="39">
        <f t="shared" si="0"/>
        <v>0</v>
      </c>
    </row>
    <row r="65" spans="1:8">
      <c r="A65" s="532"/>
      <c r="B65" s="535"/>
      <c r="C65" s="538"/>
      <c r="D65" s="32" t="s">
        <v>133</v>
      </c>
      <c r="E65" s="30" t="s">
        <v>136</v>
      </c>
      <c r="F65" s="43"/>
      <c r="G65" s="43"/>
      <c r="H65" s="39">
        <f t="shared" si="0"/>
        <v>0</v>
      </c>
    </row>
    <row r="66" spans="1:8">
      <c r="A66" s="532"/>
      <c r="B66" s="535"/>
      <c r="C66" s="538"/>
      <c r="D66" s="32" t="s">
        <v>138</v>
      </c>
      <c r="E66" s="30" t="s">
        <v>139</v>
      </c>
      <c r="F66" s="43"/>
      <c r="G66" s="43"/>
      <c r="H66" s="39">
        <f t="shared" si="0"/>
        <v>0</v>
      </c>
    </row>
    <row r="67" spans="1:8">
      <c r="A67" s="532"/>
      <c r="B67" s="535"/>
      <c r="C67" s="538"/>
      <c r="D67" s="32" t="s">
        <v>138</v>
      </c>
      <c r="E67" s="30" t="s">
        <v>140</v>
      </c>
      <c r="F67" s="43"/>
      <c r="G67" s="43"/>
      <c r="H67" s="39">
        <f t="shared" si="0"/>
        <v>0</v>
      </c>
    </row>
    <row r="68" spans="1:8" s="29" customFormat="1" ht="18.75" customHeight="1">
      <c r="A68" s="533"/>
      <c r="B68" s="536"/>
      <c r="C68" s="539"/>
      <c r="D68" s="544" t="s">
        <v>155</v>
      </c>
      <c r="E68" s="545"/>
      <c r="F68" s="42">
        <f>+ROUND(IFERROR(AVERAGE(F59:F67),0),0)</f>
        <v>0</v>
      </c>
      <c r="G68" s="42">
        <f>+ROUND(IFERROR(AVERAGE(G59:G67),0),0)</f>
        <v>0</v>
      </c>
      <c r="H68" s="44">
        <f>+F68*G68</f>
        <v>0</v>
      </c>
    </row>
    <row r="69" spans="1:8" ht="42">
      <c r="A69" s="531">
        <v>8</v>
      </c>
      <c r="B69" s="534" t="s">
        <v>37</v>
      </c>
      <c r="C69" s="537">
        <v>0.05</v>
      </c>
      <c r="D69" s="33" t="s">
        <v>19</v>
      </c>
      <c r="E69" s="30" t="s">
        <v>141</v>
      </c>
      <c r="F69" s="43"/>
      <c r="G69" s="43"/>
      <c r="H69" s="39">
        <f t="shared" si="0"/>
        <v>0</v>
      </c>
    </row>
    <row r="70" spans="1:8" ht="25.5" customHeight="1">
      <c r="A70" s="532"/>
      <c r="B70" s="535"/>
      <c r="C70" s="538"/>
      <c r="D70" s="32" t="s">
        <v>20</v>
      </c>
      <c r="E70" s="30" t="s">
        <v>142</v>
      </c>
      <c r="F70" s="43"/>
      <c r="G70" s="43"/>
      <c r="H70" s="39">
        <f t="shared" si="0"/>
        <v>0</v>
      </c>
    </row>
    <row r="71" spans="1:8" ht="84">
      <c r="A71" s="532"/>
      <c r="B71" s="535"/>
      <c r="C71" s="538"/>
      <c r="D71" s="33" t="s">
        <v>21</v>
      </c>
      <c r="E71" s="30" t="s">
        <v>143</v>
      </c>
      <c r="F71" s="43"/>
      <c r="G71" s="43"/>
      <c r="H71" s="39">
        <f t="shared" si="0"/>
        <v>0</v>
      </c>
    </row>
    <row r="72" spans="1:8">
      <c r="A72" s="532"/>
      <c r="B72" s="535"/>
      <c r="C72" s="538"/>
      <c r="D72" s="33" t="s">
        <v>22</v>
      </c>
      <c r="E72" s="30" t="s">
        <v>144</v>
      </c>
      <c r="F72" s="43"/>
      <c r="G72" s="43"/>
      <c r="H72" s="39">
        <f t="shared" si="0"/>
        <v>0</v>
      </c>
    </row>
    <row r="73" spans="1:8">
      <c r="A73" s="532"/>
      <c r="B73" s="535"/>
      <c r="C73" s="538"/>
      <c r="D73" s="33" t="s">
        <v>23</v>
      </c>
      <c r="E73" s="30" t="s">
        <v>145</v>
      </c>
      <c r="F73" s="43"/>
      <c r="G73" s="43"/>
      <c r="H73" s="39">
        <f t="shared" si="0"/>
        <v>0</v>
      </c>
    </row>
    <row r="74" spans="1:8">
      <c r="A74" s="532"/>
      <c r="B74" s="535"/>
      <c r="C74" s="538"/>
      <c r="D74" s="33" t="s">
        <v>24</v>
      </c>
      <c r="E74" s="30" t="s">
        <v>146</v>
      </c>
      <c r="F74" s="43"/>
      <c r="G74" s="43"/>
      <c r="H74" s="39">
        <f>+F74*G74</f>
        <v>0</v>
      </c>
    </row>
    <row r="75" spans="1:8" s="29" customFormat="1" ht="18.75" customHeight="1">
      <c r="A75" s="533"/>
      <c r="B75" s="536"/>
      <c r="C75" s="539"/>
      <c r="D75" s="544" t="s">
        <v>155</v>
      </c>
      <c r="E75" s="545"/>
      <c r="F75" s="42">
        <f>+ROUND(IFERROR(AVERAGE(F69:F74),0),0)</f>
        <v>0</v>
      </c>
      <c r="G75" s="42">
        <f>+ROUND(IFERROR(AVERAGE(G69:G74),0),0)</f>
        <v>0</v>
      </c>
      <c r="H75" s="44">
        <f>+F75*G75</f>
        <v>0</v>
      </c>
    </row>
    <row r="76" spans="1:8" ht="14.25" customHeight="1">
      <c r="A76" s="531">
        <v>9</v>
      </c>
      <c r="B76" s="534" t="s">
        <v>76</v>
      </c>
      <c r="C76" s="553">
        <v>0.05</v>
      </c>
      <c r="D76" s="33" t="s">
        <v>27</v>
      </c>
      <c r="E76" s="30" t="s">
        <v>148</v>
      </c>
      <c r="F76" s="43"/>
      <c r="G76" s="43"/>
      <c r="H76" s="39">
        <f>+F76*G76</f>
        <v>0</v>
      </c>
    </row>
    <row r="77" spans="1:8" ht="28">
      <c r="A77" s="532"/>
      <c r="B77" s="535"/>
      <c r="C77" s="553"/>
      <c r="D77" s="32" t="s">
        <v>28</v>
      </c>
      <c r="E77" s="30" t="s">
        <v>147</v>
      </c>
      <c r="F77" s="43"/>
      <c r="G77" s="43"/>
      <c r="H77" s="39">
        <f>+F77*G77</f>
        <v>0</v>
      </c>
    </row>
    <row r="78" spans="1:8" s="29" customFormat="1" ht="18.75" customHeight="1">
      <c r="A78" s="533"/>
      <c r="B78" s="536"/>
      <c r="C78" s="553"/>
      <c r="D78" s="552" t="s">
        <v>155</v>
      </c>
      <c r="E78" s="552"/>
      <c r="F78" s="42">
        <f>+ROUND(IFERROR(AVERAGE(F76:F77),0),0)</f>
        <v>0</v>
      </c>
      <c r="G78" s="42">
        <f>+ROUND(IFERROR(AVERAGE(G76:G77),0),0)</f>
        <v>0</v>
      </c>
      <c r="H78" s="44">
        <f>+F78*G78</f>
        <v>0</v>
      </c>
    </row>
    <row r="79" spans="1:8" s="29" customFormat="1" ht="18.75" customHeight="1" thickBot="1">
      <c r="A79" s="36"/>
      <c r="B79" s="45"/>
      <c r="C79" s="46"/>
      <c r="D79" s="47"/>
      <c r="E79" s="47"/>
      <c r="F79" s="48"/>
      <c r="G79" s="48"/>
      <c r="H79" s="49"/>
    </row>
    <row r="80" spans="1:8" ht="23.25" customHeight="1" thickBot="1">
      <c r="A80" s="548"/>
      <c r="B80" s="549"/>
      <c r="C80" s="53">
        <f>+SUM(C4:C78)</f>
        <v>1</v>
      </c>
      <c r="D80" s="550" t="s">
        <v>156</v>
      </c>
      <c r="E80" s="551"/>
      <c r="F80" s="54">
        <f>ROUND(+F15*$C4+F19*$C16+F29*$C20+F40*$C30+F52*$C41+F58*$C53+F68*$C59+F75*$C69+F78*$C76,0)</f>
        <v>0</v>
      </c>
      <c r="G80" s="55">
        <f>ROUND(+G15*$C4+G19*$C16+G29*$C20+G40*$C30+G52*$C41+G58*$C53+G68*$C59+G75*$C69+G78*$C76,0)</f>
        <v>0</v>
      </c>
      <c r="H80" s="56">
        <f>+G80*F80</f>
        <v>0</v>
      </c>
    </row>
    <row r="82" spans="1:8" ht="15" hidden="1" thickBot="1">
      <c r="A82" s="554"/>
      <c r="B82" s="555"/>
      <c r="C82" s="50">
        <f>+SUM(C4:C76)</f>
        <v>1</v>
      </c>
      <c r="D82" s="546" t="s">
        <v>156</v>
      </c>
      <c r="E82" s="547"/>
      <c r="F82" s="52">
        <f>ROUND(IFERROR(AVERAGE(F4:F14)*$C4,0)+IFERROR(AVERAGE(F16:F18)*$C16,0)+IFERROR(AVERAGE(F20:F28)*$C20,0)+IFERROR(AVERAGE(F30:F39)*$C30,0)+IFERROR(AVERAGE(F41:F51)*$C41,0),+IFERROR(AVERAGE(F53:F57)*$C53,0)+IFERROR(AVERAGE(F59:F67)*$C59,0)+IFERROR(AVERAGE(F69:F74)*$C69,0)+IFERROR(AVERAGE(F76:F77)*$C76,0)*0)</f>
        <v>0</v>
      </c>
      <c r="G82" s="52">
        <f>ROUND(IFERROR(AVERAGE(G4:G14)*$C4,0)+IFERROR(AVERAGE(G16:G18)*$C16,0)+IFERROR(AVERAGE(G20:G28)*$C20,0)+IFERROR(AVERAGE(G30:G39)*$C30,0)+IFERROR(AVERAGE(G41:G51)*$C41,0),+IFERROR(AVERAGE(G53:G57)*$C53,0)+IFERROR(AVERAGE(G59:G67)*$C59,0)+IFERROR(AVERAGE(G69:G74)*$C69,0)+IFERROR(AVERAGE(G76:G77)*$C76,0)*0)</f>
        <v>0</v>
      </c>
      <c r="H82" s="51">
        <f>+G82*F82</f>
        <v>0</v>
      </c>
    </row>
  </sheetData>
  <mergeCells count="53">
    <mergeCell ref="D82:E82"/>
    <mergeCell ref="A80:B80"/>
    <mergeCell ref="D80:E80"/>
    <mergeCell ref="D75:E75"/>
    <mergeCell ref="D78:E78"/>
    <mergeCell ref="A76:A78"/>
    <mergeCell ref="C76:C78"/>
    <mergeCell ref="B76:B78"/>
    <mergeCell ref="C69:C75"/>
    <mergeCell ref="B69:B75"/>
    <mergeCell ref="A69:A75"/>
    <mergeCell ref="A82:B82"/>
    <mergeCell ref="D58:E58"/>
    <mergeCell ref="C53:C58"/>
    <mergeCell ref="B53:B58"/>
    <mergeCell ref="A53:A58"/>
    <mergeCell ref="D68:E68"/>
    <mergeCell ref="C59:C68"/>
    <mergeCell ref="B59:B68"/>
    <mergeCell ref="A59:A68"/>
    <mergeCell ref="D55:D56"/>
    <mergeCell ref="D53:D54"/>
    <mergeCell ref="D52:E52"/>
    <mergeCell ref="C41:C52"/>
    <mergeCell ref="B41:B52"/>
    <mergeCell ref="A41:A52"/>
    <mergeCell ref="D34:D36"/>
    <mergeCell ref="D37:D38"/>
    <mergeCell ref="D40:E40"/>
    <mergeCell ref="A30:A40"/>
    <mergeCell ref="B30:B40"/>
    <mergeCell ref="C30:C40"/>
    <mergeCell ref="D15:E15"/>
    <mergeCell ref="A16:A19"/>
    <mergeCell ref="B16:B19"/>
    <mergeCell ref="C16:C19"/>
    <mergeCell ref="D29:E29"/>
    <mergeCell ref="D2:D3"/>
    <mergeCell ref="E2:E3"/>
    <mergeCell ref="A20:A29"/>
    <mergeCell ref="B20:B29"/>
    <mergeCell ref="C20:C29"/>
    <mergeCell ref="A2:A3"/>
    <mergeCell ref="B2:B3"/>
    <mergeCell ref="C2:C3"/>
    <mergeCell ref="B4:B15"/>
    <mergeCell ref="D4:D6"/>
    <mergeCell ref="D7:D10"/>
    <mergeCell ref="D11:D12"/>
    <mergeCell ref="D13:D14"/>
    <mergeCell ref="D19:E19"/>
    <mergeCell ref="A4:A15"/>
    <mergeCell ref="C4:C15"/>
  </mergeCells>
  <pageMargins left="0.7" right="0.7" top="0.75" bottom="0.75" header="0.3" footer="0.3"/>
  <pageSetup paperSize="9" orientation="portrait" horizontalDpi="0" verticalDpi="0"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C00000"/>
  </sheetPr>
  <dimension ref="A1:S35"/>
  <sheetViews>
    <sheetView topLeftCell="J1" zoomScale="90" zoomScaleNormal="90" workbookViewId="0">
      <selection activeCell="R24" sqref="R24"/>
    </sheetView>
  </sheetViews>
  <sheetFormatPr baseColWidth="10" defaultColWidth="11.54296875" defaultRowHeight="15" thickBottom="1"/>
  <cols>
    <col min="1" max="1" width="3.54296875" style="126" customWidth="1"/>
    <col min="2" max="2" width="15" style="126" customWidth="1"/>
    <col min="3" max="3" width="5.90625" style="126" customWidth="1"/>
    <col min="4" max="4" width="16.6328125" style="126" bestFit="1" customWidth="1"/>
    <col min="5" max="5" width="35.453125" style="137" customWidth="1"/>
    <col min="6" max="7" width="26.36328125" style="137" customWidth="1"/>
    <col min="8" max="8" width="7.453125" style="138" customWidth="1"/>
    <col min="9" max="9" width="9.36328125" style="138" customWidth="1"/>
    <col min="10" max="10" width="10.08984375" style="138" customWidth="1"/>
    <col min="11" max="11" width="27.54296875" style="183" customWidth="1"/>
    <col min="12" max="12" width="42.08984375" style="137" customWidth="1"/>
    <col min="13" max="13" width="28.08984375" style="137" customWidth="1"/>
    <col min="14" max="14" width="16" style="137" customWidth="1"/>
    <col min="15" max="15" width="8.54296875" style="138" customWidth="1"/>
    <col min="16" max="16" width="11.54296875" style="138"/>
    <col min="17" max="17" width="10" style="138" customWidth="1"/>
    <col min="18" max="18" width="11.54296875" style="138"/>
    <col min="19" max="16384" width="11.54296875" style="126"/>
  </cols>
  <sheetData>
    <row r="1" spans="1:19" ht="36.65" customHeight="1" thickBot="1">
      <c r="A1" s="514" t="s">
        <v>414</v>
      </c>
      <c r="B1" s="514"/>
      <c r="C1" s="514"/>
      <c r="D1" s="514"/>
      <c r="E1" s="514"/>
      <c r="F1" s="514"/>
      <c r="G1" s="514"/>
      <c r="H1" s="514"/>
      <c r="I1" s="514"/>
      <c r="J1" s="514"/>
      <c r="K1" s="514"/>
      <c r="L1" s="514"/>
      <c r="M1" s="514"/>
      <c r="N1" s="514"/>
      <c r="O1" s="514"/>
      <c r="P1" s="514"/>
      <c r="Q1" s="514"/>
      <c r="R1" s="514"/>
      <c r="S1" s="125"/>
    </row>
    <row r="2" spans="1:19" ht="25" customHeight="1" thickBot="1">
      <c r="A2" s="573" t="s">
        <v>71</v>
      </c>
      <c r="B2" s="576" t="s">
        <v>72</v>
      </c>
      <c r="C2" s="579" t="s">
        <v>73</v>
      </c>
      <c r="D2" s="573" t="s">
        <v>74</v>
      </c>
      <c r="E2" s="576" t="s">
        <v>350</v>
      </c>
      <c r="F2" s="582" t="s">
        <v>804</v>
      </c>
      <c r="G2" s="582" t="s">
        <v>805</v>
      </c>
      <c r="H2" s="585" t="s">
        <v>58</v>
      </c>
      <c r="I2" s="585" t="s">
        <v>43</v>
      </c>
      <c r="J2" s="585" t="s">
        <v>245</v>
      </c>
      <c r="K2" s="586" t="s">
        <v>455</v>
      </c>
      <c r="L2" s="585" t="s">
        <v>330</v>
      </c>
      <c r="M2" s="585"/>
      <c r="N2" s="585"/>
      <c r="O2" s="585"/>
      <c r="P2" s="585" t="s">
        <v>252</v>
      </c>
      <c r="Q2" s="585" t="s">
        <v>253</v>
      </c>
      <c r="R2" s="585" t="s">
        <v>246</v>
      </c>
      <c r="S2" s="125"/>
    </row>
    <row r="3" spans="1:19" ht="7.5" customHeight="1" thickBot="1">
      <c r="A3" s="574"/>
      <c r="B3" s="577"/>
      <c r="C3" s="580"/>
      <c r="D3" s="574"/>
      <c r="E3" s="577"/>
      <c r="F3" s="583"/>
      <c r="G3" s="583"/>
      <c r="H3" s="585"/>
      <c r="I3" s="585"/>
      <c r="J3" s="585"/>
      <c r="K3" s="587"/>
      <c r="L3" s="585"/>
      <c r="M3" s="585"/>
      <c r="N3" s="585"/>
      <c r="O3" s="585"/>
      <c r="P3" s="585"/>
      <c r="Q3" s="585"/>
      <c r="R3" s="585"/>
      <c r="S3" s="125"/>
    </row>
    <row r="4" spans="1:19" ht="23.5" customHeight="1" thickBot="1">
      <c r="A4" s="575"/>
      <c r="B4" s="578"/>
      <c r="C4" s="581"/>
      <c r="D4" s="575"/>
      <c r="E4" s="578"/>
      <c r="F4" s="584"/>
      <c r="G4" s="584"/>
      <c r="H4" s="127" t="s">
        <v>0</v>
      </c>
      <c r="I4" s="127" t="s">
        <v>1</v>
      </c>
      <c r="J4" s="127" t="s">
        <v>4</v>
      </c>
      <c r="K4" s="588"/>
      <c r="L4" s="127" t="s">
        <v>413</v>
      </c>
      <c r="M4" s="127" t="s">
        <v>405</v>
      </c>
      <c r="N4" s="159" t="s">
        <v>254</v>
      </c>
      <c r="O4" s="127" t="s">
        <v>225</v>
      </c>
      <c r="P4" s="127" t="s">
        <v>0</v>
      </c>
      <c r="Q4" s="127" t="s">
        <v>351</v>
      </c>
      <c r="R4" s="127" t="s">
        <v>4</v>
      </c>
      <c r="S4" s="125"/>
    </row>
    <row r="5" spans="1:19" ht="44" thickBot="1">
      <c r="A5" s="564">
        <v>1</v>
      </c>
      <c r="B5" s="561" t="s">
        <v>494</v>
      </c>
      <c r="C5" s="567">
        <v>2.5000000000000001E-2</v>
      </c>
      <c r="D5" s="570" t="s">
        <v>412</v>
      </c>
      <c r="E5" s="128" t="s">
        <v>982</v>
      </c>
      <c r="F5" s="172" t="s">
        <v>394</v>
      </c>
      <c r="G5" s="172" t="s">
        <v>806</v>
      </c>
      <c r="H5" s="129">
        <v>4</v>
      </c>
      <c r="I5" s="129">
        <v>2</v>
      </c>
      <c r="J5" s="132">
        <f>H5*I5</f>
        <v>8</v>
      </c>
      <c r="K5" s="184"/>
      <c r="L5" s="131" t="s">
        <v>1227</v>
      </c>
      <c r="M5" s="131" t="s">
        <v>525</v>
      </c>
      <c r="N5" s="149" t="s">
        <v>317</v>
      </c>
      <c r="O5" s="129">
        <v>2</v>
      </c>
      <c r="P5" s="129">
        <f>H5</f>
        <v>4</v>
      </c>
      <c r="Q5" s="129">
        <f t="shared" ref="Q5:Q22" si="0">I5/O5</f>
        <v>1</v>
      </c>
      <c r="R5" s="132">
        <f>P5*Q5</f>
        <v>4</v>
      </c>
      <c r="S5" s="125"/>
    </row>
    <row r="6" spans="1:19" ht="58.5" thickBot="1">
      <c r="A6" s="565"/>
      <c r="B6" s="562"/>
      <c r="C6" s="568"/>
      <c r="D6" s="571"/>
      <c r="E6" s="128" t="s">
        <v>782</v>
      </c>
      <c r="F6" s="172" t="s">
        <v>526</v>
      </c>
      <c r="G6" s="172" t="s">
        <v>806</v>
      </c>
      <c r="H6" s="129">
        <v>3</v>
      </c>
      <c r="I6" s="129">
        <v>3</v>
      </c>
      <c r="J6" s="132">
        <f>H6*I6</f>
        <v>9</v>
      </c>
      <c r="K6" s="184"/>
      <c r="L6" s="131" t="s">
        <v>1225</v>
      </c>
      <c r="M6" s="131" t="s">
        <v>525</v>
      </c>
      <c r="N6" s="149" t="s">
        <v>527</v>
      </c>
      <c r="O6" s="129">
        <v>2</v>
      </c>
      <c r="P6" s="129">
        <f>H6</f>
        <v>3</v>
      </c>
      <c r="Q6" s="129">
        <f t="shared" si="0"/>
        <v>1.5</v>
      </c>
      <c r="R6" s="132">
        <f>P6*Q6</f>
        <v>4.5</v>
      </c>
      <c r="S6" s="125"/>
    </row>
    <row r="7" spans="1:19" ht="29.5" thickBot="1">
      <c r="A7" s="565"/>
      <c r="B7" s="562"/>
      <c r="C7" s="568"/>
      <c r="D7" s="571"/>
      <c r="E7" s="128" t="s">
        <v>521</v>
      </c>
      <c r="F7" s="172" t="s">
        <v>524</v>
      </c>
      <c r="G7" s="172" t="s">
        <v>806</v>
      </c>
      <c r="H7" s="129">
        <v>4</v>
      </c>
      <c r="I7" s="129">
        <v>3</v>
      </c>
      <c r="J7" s="132">
        <f>H7*I7</f>
        <v>12</v>
      </c>
      <c r="K7" s="184"/>
      <c r="L7" s="131" t="s">
        <v>1226</v>
      </c>
      <c r="M7" s="131" t="s">
        <v>525</v>
      </c>
      <c r="N7" s="149" t="s">
        <v>527</v>
      </c>
      <c r="O7" s="129">
        <v>2</v>
      </c>
      <c r="P7" s="129">
        <f>H7</f>
        <v>4</v>
      </c>
      <c r="Q7" s="129">
        <f t="shared" si="0"/>
        <v>1.5</v>
      </c>
      <c r="R7" s="132">
        <f>P7*Q7</f>
        <v>6</v>
      </c>
      <c r="S7" s="125"/>
    </row>
    <row r="8" spans="1:19" ht="29.5" thickBot="1">
      <c r="A8" s="565"/>
      <c r="B8" s="562"/>
      <c r="C8" s="568"/>
      <c r="D8" s="571"/>
      <c r="E8" s="128" t="s">
        <v>522</v>
      </c>
      <c r="F8" s="173" t="s">
        <v>817</v>
      </c>
      <c r="G8" s="173" t="s">
        <v>780</v>
      </c>
      <c r="H8" s="129">
        <v>3</v>
      </c>
      <c r="I8" s="129">
        <v>2</v>
      </c>
      <c r="J8" s="132">
        <f>H8*I8</f>
        <v>6</v>
      </c>
      <c r="K8" s="184"/>
      <c r="L8" s="131" t="s">
        <v>1228</v>
      </c>
      <c r="M8" s="131" t="s">
        <v>525</v>
      </c>
      <c r="N8" s="149" t="s">
        <v>528</v>
      </c>
      <c r="O8" s="129">
        <v>2</v>
      </c>
      <c r="P8" s="129">
        <f>H8</f>
        <v>3</v>
      </c>
      <c r="Q8" s="268">
        <f t="shared" si="0"/>
        <v>1</v>
      </c>
      <c r="R8" s="267">
        <f>P8*Q8</f>
        <v>3</v>
      </c>
      <c r="S8" s="125"/>
    </row>
    <row r="9" spans="1:19" ht="29.5" thickBot="1">
      <c r="A9" s="565"/>
      <c r="B9" s="562"/>
      <c r="C9" s="568"/>
      <c r="D9" s="572"/>
      <c r="E9" s="128" t="s">
        <v>783</v>
      </c>
      <c r="F9" s="173" t="s">
        <v>399</v>
      </c>
      <c r="G9" s="173" t="s">
        <v>806</v>
      </c>
      <c r="H9" s="129">
        <v>4</v>
      </c>
      <c r="I9" s="129">
        <v>3</v>
      </c>
      <c r="J9" s="171">
        <f t="shared" ref="J9:J22" si="1">H9*I9</f>
        <v>12</v>
      </c>
      <c r="K9" s="184"/>
      <c r="L9" s="131" t="s">
        <v>1229</v>
      </c>
      <c r="M9" s="131" t="s">
        <v>525</v>
      </c>
      <c r="N9" s="149" t="s">
        <v>529</v>
      </c>
      <c r="O9" s="129">
        <v>2</v>
      </c>
      <c r="P9" s="129">
        <f t="shared" ref="P9:P22" si="2">H9</f>
        <v>4</v>
      </c>
      <c r="Q9" s="129">
        <f t="shared" si="0"/>
        <v>1.5</v>
      </c>
      <c r="R9" s="132">
        <f t="shared" ref="R9:R22" si="3">P9*Q9</f>
        <v>6</v>
      </c>
      <c r="S9" s="125"/>
    </row>
    <row r="10" spans="1:19" thickBot="1">
      <c r="A10" s="565"/>
      <c r="B10" s="562"/>
      <c r="C10" s="568"/>
      <c r="D10" s="570" t="s">
        <v>218</v>
      </c>
      <c r="E10" s="128" t="s">
        <v>784</v>
      </c>
      <c r="F10" s="173" t="s">
        <v>401</v>
      </c>
      <c r="G10" s="173" t="s">
        <v>806</v>
      </c>
      <c r="H10" s="129">
        <v>3</v>
      </c>
      <c r="I10" s="129">
        <v>3</v>
      </c>
      <c r="J10" s="132">
        <f t="shared" si="1"/>
        <v>9</v>
      </c>
      <c r="K10" s="184"/>
      <c r="L10" s="131" t="s">
        <v>1230</v>
      </c>
      <c r="M10" s="131" t="s">
        <v>525</v>
      </c>
      <c r="N10" s="149" t="s">
        <v>924</v>
      </c>
      <c r="O10" s="129">
        <v>2</v>
      </c>
      <c r="P10" s="129">
        <f t="shared" si="2"/>
        <v>3</v>
      </c>
      <c r="Q10" s="129">
        <f t="shared" si="0"/>
        <v>1.5</v>
      </c>
      <c r="R10" s="132">
        <f t="shared" si="3"/>
        <v>4.5</v>
      </c>
      <c r="S10" s="125"/>
    </row>
    <row r="11" spans="1:19" ht="29.5" thickBot="1">
      <c r="A11" s="565"/>
      <c r="B11" s="562"/>
      <c r="C11" s="568"/>
      <c r="D11" s="571"/>
      <c r="E11" s="131" t="s">
        <v>523</v>
      </c>
      <c r="F11" s="173" t="s">
        <v>418</v>
      </c>
      <c r="G11" s="173" t="s">
        <v>361</v>
      </c>
      <c r="H11" s="129">
        <v>4</v>
      </c>
      <c r="I11" s="129">
        <v>2</v>
      </c>
      <c r="J11" s="132">
        <f t="shared" si="1"/>
        <v>8</v>
      </c>
      <c r="K11" s="184"/>
      <c r="L11" s="131" t="s">
        <v>1231</v>
      </c>
      <c r="M11" s="131" t="s">
        <v>525</v>
      </c>
      <c r="N11" s="149" t="s">
        <v>924</v>
      </c>
      <c r="O11" s="129">
        <v>2</v>
      </c>
      <c r="P11" s="129">
        <f t="shared" si="2"/>
        <v>4</v>
      </c>
      <c r="Q11" s="129">
        <f t="shared" si="0"/>
        <v>1</v>
      </c>
      <c r="R11" s="132">
        <f>P11*Q11</f>
        <v>4</v>
      </c>
      <c r="S11" s="125"/>
    </row>
    <row r="12" spans="1:19" ht="87.5" thickBot="1">
      <c r="A12" s="565"/>
      <c r="B12" s="562"/>
      <c r="C12" s="568"/>
      <c r="D12" s="571"/>
      <c r="E12" s="343" t="s">
        <v>956</v>
      </c>
      <c r="F12" s="295" t="s">
        <v>957</v>
      </c>
      <c r="G12" s="295" t="s">
        <v>806</v>
      </c>
      <c r="H12" s="129">
        <v>4</v>
      </c>
      <c r="I12" s="129">
        <v>3</v>
      </c>
      <c r="J12" s="171">
        <f t="shared" si="1"/>
        <v>12</v>
      </c>
      <c r="K12" s="184"/>
      <c r="L12" s="131" t="s">
        <v>958</v>
      </c>
      <c r="M12" s="131" t="s">
        <v>539</v>
      </c>
      <c r="N12" s="149" t="s">
        <v>959</v>
      </c>
      <c r="O12" s="129">
        <v>1</v>
      </c>
      <c r="P12" s="129">
        <v>4</v>
      </c>
      <c r="Q12" s="129"/>
      <c r="R12" s="132"/>
      <c r="S12" s="125"/>
    </row>
    <row r="13" spans="1:19" ht="29.5" thickBot="1">
      <c r="A13" s="565"/>
      <c r="B13" s="562"/>
      <c r="C13" s="568"/>
      <c r="D13" s="571"/>
      <c r="E13" s="343" t="s">
        <v>960</v>
      </c>
      <c r="F13" s="295" t="s">
        <v>961</v>
      </c>
      <c r="G13" s="295" t="s">
        <v>361</v>
      </c>
      <c r="H13" s="129">
        <v>4</v>
      </c>
      <c r="I13" s="129">
        <v>2</v>
      </c>
      <c r="J13" s="171">
        <f t="shared" si="1"/>
        <v>8</v>
      </c>
      <c r="K13" s="184"/>
      <c r="L13" s="131" t="s">
        <v>1232</v>
      </c>
      <c r="M13" s="131" t="s">
        <v>525</v>
      </c>
      <c r="N13" s="149" t="s">
        <v>959</v>
      </c>
      <c r="O13" s="129">
        <v>3</v>
      </c>
      <c r="P13" s="129">
        <v>4</v>
      </c>
      <c r="Q13" s="129"/>
      <c r="R13" s="132"/>
      <c r="S13" s="125"/>
    </row>
    <row r="14" spans="1:19" ht="29.5" thickBot="1">
      <c r="A14" s="565"/>
      <c r="B14" s="562"/>
      <c r="C14" s="568"/>
      <c r="D14" s="571"/>
      <c r="E14" s="343" t="s">
        <v>983</v>
      </c>
      <c r="F14" s="295" t="s">
        <v>383</v>
      </c>
      <c r="G14" s="295" t="s">
        <v>361</v>
      </c>
      <c r="H14" s="129">
        <v>4</v>
      </c>
      <c r="I14" s="129">
        <v>3</v>
      </c>
      <c r="J14" s="171">
        <f t="shared" si="1"/>
        <v>12</v>
      </c>
      <c r="K14" s="184"/>
      <c r="L14" s="131"/>
      <c r="M14" s="131" t="s">
        <v>539</v>
      </c>
      <c r="N14" s="149" t="s">
        <v>959</v>
      </c>
      <c r="O14" s="129">
        <v>2</v>
      </c>
      <c r="P14" s="129">
        <v>4</v>
      </c>
      <c r="Q14" s="129"/>
      <c r="R14" s="132"/>
      <c r="S14" s="125"/>
    </row>
    <row r="15" spans="1:19" ht="29.5" thickBot="1">
      <c r="A15" s="565"/>
      <c r="B15" s="562"/>
      <c r="C15" s="568"/>
      <c r="D15" s="571"/>
      <c r="E15" s="294" t="s">
        <v>679</v>
      </c>
      <c r="F15" s="344" t="s">
        <v>680</v>
      </c>
      <c r="G15" s="344" t="s">
        <v>806</v>
      </c>
      <c r="H15" s="129">
        <v>4</v>
      </c>
      <c r="I15" s="129">
        <v>2</v>
      </c>
      <c r="J15" s="171">
        <f t="shared" si="1"/>
        <v>8</v>
      </c>
      <c r="K15" s="184"/>
      <c r="L15" s="131" t="s">
        <v>682</v>
      </c>
      <c r="M15" s="131"/>
      <c r="N15" s="149" t="s">
        <v>924</v>
      </c>
      <c r="O15" s="129">
        <v>2</v>
      </c>
      <c r="P15" s="129">
        <f t="shared" si="2"/>
        <v>4</v>
      </c>
      <c r="Q15" s="129">
        <f t="shared" si="0"/>
        <v>1</v>
      </c>
      <c r="R15" s="132">
        <f t="shared" si="3"/>
        <v>4</v>
      </c>
      <c r="S15" s="125"/>
    </row>
    <row r="16" spans="1:19" ht="44" thickBot="1">
      <c r="A16" s="565"/>
      <c r="B16" s="562"/>
      <c r="C16" s="568"/>
      <c r="D16" s="572"/>
      <c r="E16" s="343" t="s">
        <v>681</v>
      </c>
      <c r="F16" s="295" t="s">
        <v>807</v>
      </c>
      <c r="G16" s="295" t="s">
        <v>361</v>
      </c>
      <c r="H16" s="129">
        <v>4</v>
      </c>
      <c r="I16" s="129">
        <v>2</v>
      </c>
      <c r="J16" s="171">
        <f t="shared" si="1"/>
        <v>8</v>
      </c>
      <c r="K16" s="184"/>
      <c r="L16" s="142" t="s">
        <v>1327</v>
      </c>
      <c r="M16" s="131" t="s">
        <v>539</v>
      </c>
      <c r="N16" s="149" t="s">
        <v>924</v>
      </c>
      <c r="O16" s="129">
        <v>2</v>
      </c>
      <c r="P16" s="129">
        <f t="shared" si="2"/>
        <v>4</v>
      </c>
      <c r="Q16" s="129">
        <f t="shared" si="0"/>
        <v>1</v>
      </c>
      <c r="R16" s="132">
        <f t="shared" si="3"/>
        <v>4</v>
      </c>
      <c r="S16" s="125"/>
    </row>
    <row r="17" spans="1:19" ht="29.5" thickBot="1">
      <c r="A17" s="565"/>
      <c r="B17" s="562"/>
      <c r="C17" s="568"/>
      <c r="D17" s="570" t="s">
        <v>683</v>
      </c>
      <c r="E17" s="274" t="s">
        <v>684</v>
      </c>
      <c r="F17" s="173" t="s">
        <v>685</v>
      </c>
      <c r="G17" s="172" t="s">
        <v>806</v>
      </c>
      <c r="H17" s="129">
        <v>4</v>
      </c>
      <c r="I17" s="129">
        <v>2</v>
      </c>
      <c r="J17" s="171">
        <f t="shared" si="1"/>
        <v>8</v>
      </c>
      <c r="K17" s="184"/>
      <c r="L17" s="142" t="s">
        <v>1233</v>
      </c>
      <c r="M17" s="131" t="s">
        <v>525</v>
      </c>
      <c r="N17" s="149" t="s">
        <v>924</v>
      </c>
      <c r="O17" s="129">
        <v>2</v>
      </c>
      <c r="P17" s="129">
        <f t="shared" si="2"/>
        <v>4</v>
      </c>
      <c r="Q17" s="129">
        <f t="shared" si="0"/>
        <v>1</v>
      </c>
      <c r="R17" s="132">
        <f t="shared" si="3"/>
        <v>4</v>
      </c>
      <c r="S17" s="125"/>
    </row>
    <row r="18" spans="1:19" ht="44" thickBot="1">
      <c r="A18" s="565"/>
      <c r="B18" s="562"/>
      <c r="C18" s="568"/>
      <c r="D18" s="571"/>
      <c r="E18" s="294" t="s">
        <v>962</v>
      </c>
      <c r="F18" s="295" t="s">
        <v>957</v>
      </c>
      <c r="G18" s="344" t="s">
        <v>806</v>
      </c>
      <c r="H18" s="129">
        <v>3</v>
      </c>
      <c r="I18" s="129">
        <v>3</v>
      </c>
      <c r="J18" s="171">
        <v>9</v>
      </c>
      <c r="K18" s="184"/>
      <c r="L18" s="142" t="s">
        <v>1233</v>
      </c>
      <c r="M18" s="131" t="s">
        <v>525</v>
      </c>
      <c r="N18" s="149" t="s">
        <v>963</v>
      </c>
      <c r="O18" s="129">
        <v>2</v>
      </c>
      <c r="P18" s="129">
        <v>3</v>
      </c>
      <c r="Q18" s="129"/>
      <c r="R18" s="132"/>
      <c r="S18" s="125"/>
    </row>
    <row r="19" spans="1:19" ht="44" thickBot="1">
      <c r="A19" s="565"/>
      <c r="B19" s="562"/>
      <c r="C19" s="568"/>
      <c r="D19" s="571"/>
      <c r="E19" s="294" t="s">
        <v>964</v>
      </c>
      <c r="F19" s="295" t="s">
        <v>965</v>
      </c>
      <c r="G19" s="344" t="s">
        <v>361</v>
      </c>
      <c r="H19" s="129">
        <v>3</v>
      </c>
      <c r="I19" s="129">
        <v>2</v>
      </c>
      <c r="J19" s="171">
        <v>6</v>
      </c>
      <c r="K19" s="184"/>
      <c r="L19" s="142" t="s">
        <v>966</v>
      </c>
      <c r="M19" s="131" t="s">
        <v>525</v>
      </c>
      <c r="N19" s="149" t="s">
        <v>963</v>
      </c>
      <c r="O19" s="129">
        <v>3</v>
      </c>
      <c r="P19" s="129">
        <v>3</v>
      </c>
      <c r="Q19" s="129"/>
      <c r="R19" s="132"/>
      <c r="S19" s="125"/>
    </row>
    <row r="20" spans="1:19" ht="29.5" thickBot="1">
      <c r="A20" s="565"/>
      <c r="B20" s="562"/>
      <c r="C20" s="568"/>
      <c r="D20" s="572"/>
      <c r="E20" s="294" t="s">
        <v>967</v>
      </c>
      <c r="F20" s="295" t="s">
        <v>691</v>
      </c>
      <c r="G20" s="344" t="s">
        <v>806</v>
      </c>
      <c r="H20" s="129">
        <v>4</v>
      </c>
      <c r="I20" s="129">
        <v>3</v>
      </c>
      <c r="J20" s="171">
        <v>12</v>
      </c>
      <c r="K20" s="184"/>
      <c r="L20" s="142" t="s">
        <v>1234</v>
      </c>
      <c r="M20" s="131" t="s">
        <v>539</v>
      </c>
      <c r="N20" s="149" t="s">
        <v>959</v>
      </c>
      <c r="O20" s="129">
        <v>1</v>
      </c>
      <c r="P20" s="129">
        <v>4</v>
      </c>
      <c r="Q20" s="129"/>
      <c r="R20" s="132"/>
      <c r="S20" s="125"/>
    </row>
    <row r="21" spans="1:19" ht="44" thickBot="1">
      <c r="A21" s="565"/>
      <c r="B21" s="562"/>
      <c r="C21" s="568"/>
      <c r="D21" s="162" t="s">
        <v>686</v>
      </c>
      <c r="E21" s="274" t="s">
        <v>687</v>
      </c>
      <c r="F21" s="173" t="s">
        <v>690</v>
      </c>
      <c r="G21" s="172" t="s">
        <v>806</v>
      </c>
      <c r="H21" s="129">
        <v>4</v>
      </c>
      <c r="I21" s="129">
        <v>2</v>
      </c>
      <c r="J21" s="171">
        <f t="shared" si="1"/>
        <v>8</v>
      </c>
      <c r="K21" s="184"/>
      <c r="L21" s="142" t="s">
        <v>1236</v>
      </c>
      <c r="M21" s="131"/>
      <c r="N21" s="149" t="s">
        <v>924</v>
      </c>
      <c r="O21" s="129">
        <v>2</v>
      </c>
      <c r="P21" s="129">
        <f t="shared" si="2"/>
        <v>4</v>
      </c>
      <c r="Q21" s="129">
        <f t="shared" si="0"/>
        <v>1</v>
      </c>
      <c r="R21" s="132">
        <f t="shared" si="3"/>
        <v>4</v>
      </c>
      <c r="S21" s="125"/>
    </row>
    <row r="22" spans="1:19" ht="46.5" thickBot="1">
      <c r="A22" s="566"/>
      <c r="B22" s="563"/>
      <c r="C22" s="569"/>
      <c r="D22" s="162" t="s">
        <v>688</v>
      </c>
      <c r="E22" s="274" t="s">
        <v>689</v>
      </c>
      <c r="F22" s="173" t="s">
        <v>691</v>
      </c>
      <c r="G22" s="172" t="s">
        <v>806</v>
      </c>
      <c r="H22" s="129">
        <v>3</v>
      </c>
      <c r="I22" s="129">
        <v>2</v>
      </c>
      <c r="J22" s="171">
        <f t="shared" si="1"/>
        <v>6</v>
      </c>
      <c r="K22" s="184"/>
      <c r="L22" s="142" t="s">
        <v>1235</v>
      </c>
      <c r="M22" s="131"/>
      <c r="N22" s="149" t="s">
        <v>924</v>
      </c>
      <c r="O22" s="129">
        <v>2</v>
      </c>
      <c r="P22" s="129">
        <f t="shared" si="2"/>
        <v>3</v>
      </c>
      <c r="Q22" s="129">
        <f t="shared" si="0"/>
        <v>1</v>
      </c>
      <c r="R22" s="132">
        <f t="shared" si="3"/>
        <v>3</v>
      </c>
      <c r="S22" s="125"/>
    </row>
    <row r="23" spans="1:19" ht="16" thickBot="1">
      <c r="A23" s="211" t="s">
        <v>415</v>
      </c>
      <c r="B23" s="211"/>
      <c r="C23" s="211"/>
      <c r="D23" s="293"/>
      <c r="E23" s="556" t="s">
        <v>243</v>
      </c>
      <c r="F23" s="557"/>
      <c r="G23" s="315"/>
      <c r="H23" s="133">
        <f>+ROUND(IFERROR(AVERAGE(H5:H22),0),0)</f>
        <v>4</v>
      </c>
      <c r="I23" s="133">
        <f>+ROUND(IFERROR(AVERAGE(I5:I22),0),0)</f>
        <v>2</v>
      </c>
      <c r="J23" s="171">
        <f>H23*I23</f>
        <v>8</v>
      </c>
      <c r="K23" s="185"/>
      <c r="L23" s="558" t="s">
        <v>244</v>
      </c>
      <c r="M23" s="559"/>
      <c r="N23" s="560"/>
      <c r="O23" s="133">
        <f t="shared" ref="O23:P23" si="4">+ROUND(IFERROR(AVERAGE(O5:O22),0),0)</f>
        <v>2</v>
      </c>
      <c r="P23" s="133">
        <f>+ROUND(IFERROR(AVERAGE(P5:P22),0),0)</f>
        <v>4</v>
      </c>
      <c r="Q23" s="133">
        <f>+ROUND(IFERROR(AVERAGE(Q5:Q22),0),0)</f>
        <v>1</v>
      </c>
      <c r="R23" s="132">
        <f>+ROUND(IFERROR(AVERAGE(R5:R11),0),0)</f>
        <v>5</v>
      </c>
      <c r="S23" s="125"/>
    </row>
    <row r="24" spans="1:19" thickBot="1">
      <c r="A24" s="134"/>
      <c r="B24" s="134"/>
      <c r="C24" s="134"/>
      <c r="D24" s="134"/>
      <c r="E24" s="135"/>
      <c r="F24" s="135"/>
      <c r="G24" s="135"/>
      <c r="H24" s="136"/>
      <c r="I24" s="136"/>
      <c r="J24" s="136"/>
      <c r="K24" s="182"/>
      <c r="L24" s="135"/>
      <c r="M24" s="135"/>
      <c r="N24" s="135"/>
      <c r="O24" s="136"/>
      <c r="P24" s="136"/>
      <c r="Q24" s="136"/>
      <c r="R24" s="136"/>
    </row>
    <row r="25" spans="1:19" thickBot="1">
      <c r="F25" s="137" t="s">
        <v>800</v>
      </c>
      <c r="G25" s="137">
        <f>COUNTIF(G5:G22,F25)</f>
        <v>0</v>
      </c>
    </row>
    <row r="26" spans="1:19" thickBot="1">
      <c r="F26" s="137" t="s">
        <v>361</v>
      </c>
      <c r="G26" s="137">
        <f>COUNTIF(G5:G22,F26)</f>
        <v>5</v>
      </c>
    </row>
    <row r="27" spans="1:19" thickBot="1">
      <c r="F27" s="137" t="s">
        <v>806</v>
      </c>
      <c r="G27" s="137">
        <f>COUNTIF(G5:G22,F27)</f>
        <v>12</v>
      </c>
    </row>
    <row r="28" spans="1:19" thickBot="1">
      <c r="F28" s="137" t="s">
        <v>801</v>
      </c>
      <c r="G28" s="137">
        <f>COUNTIF(G5:G22,F28)</f>
        <v>0</v>
      </c>
    </row>
    <row r="29" spans="1:19" thickBot="1">
      <c r="F29" s="137" t="s">
        <v>780</v>
      </c>
      <c r="G29" s="137">
        <f>COUNTIF(G5:G22,F29)</f>
        <v>1</v>
      </c>
    </row>
    <row r="30" spans="1:19" thickBot="1">
      <c r="F30" s="137" t="s">
        <v>802</v>
      </c>
      <c r="G30" s="137">
        <f>COUNTIF(G5:G22,F30)</f>
        <v>0</v>
      </c>
    </row>
    <row r="31" spans="1:19" thickBot="1">
      <c r="F31" s="137" t="s">
        <v>808</v>
      </c>
      <c r="G31" s="137">
        <f>COUNTIF(G5:G22,F31)</f>
        <v>0</v>
      </c>
    </row>
    <row r="32" spans="1:19" ht="14.5"/>
    <row r="33" ht="14.5"/>
    <row r="34" ht="14.5"/>
    <row r="35" ht="14.5"/>
  </sheetData>
  <autoFilter ref="A1:R23" xr:uid="{00000000-0001-0000-0B00-000000000000}">
    <filterColumn colId="0" showButton="0"/>
    <filterColumn colId="1" showButton="0"/>
    <filterColumn colId="2" showButton="0"/>
    <filterColumn colId="3" showButton="0"/>
    <filterColumn colId="4" showButton="0"/>
    <filterColumn colId="5" showButton="0"/>
    <filterColumn colId="6" showButton="0"/>
    <filterColumn colId="7" showButton="0"/>
    <filterColumn colId="8" showButton="0"/>
    <filterColumn colId="9" showButton="0"/>
    <filterColumn colId="10" showButton="0"/>
    <filterColumn colId="11" showButton="0"/>
    <filterColumn colId="12" showButton="0"/>
    <filterColumn colId="13" showButton="0"/>
    <filterColumn colId="14" showButton="0"/>
    <filterColumn colId="15" showButton="0"/>
    <filterColumn colId="16" showButton="0"/>
  </autoFilter>
  <mergeCells count="24">
    <mergeCell ref="A1:R1"/>
    <mergeCell ref="A2:A4"/>
    <mergeCell ref="B2:B4"/>
    <mergeCell ref="C2:C4"/>
    <mergeCell ref="D2:D4"/>
    <mergeCell ref="E2:E4"/>
    <mergeCell ref="F2:F4"/>
    <mergeCell ref="H2:H3"/>
    <mergeCell ref="I2:I3"/>
    <mergeCell ref="J2:J3"/>
    <mergeCell ref="P2:P3"/>
    <mergeCell ref="Q2:Q3"/>
    <mergeCell ref="R2:R3"/>
    <mergeCell ref="K2:K4"/>
    <mergeCell ref="L2:O3"/>
    <mergeCell ref="G2:G4"/>
    <mergeCell ref="E23:F23"/>
    <mergeCell ref="L23:N23"/>
    <mergeCell ref="B5:B22"/>
    <mergeCell ref="A5:A22"/>
    <mergeCell ref="C5:C22"/>
    <mergeCell ref="D17:D20"/>
    <mergeCell ref="D10:D16"/>
    <mergeCell ref="D5:D9"/>
  </mergeCells>
  <conditionalFormatting sqref="R5:R23 J5:J23">
    <cfRule type="colorScale" priority="1">
      <colorScale>
        <cfvo type="num" val="1"/>
        <cfvo type="num" val="8"/>
        <cfvo type="num" val="22"/>
        <color rgb="FF00B050"/>
        <color rgb="FFFFFF00"/>
        <color rgb="FFC00000"/>
      </colorScale>
    </cfRule>
  </conditionalFormatting>
  <pageMargins left="0.70866141732283472" right="0.70866141732283472" top="0.74803149606299213" bottom="0.74803149606299213" header="0.31496062992125984" footer="0.31496062992125984"/>
  <pageSetup paperSize="9" scale="60" orientation="landscape" r:id="rId1"/>
  <drawing r:id="rId2"/>
  <legacyDrawing r:id="rId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C00000"/>
  </sheetPr>
  <dimension ref="A1:S53"/>
  <sheetViews>
    <sheetView topLeftCell="L34" zoomScale="90" zoomScaleNormal="90" workbookViewId="0">
      <selection activeCell="R40" sqref="R40"/>
    </sheetView>
  </sheetViews>
  <sheetFormatPr baseColWidth="10" defaultColWidth="11.54296875" defaultRowHeight="15" thickBottom="1"/>
  <cols>
    <col min="1" max="1" width="3.54296875" style="126" customWidth="1"/>
    <col min="2" max="2" width="15" style="126" customWidth="1"/>
    <col min="3" max="3" width="5.90625" style="126" customWidth="1"/>
    <col min="4" max="4" width="16.6328125" style="126" bestFit="1" customWidth="1"/>
    <col min="5" max="5" width="35.453125" style="137" customWidth="1"/>
    <col min="6" max="7" width="26.36328125" style="137" customWidth="1"/>
    <col min="8" max="8" width="7.453125" style="138" customWidth="1"/>
    <col min="9" max="9" width="9.36328125" style="138" customWidth="1"/>
    <col min="10" max="10" width="10.08984375" style="138" customWidth="1"/>
    <col min="11" max="11" width="27.54296875" style="183" customWidth="1"/>
    <col min="12" max="12" width="42.08984375" style="137" customWidth="1"/>
    <col min="13" max="13" width="29.54296875" style="137" customWidth="1"/>
    <col min="14" max="14" width="13.6328125" style="137" customWidth="1"/>
    <col min="15" max="15" width="12.90625" style="138" customWidth="1"/>
    <col min="16" max="16" width="11.54296875" style="138"/>
    <col min="17" max="17" width="10" style="138" customWidth="1"/>
    <col min="18" max="18" width="11.54296875" style="138"/>
    <col min="19" max="16384" width="11.54296875" style="126"/>
  </cols>
  <sheetData>
    <row r="1" spans="1:19" ht="36.65" customHeight="1" thickBot="1">
      <c r="A1" s="514" t="s">
        <v>226</v>
      </c>
      <c r="B1" s="514"/>
      <c r="C1" s="514"/>
      <c r="D1" s="514"/>
      <c r="E1" s="514"/>
      <c r="F1" s="514"/>
      <c r="G1" s="514"/>
      <c r="H1" s="514"/>
      <c r="I1" s="514"/>
      <c r="J1" s="514"/>
      <c r="K1" s="514"/>
      <c r="L1" s="514"/>
      <c r="M1" s="514"/>
      <c r="N1" s="514"/>
      <c r="O1" s="514"/>
      <c r="P1" s="514"/>
      <c r="Q1" s="514"/>
      <c r="R1" s="514"/>
      <c r="S1" s="125"/>
    </row>
    <row r="2" spans="1:19" thickBot="1">
      <c r="A2" s="573" t="s">
        <v>71</v>
      </c>
      <c r="B2" s="589" t="s">
        <v>72</v>
      </c>
      <c r="C2" s="590" t="s">
        <v>73</v>
      </c>
      <c r="D2" s="591" t="s">
        <v>74</v>
      </c>
      <c r="E2" s="589" t="s">
        <v>350</v>
      </c>
      <c r="F2" s="582" t="s">
        <v>804</v>
      </c>
      <c r="G2" s="582" t="s">
        <v>809</v>
      </c>
      <c r="H2" s="585" t="s">
        <v>58</v>
      </c>
      <c r="I2" s="585" t="s">
        <v>43</v>
      </c>
      <c r="J2" s="585" t="s">
        <v>245</v>
      </c>
      <c r="K2" s="586" t="s">
        <v>455</v>
      </c>
      <c r="L2" s="585" t="s">
        <v>330</v>
      </c>
      <c r="M2" s="585"/>
      <c r="N2" s="585"/>
      <c r="O2" s="585"/>
      <c r="P2" s="585" t="s">
        <v>252</v>
      </c>
      <c r="Q2" s="585" t="s">
        <v>253</v>
      </c>
      <c r="R2" s="585" t="s">
        <v>246</v>
      </c>
      <c r="S2" s="125"/>
    </row>
    <row r="3" spans="1:19" ht="14.5" customHeight="1" thickBot="1">
      <c r="A3" s="574"/>
      <c r="B3" s="589"/>
      <c r="C3" s="590"/>
      <c r="D3" s="591"/>
      <c r="E3" s="589"/>
      <c r="F3" s="583"/>
      <c r="G3" s="583"/>
      <c r="H3" s="585"/>
      <c r="I3" s="585"/>
      <c r="J3" s="585"/>
      <c r="K3" s="587"/>
      <c r="L3" s="585"/>
      <c r="M3" s="585"/>
      <c r="N3" s="585"/>
      <c r="O3" s="585"/>
      <c r="P3" s="585"/>
      <c r="Q3" s="585"/>
      <c r="R3" s="585"/>
      <c r="S3" s="125"/>
    </row>
    <row r="4" spans="1:19" ht="23" customHeight="1" thickBot="1">
      <c r="A4" s="575"/>
      <c r="B4" s="589"/>
      <c r="C4" s="590"/>
      <c r="D4" s="591"/>
      <c r="E4" s="589"/>
      <c r="F4" s="584"/>
      <c r="G4" s="584"/>
      <c r="H4" s="127" t="s">
        <v>0</v>
      </c>
      <c r="I4" s="127" t="s">
        <v>1</v>
      </c>
      <c r="J4" s="127" t="s">
        <v>4</v>
      </c>
      <c r="K4" s="588"/>
      <c r="L4" s="127" t="s">
        <v>230</v>
      </c>
      <c r="M4" s="127" t="s">
        <v>405</v>
      </c>
      <c r="N4" s="159" t="s">
        <v>254</v>
      </c>
      <c r="O4" s="127" t="s">
        <v>225</v>
      </c>
      <c r="P4" s="127" t="s">
        <v>0</v>
      </c>
      <c r="Q4" s="127" t="s">
        <v>351</v>
      </c>
      <c r="R4" s="127" t="s">
        <v>4</v>
      </c>
      <c r="S4" s="125"/>
    </row>
    <row r="5" spans="1:19" ht="58" customHeight="1" thickBot="1">
      <c r="A5" s="592"/>
      <c r="B5" s="459" t="s">
        <v>416</v>
      </c>
      <c r="C5" s="593">
        <v>0.1</v>
      </c>
      <c r="D5" s="301" t="s">
        <v>219</v>
      </c>
      <c r="E5" s="278" t="s">
        <v>1220</v>
      </c>
      <c r="F5" s="279" t="s">
        <v>406</v>
      </c>
      <c r="G5" s="279" t="s">
        <v>361</v>
      </c>
      <c r="H5" s="129">
        <v>4</v>
      </c>
      <c r="I5" s="129">
        <v>3</v>
      </c>
      <c r="J5" s="132">
        <f t="shared" ref="J5:J39" si="0">H5*I5</f>
        <v>12</v>
      </c>
      <c r="K5" s="184"/>
      <c r="L5" s="131" t="s">
        <v>232</v>
      </c>
      <c r="M5" s="131" t="s">
        <v>525</v>
      </c>
      <c r="N5" s="149" t="s">
        <v>923</v>
      </c>
      <c r="O5" s="129">
        <v>2</v>
      </c>
      <c r="P5" s="129">
        <f>H5</f>
        <v>4</v>
      </c>
      <c r="Q5" s="129">
        <f t="shared" ref="Q5:Q39" si="1">I5/O5</f>
        <v>1.5</v>
      </c>
      <c r="R5" s="132">
        <f t="shared" ref="R5:R39" si="2">P5*Q5</f>
        <v>6</v>
      </c>
      <c r="S5" s="125"/>
    </row>
    <row r="6" spans="1:19" ht="44" thickBot="1">
      <c r="A6" s="592"/>
      <c r="B6" s="459"/>
      <c r="C6" s="593"/>
      <c r="D6" s="301"/>
      <c r="E6" s="278" t="s">
        <v>785</v>
      </c>
      <c r="F6" s="279" t="s">
        <v>461</v>
      </c>
      <c r="G6" s="279" t="s">
        <v>800</v>
      </c>
      <c r="H6" s="290">
        <v>5</v>
      </c>
      <c r="I6" s="290">
        <v>1</v>
      </c>
      <c r="J6" s="306">
        <f t="shared" si="0"/>
        <v>5</v>
      </c>
      <c r="K6" s="257"/>
      <c r="L6" s="254" t="s">
        <v>922</v>
      </c>
      <c r="M6" s="254"/>
      <c r="N6" s="149" t="s">
        <v>923</v>
      </c>
      <c r="O6" s="256">
        <v>2</v>
      </c>
      <c r="P6" s="129">
        <f t="shared" ref="P6:P39" si="3">H6</f>
        <v>5</v>
      </c>
      <c r="Q6" s="129">
        <f t="shared" si="1"/>
        <v>0.5</v>
      </c>
      <c r="R6" s="132">
        <f t="shared" si="2"/>
        <v>2.5</v>
      </c>
      <c r="S6" s="125"/>
    </row>
    <row r="7" spans="1:19" ht="81" customHeight="1" thickBot="1">
      <c r="A7" s="592"/>
      <c r="B7" s="459"/>
      <c r="C7" s="593"/>
      <c r="D7" s="301"/>
      <c r="E7" s="278" t="s">
        <v>984</v>
      </c>
      <c r="F7" s="280" t="s">
        <v>397</v>
      </c>
      <c r="G7" s="280" t="s">
        <v>361</v>
      </c>
      <c r="H7" s="129">
        <v>4</v>
      </c>
      <c r="I7" s="129">
        <v>1</v>
      </c>
      <c r="J7" s="171">
        <f t="shared" si="0"/>
        <v>4</v>
      </c>
      <c r="K7" s="184"/>
      <c r="L7" s="131" t="s">
        <v>1237</v>
      </c>
      <c r="M7" s="131" t="s">
        <v>1238</v>
      </c>
      <c r="N7" s="149" t="s">
        <v>985</v>
      </c>
      <c r="O7" s="129">
        <v>2</v>
      </c>
      <c r="P7" s="129">
        <f t="shared" si="3"/>
        <v>4</v>
      </c>
      <c r="Q7" s="129">
        <f t="shared" si="1"/>
        <v>0.5</v>
      </c>
      <c r="R7" s="132">
        <f t="shared" si="2"/>
        <v>2</v>
      </c>
      <c r="S7" s="125"/>
    </row>
    <row r="8" spans="1:19" ht="81" customHeight="1" thickBot="1">
      <c r="A8" s="592"/>
      <c r="B8" s="459"/>
      <c r="C8" s="593"/>
      <c r="D8" s="301"/>
      <c r="E8" s="274" t="s">
        <v>692</v>
      </c>
      <c r="F8" s="279" t="s">
        <v>461</v>
      </c>
      <c r="G8" s="279" t="s">
        <v>800</v>
      </c>
      <c r="H8" s="129">
        <v>3</v>
      </c>
      <c r="I8" s="129">
        <v>3</v>
      </c>
      <c r="J8" s="171">
        <f t="shared" si="0"/>
        <v>9</v>
      </c>
      <c r="K8" s="184"/>
      <c r="L8" s="142" t="s">
        <v>1239</v>
      </c>
      <c r="M8" s="131" t="s">
        <v>1238</v>
      </c>
      <c r="N8" s="149" t="s">
        <v>923</v>
      </c>
      <c r="O8" s="129">
        <v>2</v>
      </c>
      <c r="P8" s="129">
        <f t="shared" si="3"/>
        <v>3</v>
      </c>
      <c r="Q8" s="129">
        <f t="shared" si="1"/>
        <v>1.5</v>
      </c>
      <c r="R8" s="132">
        <f t="shared" si="2"/>
        <v>4.5</v>
      </c>
      <c r="S8" s="125"/>
    </row>
    <row r="9" spans="1:19" ht="81" customHeight="1" thickBot="1">
      <c r="A9" s="592"/>
      <c r="B9" s="459"/>
      <c r="C9" s="593"/>
      <c r="D9" s="301"/>
      <c r="E9" s="294" t="s">
        <v>941</v>
      </c>
      <c r="F9" s="345" t="s">
        <v>406</v>
      </c>
      <c r="G9" s="345" t="s">
        <v>361</v>
      </c>
      <c r="H9" s="129">
        <v>4</v>
      </c>
      <c r="I9" s="129">
        <v>1</v>
      </c>
      <c r="J9" s="171">
        <v>8</v>
      </c>
      <c r="K9" s="184"/>
      <c r="L9" s="142" t="s">
        <v>1240</v>
      </c>
      <c r="M9" s="131" t="s">
        <v>525</v>
      </c>
      <c r="N9" s="149" t="s">
        <v>943</v>
      </c>
      <c r="O9" s="129">
        <v>3</v>
      </c>
      <c r="P9" s="129">
        <v>4</v>
      </c>
      <c r="Q9" s="129">
        <f t="shared" si="1"/>
        <v>0.33333333333333331</v>
      </c>
      <c r="R9" s="132">
        <f t="shared" si="2"/>
        <v>1.3333333333333333</v>
      </c>
      <c r="S9" s="125"/>
    </row>
    <row r="10" spans="1:19" ht="81" customHeight="1" thickBot="1">
      <c r="A10" s="592"/>
      <c r="B10" s="459"/>
      <c r="C10" s="593"/>
      <c r="D10" s="301"/>
      <c r="E10" s="294" t="s">
        <v>944</v>
      </c>
      <c r="F10" s="345" t="s">
        <v>406</v>
      </c>
      <c r="G10" s="345" t="s">
        <v>361</v>
      </c>
      <c r="H10" s="129">
        <v>4</v>
      </c>
      <c r="I10" s="129">
        <v>4</v>
      </c>
      <c r="J10" s="171">
        <v>16</v>
      </c>
      <c r="K10" s="184"/>
      <c r="L10" s="142" t="s">
        <v>945</v>
      </c>
      <c r="M10" s="131" t="s">
        <v>539</v>
      </c>
      <c r="N10" s="149" t="s">
        <v>986</v>
      </c>
      <c r="O10" s="129">
        <v>1</v>
      </c>
      <c r="P10" s="129">
        <v>4</v>
      </c>
      <c r="Q10" s="129">
        <f t="shared" si="1"/>
        <v>4</v>
      </c>
      <c r="R10" s="132">
        <f t="shared" si="2"/>
        <v>16</v>
      </c>
      <c r="S10" s="125"/>
    </row>
    <row r="11" spans="1:19" ht="81" customHeight="1" thickBot="1">
      <c r="A11" s="592"/>
      <c r="B11" s="459"/>
      <c r="C11" s="593"/>
      <c r="D11" s="301"/>
      <c r="E11" s="294" t="s">
        <v>946</v>
      </c>
      <c r="F11" s="345" t="s">
        <v>370</v>
      </c>
      <c r="G11" s="345" t="s">
        <v>800</v>
      </c>
      <c r="H11" s="129">
        <v>4</v>
      </c>
      <c r="I11" s="129">
        <v>3</v>
      </c>
      <c r="J11" s="171">
        <v>12</v>
      </c>
      <c r="K11" s="184"/>
      <c r="L11" s="142" t="s">
        <v>1241</v>
      </c>
      <c r="M11" s="131" t="s">
        <v>525</v>
      </c>
      <c r="N11" s="149" t="s">
        <v>987</v>
      </c>
      <c r="O11" s="129">
        <v>2</v>
      </c>
      <c r="P11" s="129">
        <v>4</v>
      </c>
      <c r="Q11" s="129">
        <f t="shared" si="1"/>
        <v>1.5</v>
      </c>
      <c r="R11" s="132">
        <f t="shared" si="2"/>
        <v>6</v>
      </c>
      <c r="S11" s="125"/>
    </row>
    <row r="12" spans="1:19" ht="81" customHeight="1" thickBot="1">
      <c r="A12" s="592"/>
      <c r="B12" s="459"/>
      <c r="C12" s="593"/>
      <c r="D12" s="301"/>
      <c r="E12" s="274" t="s">
        <v>693</v>
      </c>
      <c r="F12" s="279" t="s">
        <v>371</v>
      </c>
      <c r="G12" s="279" t="s">
        <v>800</v>
      </c>
      <c r="H12" s="129">
        <v>4</v>
      </c>
      <c r="I12" s="129">
        <v>3</v>
      </c>
      <c r="J12" s="171">
        <f t="shared" si="0"/>
        <v>12</v>
      </c>
      <c r="K12" s="184"/>
      <c r="L12" s="142" t="s">
        <v>1242</v>
      </c>
      <c r="M12" s="131" t="s">
        <v>618</v>
      </c>
      <c r="N12" s="149" t="s">
        <v>988</v>
      </c>
      <c r="O12" s="129">
        <v>2</v>
      </c>
      <c r="P12" s="129">
        <f t="shared" si="3"/>
        <v>4</v>
      </c>
      <c r="Q12" s="129">
        <f t="shared" si="1"/>
        <v>1.5</v>
      </c>
      <c r="R12" s="132">
        <f t="shared" si="2"/>
        <v>6</v>
      </c>
      <c r="S12" s="125"/>
    </row>
    <row r="13" spans="1:19" ht="52.75" customHeight="1" thickBot="1">
      <c r="A13" s="592"/>
      <c r="B13" s="459"/>
      <c r="C13" s="593"/>
      <c r="D13" s="301"/>
      <c r="E13" s="454" t="s">
        <v>989</v>
      </c>
      <c r="F13" s="455" t="s">
        <v>396</v>
      </c>
      <c r="G13" s="455" t="s">
        <v>800</v>
      </c>
      <c r="H13" s="132">
        <v>4</v>
      </c>
      <c r="I13" s="132">
        <v>1</v>
      </c>
      <c r="J13" s="132">
        <f t="shared" si="0"/>
        <v>4</v>
      </c>
      <c r="K13" s="456"/>
      <c r="L13" s="457" t="s">
        <v>235</v>
      </c>
      <c r="M13" s="457" t="s">
        <v>525</v>
      </c>
      <c r="N13" s="458" t="s">
        <v>923</v>
      </c>
      <c r="O13" s="132">
        <v>2</v>
      </c>
      <c r="P13" s="132">
        <f t="shared" si="3"/>
        <v>4</v>
      </c>
      <c r="Q13" s="132">
        <f t="shared" si="1"/>
        <v>0.5</v>
      </c>
      <c r="R13" s="132">
        <f t="shared" si="2"/>
        <v>2</v>
      </c>
      <c r="S13" s="125"/>
    </row>
    <row r="14" spans="1:19" ht="52.75" customHeight="1" thickBot="1">
      <c r="A14" s="592"/>
      <c r="B14" s="459"/>
      <c r="C14" s="593"/>
      <c r="D14" s="301"/>
      <c r="E14" s="274" t="s">
        <v>786</v>
      </c>
      <c r="F14" s="279" t="s">
        <v>534</v>
      </c>
      <c r="G14" s="279" t="s">
        <v>361</v>
      </c>
      <c r="H14" s="129">
        <v>4</v>
      </c>
      <c r="I14" s="129">
        <v>2</v>
      </c>
      <c r="J14" s="171">
        <f t="shared" si="0"/>
        <v>8</v>
      </c>
      <c r="K14" s="184"/>
      <c r="L14" s="131" t="s">
        <v>535</v>
      </c>
      <c r="M14" s="131" t="s">
        <v>539</v>
      </c>
      <c r="N14" s="149" t="s">
        <v>923</v>
      </c>
      <c r="O14" s="129">
        <v>2</v>
      </c>
      <c r="P14" s="129">
        <f t="shared" si="3"/>
        <v>4</v>
      </c>
      <c r="Q14" s="129">
        <f t="shared" si="1"/>
        <v>1</v>
      </c>
      <c r="R14" s="132">
        <f t="shared" si="2"/>
        <v>4</v>
      </c>
      <c r="S14" s="125"/>
    </row>
    <row r="15" spans="1:19" ht="52.75" customHeight="1" thickBot="1">
      <c r="A15" s="592"/>
      <c r="B15" s="459"/>
      <c r="C15" s="593"/>
      <c r="D15" s="301"/>
      <c r="E15" s="274" t="s">
        <v>787</v>
      </c>
      <c r="F15" s="279" t="s">
        <v>371</v>
      </c>
      <c r="G15" s="279" t="s">
        <v>800</v>
      </c>
      <c r="H15" s="129">
        <v>4</v>
      </c>
      <c r="I15" s="129">
        <v>3</v>
      </c>
      <c r="J15" s="171">
        <f t="shared" si="0"/>
        <v>12</v>
      </c>
      <c r="K15" s="184"/>
      <c r="L15" s="131" t="s">
        <v>1244</v>
      </c>
      <c r="M15" s="131" t="s">
        <v>525</v>
      </c>
      <c r="N15" s="149" t="s">
        <v>923</v>
      </c>
      <c r="O15" s="129">
        <v>2</v>
      </c>
      <c r="P15" s="129">
        <f t="shared" si="3"/>
        <v>4</v>
      </c>
      <c r="Q15" s="129">
        <f t="shared" si="1"/>
        <v>1.5</v>
      </c>
      <c r="R15" s="132">
        <f t="shared" si="2"/>
        <v>6</v>
      </c>
      <c r="S15" s="125"/>
    </row>
    <row r="16" spans="1:19" ht="63.65" customHeight="1" thickBot="1">
      <c r="A16" s="592"/>
      <c r="B16" s="459"/>
      <c r="C16" s="593"/>
      <c r="D16" s="301"/>
      <c r="E16" s="274" t="s">
        <v>1221</v>
      </c>
      <c r="F16" s="279" t="s">
        <v>389</v>
      </c>
      <c r="G16" s="279" t="s">
        <v>361</v>
      </c>
      <c r="H16" s="129">
        <v>4</v>
      </c>
      <c r="I16" s="129">
        <v>2</v>
      </c>
      <c r="J16" s="171">
        <f t="shared" si="0"/>
        <v>8</v>
      </c>
      <c r="K16" s="184"/>
      <c r="L16" s="131" t="s">
        <v>1243</v>
      </c>
      <c r="M16" s="131" t="s">
        <v>525</v>
      </c>
      <c r="N16" s="149" t="s">
        <v>923</v>
      </c>
      <c r="O16" s="129">
        <v>2</v>
      </c>
      <c r="P16" s="129">
        <f t="shared" si="3"/>
        <v>4</v>
      </c>
      <c r="Q16" s="129">
        <f t="shared" si="1"/>
        <v>1</v>
      </c>
      <c r="R16" s="132">
        <f t="shared" si="2"/>
        <v>4</v>
      </c>
      <c r="S16" s="125"/>
    </row>
    <row r="17" spans="1:19" ht="29.5" thickBot="1">
      <c r="A17" s="592"/>
      <c r="B17" s="459"/>
      <c r="C17" s="593"/>
      <c r="D17" s="301"/>
      <c r="E17" s="274" t="s">
        <v>789</v>
      </c>
      <c r="F17" s="279" t="s">
        <v>398</v>
      </c>
      <c r="G17" s="279" t="s">
        <v>361</v>
      </c>
      <c r="H17" s="129">
        <v>4</v>
      </c>
      <c r="I17" s="129">
        <v>1</v>
      </c>
      <c r="J17" s="171">
        <f t="shared" si="0"/>
        <v>4</v>
      </c>
      <c r="K17" s="184"/>
      <c r="L17" s="131" t="s">
        <v>1245</v>
      </c>
      <c r="M17" s="131" t="s">
        <v>525</v>
      </c>
      <c r="N17" s="149" t="s">
        <v>990</v>
      </c>
      <c r="O17" s="129">
        <v>2</v>
      </c>
      <c r="P17" s="129">
        <f t="shared" si="3"/>
        <v>4</v>
      </c>
      <c r="Q17" s="129">
        <f t="shared" si="1"/>
        <v>0.5</v>
      </c>
      <c r="R17" s="132">
        <f t="shared" si="2"/>
        <v>2</v>
      </c>
      <c r="S17" s="125"/>
    </row>
    <row r="18" spans="1:19" ht="39" customHeight="1" thickBot="1">
      <c r="A18" s="592"/>
      <c r="B18" s="459"/>
      <c r="C18" s="593"/>
      <c r="D18" s="301"/>
      <c r="E18" s="278" t="s">
        <v>788</v>
      </c>
      <c r="F18" s="279" t="s">
        <v>395</v>
      </c>
      <c r="G18" s="279" t="s">
        <v>361</v>
      </c>
      <c r="H18" s="129">
        <v>4</v>
      </c>
      <c r="I18" s="129">
        <v>4</v>
      </c>
      <c r="J18" s="171">
        <f t="shared" si="0"/>
        <v>16</v>
      </c>
      <c r="K18" s="184"/>
      <c r="L18" s="131" t="s">
        <v>1246</v>
      </c>
      <c r="M18" s="131" t="s">
        <v>539</v>
      </c>
      <c r="N18" s="149" t="s">
        <v>991</v>
      </c>
      <c r="O18" s="129">
        <v>2</v>
      </c>
      <c r="P18" s="129">
        <f t="shared" si="3"/>
        <v>4</v>
      </c>
      <c r="Q18" s="129">
        <f t="shared" si="1"/>
        <v>2</v>
      </c>
      <c r="R18" s="132">
        <f t="shared" si="2"/>
        <v>8</v>
      </c>
      <c r="S18" s="125"/>
    </row>
    <row r="19" spans="1:19" ht="29.5" thickBot="1">
      <c r="A19" s="592"/>
      <c r="B19" s="459"/>
      <c r="C19" s="593"/>
      <c r="D19" s="301"/>
      <c r="E19" s="274" t="s">
        <v>531</v>
      </c>
      <c r="F19" s="279" t="s">
        <v>524</v>
      </c>
      <c r="G19" s="279" t="s">
        <v>806</v>
      </c>
      <c r="H19" s="129">
        <v>4</v>
      </c>
      <c r="I19" s="129">
        <v>1</v>
      </c>
      <c r="J19" s="171">
        <f t="shared" si="0"/>
        <v>4</v>
      </c>
      <c r="K19" s="184"/>
      <c r="L19" s="131" t="s">
        <v>1247</v>
      </c>
      <c r="M19" s="131" t="s">
        <v>525</v>
      </c>
      <c r="N19" s="149" t="s">
        <v>923</v>
      </c>
      <c r="O19" s="129">
        <v>2</v>
      </c>
      <c r="P19" s="129">
        <f t="shared" si="3"/>
        <v>4</v>
      </c>
      <c r="Q19" s="129">
        <f t="shared" si="1"/>
        <v>0.5</v>
      </c>
      <c r="R19" s="132">
        <f t="shared" si="2"/>
        <v>2</v>
      </c>
      <c r="S19" s="125"/>
    </row>
    <row r="20" spans="1:19" ht="44" thickBot="1">
      <c r="A20" s="592"/>
      <c r="B20" s="459"/>
      <c r="C20" s="593"/>
      <c r="D20" s="301"/>
      <c r="E20" s="274" t="s">
        <v>533</v>
      </c>
      <c r="F20" s="279" t="s">
        <v>370</v>
      </c>
      <c r="G20" s="279" t="s">
        <v>800</v>
      </c>
      <c r="H20" s="129">
        <v>4</v>
      </c>
      <c r="I20" s="129">
        <v>2</v>
      </c>
      <c r="J20" s="171">
        <f t="shared" si="0"/>
        <v>8</v>
      </c>
      <c r="K20" s="184"/>
      <c r="L20" s="131" t="s">
        <v>1248</v>
      </c>
      <c r="M20" s="131" t="s">
        <v>525</v>
      </c>
      <c r="N20" s="149" t="s">
        <v>923</v>
      </c>
      <c r="O20" s="129">
        <v>2</v>
      </c>
      <c r="P20" s="129">
        <f t="shared" si="3"/>
        <v>4</v>
      </c>
      <c r="Q20" s="129">
        <f t="shared" si="1"/>
        <v>1</v>
      </c>
      <c r="R20" s="132">
        <f t="shared" si="2"/>
        <v>4</v>
      </c>
      <c r="S20" s="125"/>
    </row>
    <row r="21" spans="1:19" ht="44" thickBot="1">
      <c r="A21" s="592"/>
      <c r="B21" s="459"/>
      <c r="C21" s="593"/>
      <c r="D21" s="301"/>
      <c r="E21" s="278" t="s">
        <v>500</v>
      </c>
      <c r="F21" s="279" t="s">
        <v>810</v>
      </c>
      <c r="G21" s="279" t="s">
        <v>806</v>
      </c>
      <c r="H21" s="129">
        <v>4</v>
      </c>
      <c r="I21" s="129">
        <v>1</v>
      </c>
      <c r="J21" s="171">
        <f>H21*I21</f>
        <v>4</v>
      </c>
      <c r="K21" s="184"/>
      <c r="L21" s="131" t="s">
        <v>501</v>
      </c>
      <c r="M21" s="131" t="s">
        <v>525</v>
      </c>
      <c r="N21" s="149" t="s">
        <v>923</v>
      </c>
      <c r="O21" s="129">
        <v>1</v>
      </c>
      <c r="P21" s="129">
        <f t="shared" si="3"/>
        <v>4</v>
      </c>
      <c r="Q21" s="129">
        <f t="shared" si="1"/>
        <v>1</v>
      </c>
      <c r="R21" s="132">
        <f t="shared" si="2"/>
        <v>4</v>
      </c>
      <c r="S21" s="125"/>
    </row>
    <row r="22" spans="1:19" ht="29.5" thickBot="1">
      <c r="A22" s="592"/>
      <c r="B22" s="459"/>
      <c r="C22" s="593"/>
      <c r="D22" s="301"/>
      <c r="E22" s="274" t="s">
        <v>237</v>
      </c>
      <c r="F22" s="279" t="s">
        <v>397</v>
      </c>
      <c r="G22" s="279" t="s">
        <v>361</v>
      </c>
      <c r="H22" s="129">
        <v>4</v>
      </c>
      <c r="I22" s="129">
        <v>2</v>
      </c>
      <c r="J22" s="171">
        <f t="shared" si="0"/>
        <v>8</v>
      </c>
      <c r="K22" s="184"/>
      <c r="L22" s="131" t="s">
        <v>236</v>
      </c>
      <c r="M22" s="131" t="s">
        <v>525</v>
      </c>
      <c r="N22" s="149" t="s">
        <v>923</v>
      </c>
      <c r="O22" s="129">
        <v>2</v>
      </c>
      <c r="P22" s="129">
        <f t="shared" si="3"/>
        <v>4</v>
      </c>
      <c r="Q22" s="129">
        <f t="shared" si="1"/>
        <v>1</v>
      </c>
      <c r="R22" s="132">
        <f t="shared" si="2"/>
        <v>4</v>
      </c>
      <c r="S22" s="125"/>
    </row>
    <row r="23" spans="1:19" ht="44" thickBot="1">
      <c r="A23" s="592"/>
      <c r="B23" s="459"/>
      <c r="C23" s="593"/>
      <c r="D23" s="301"/>
      <c r="E23" s="274" t="s">
        <v>563</v>
      </c>
      <c r="F23" s="279" t="s">
        <v>370</v>
      </c>
      <c r="G23" s="279" t="s">
        <v>800</v>
      </c>
      <c r="H23" s="129">
        <v>5</v>
      </c>
      <c r="I23" s="129">
        <v>2</v>
      </c>
      <c r="J23" s="171">
        <f t="shared" si="0"/>
        <v>10</v>
      </c>
      <c r="K23" s="184"/>
      <c r="L23" s="131" t="s">
        <v>580</v>
      </c>
      <c r="M23" s="131" t="s">
        <v>525</v>
      </c>
      <c r="N23" s="149" t="s">
        <v>992</v>
      </c>
      <c r="O23" s="129">
        <v>2</v>
      </c>
      <c r="P23" s="129">
        <f t="shared" si="3"/>
        <v>5</v>
      </c>
      <c r="Q23" s="129">
        <f t="shared" si="1"/>
        <v>1</v>
      </c>
      <c r="R23" s="132">
        <f t="shared" si="2"/>
        <v>5</v>
      </c>
      <c r="S23" s="125"/>
    </row>
    <row r="24" spans="1:19" ht="58.5" thickBot="1">
      <c r="A24" s="592"/>
      <c r="B24" s="459"/>
      <c r="C24" s="593"/>
      <c r="D24" s="301"/>
      <c r="E24" s="274" t="s">
        <v>701</v>
      </c>
      <c r="F24" s="173" t="s">
        <v>702</v>
      </c>
      <c r="G24" s="173" t="s">
        <v>800</v>
      </c>
      <c r="H24" s="129">
        <v>4</v>
      </c>
      <c r="I24" s="129">
        <v>1</v>
      </c>
      <c r="J24" s="171">
        <f t="shared" si="0"/>
        <v>4</v>
      </c>
      <c r="K24" s="184"/>
      <c r="L24" s="142" t="s">
        <v>1249</v>
      </c>
      <c r="M24" s="131" t="s">
        <v>525</v>
      </c>
      <c r="N24" s="149" t="s">
        <v>993</v>
      </c>
      <c r="O24" s="129">
        <v>2</v>
      </c>
      <c r="P24" s="129">
        <f t="shared" si="3"/>
        <v>4</v>
      </c>
      <c r="Q24" s="129">
        <f t="shared" si="1"/>
        <v>0.5</v>
      </c>
      <c r="R24" s="132">
        <f t="shared" si="2"/>
        <v>2</v>
      </c>
      <c r="S24" s="125"/>
    </row>
    <row r="25" spans="1:19" ht="44" thickBot="1">
      <c r="A25" s="592"/>
      <c r="B25" s="459"/>
      <c r="C25" s="593"/>
      <c r="D25" s="301"/>
      <c r="E25" s="274" t="s">
        <v>564</v>
      </c>
      <c r="F25" s="279" t="s">
        <v>370</v>
      </c>
      <c r="G25" s="279" t="s">
        <v>800</v>
      </c>
      <c r="H25" s="129">
        <v>5</v>
      </c>
      <c r="I25" s="129">
        <v>1</v>
      </c>
      <c r="J25" s="171">
        <f t="shared" si="0"/>
        <v>5</v>
      </c>
      <c r="K25" s="184"/>
      <c r="L25" s="131" t="s">
        <v>565</v>
      </c>
      <c r="M25" s="131" t="s">
        <v>525</v>
      </c>
      <c r="N25" s="149" t="s">
        <v>993</v>
      </c>
      <c r="O25" s="129">
        <v>2</v>
      </c>
      <c r="P25" s="129">
        <f t="shared" si="3"/>
        <v>5</v>
      </c>
      <c r="Q25" s="129">
        <f t="shared" si="1"/>
        <v>0.5</v>
      </c>
      <c r="R25" s="132">
        <f t="shared" si="2"/>
        <v>2.5</v>
      </c>
      <c r="S25" s="125"/>
    </row>
    <row r="26" spans="1:19" ht="46.25" customHeight="1" thickBot="1">
      <c r="A26" s="592"/>
      <c r="B26" s="459"/>
      <c r="C26" s="593"/>
      <c r="D26" s="301"/>
      <c r="E26" s="274" t="s">
        <v>566</v>
      </c>
      <c r="F26" s="279" t="s">
        <v>370</v>
      </c>
      <c r="G26" s="279" t="s">
        <v>800</v>
      </c>
      <c r="H26" s="129">
        <v>5</v>
      </c>
      <c r="I26" s="129">
        <v>2</v>
      </c>
      <c r="J26" s="171">
        <f t="shared" si="0"/>
        <v>10</v>
      </c>
      <c r="K26" s="184"/>
      <c r="L26" s="131" t="s">
        <v>567</v>
      </c>
      <c r="M26" s="131" t="s">
        <v>525</v>
      </c>
      <c r="N26" s="149" t="s">
        <v>923</v>
      </c>
      <c r="O26" s="129">
        <v>2</v>
      </c>
      <c r="P26" s="129">
        <f t="shared" si="3"/>
        <v>5</v>
      </c>
      <c r="Q26" s="129">
        <f t="shared" si="1"/>
        <v>1</v>
      </c>
      <c r="R26" s="132">
        <f t="shared" si="2"/>
        <v>5</v>
      </c>
      <c r="S26" s="125"/>
    </row>
    <row r="27" spans="1:19" ht="44" thickBot="1">
      <c r="A27" s="592"/>
      <c r="B27" s="459"/>
      <c r="C27" s="593"/>
      <c r="D27" s="301"/>
      <c r="E27" s="278" t="s">
        <v>790</v>
      </c>
      <c r="F27" s="279" t="s">
        <v>399</v>
      </c>
      <c r="G27" s="279" t="s">
        <v>806</v>
      </c>
      <c r="H27" s="129">
        <v>4</v>
      </c>
      <c r="I27" s="129">
        <v>1</v>
      </c>
      <c r="J27" s="171">
        <f t="shared" si="0"/>
        <v>4</v>
      </c>
      <c r="K27" s="184"/>
      <c r="L27" s="131" t="s">
        <v>238</v>
      </c>
      <c r="M27" s="131" t="s">
        <v>525</v>
      </c>
      <c r="N27" s="149" t="s">
        <v>923</v>
      </c>
      <c r="O27" s="129">
        <v>2</v>
      </c>
      <c r="P27" s="129">
        <f t="shared" si="3"/>
        <v>4</v>
      </c>
      <c r="Q27" s="129">
        <f t="shared" si="1"/>
        <v>0.5</v>
      </c>
      <c r="R27" s="132">
        <f t="shared" si="2"/>
        <v>2</v>
      </c>
      <c r="S27" s="125"/>
    </row>
    <row r="28" spans="1:19" ht="73" thickBot="1">
      <c r="A28" s="592"/>
      <c r="B28" s="459"/>
      <c r="C28" s="593"/>
      <c r="D28" s="594" t="s">
        <v>223</v>
      </c>
      <c r="E28" s="278" t="s">
        <v>577</v>
      </c>
      <c r="F28" s="279" t="s">
        <v>361</v>
      </c>
      <c r="G28" s="279" t="s">
        <v>361</v>
      </c>
      <c r="H28" s="129">
        <v>3</v>
      </c>
      <c r="I28" s="129">
        <v>2</v>
      </c>
      <c r="J28" s="132">
        <f t="shared" si="0"/>
        <v>6</v>
      </c>
      <c r="K28" s="184"/>
      <c r="L28" s="131" t="s">
        <v>1250</v>
      </c>
      <c r="M28" s="131" t="s">
        <v>525</v>
      </c>
      <c r="N28" s="149" t="s">
        <v>319</v>
      </c>
      <c r="O28" s="129">
        <v>1</v>
      </c>
      <c r="P28" s="129">
        <f t="shared" si="3"/>
        <v>3</v>
      </c>
      <c r="Q28" s="129">
        <f t="shared" si="1"/>
        <v>2</v>
      </c>
      <c r="R28" s="132">
        <f t="shared" si="2"/>
        <v>6</v>
      </c>
      <c r="S28" s="125"/>
    </row>
    <row r="29" spans="1:19" ht="44" thickBot="1">
      <c r="A29" s="592"/>
      <c r="B29" s="459"/>
      <c r="C29" s="593"/>
      <c r="D29" s="594"/>
      <c r="E29" s="274" t="s">
        <v>239</v>
      </c>
      <c r="F29" s="279" t="s">
        <v>400</v>
      </c>
      <c r="G29" s="279" t="s">
        <v>361</v>
      </c>
      <c r="H29" s="129">
        <v>4</v>
      </c>
      <c r="I29" s="129">
        <v>2</v>
      </c>
      <c r="J29" s="171">
        <f t="shared" si="0"/>
        <v>8</v>
      </c>
      <c r="K29" s="184"/>
      <c r="L29" s="131" t="s">
        <v>1251</v>
      </c>
      <c r="M29" s="131" t="s">
        <v>525</v>
      </c>
      <c r="N29" s="149" t="s">
        <v>319</v>
      </c>
      <c r="O29" s="129">
        <v>2</v>
      </c>
      <c r="P29" s="129">
        <f t="shared" si="3"/>
        <v>4</v>
      </c>
      <c r="Q29" s="129">
        <f t="shared" si="1"/>
        <v>1</v>
      </c>
      <c r="R29" s="132">
        <f t="shared" si="2"/>
        <v>4</v>
      </c>
      <c r="S29" s="125"/>
    </row>
    <row r="30" spans="1:19" ht="44" thickBot="1">
      <c r="A30" s="592"/>
      <c r="B30" s="459"/>
      <c r="C30" s="593"/>
      <c r="D30" s="594"/>
      <c r="E30" s="274" t="s">
        <v>791</v>
      </c>
      <c r="F30" s="279" t="s">
        <v>370</v>
      </c>
      <c r="G30" s="279" t="s">
        <v>800</v>
      </c>
      <c r="H30" s="129">
        <v>5</v>
      </c>
      <c r="I30" s="129">
        <v>4</v>
      </c>
      <c r="J30" s="171">
        <f t="shared" si="0"/>
        <v>20</v>
      </c>
      <c r="K30" s="184"/>
      <c r="L30" s="131" t="s">
        <v>530</v>
      </c>
      <c r="M30" s="131" t="s">
        <v>994</v>
      </c>
      <c r="N30" s="149" t="s">
        <v>995</v>
      </c>
      <c r="O30" s="129">
        <v>2</v>
      </c>
      <c r="P30" s="129">
        <f t="shared" si="3"/>
        <v>5</v>
      </c>
      <c r="Q30" s="129">
        <f t="shared" si="1"/>
        <v>2</v>
      </c>
      <c r="R30" s="132">
        <f t="shared" si="2"/>
        <v>10</v>
      </c>
      <c r="S30" s="125"/>
    </row>
    <row r="31" spans="1:19" ht="29.5" thickBot="1">
      <c r="A31" s="592"/>
      <c r="B31" s="459"/>
      <c r="C31" s="593"/>
      <c r="D31" s="594"/>
      <c r="E31" s="274" t="s">
        <v>240</v>
      </c>
      <c r="F31" s="279" t="s">
        <v>370</v>
      </c>
      <c r="G31" s="279" t="s">
        <v>800</v>
      </c>
      <c r="H31" s="129">
        <v>5</v>
      </c>
      <c r="I31" s="129">
        <v>2</v>
      </c>
      <c r="J31" s="132">
        <f t="shared" si="0"/>
        <v>10</v>
      </c>
      <c r="K31" s="184"/>
      <c r="L31" s="131" t="s">
        <v>241</v>
      </c>
      <c r="M31" s="274" t="s">
        <v>996</v>
      </c>
      <c r="N31" s="149" t="s">
        <v>319</v>
      </c>
      <c r="O31" s="129">
        <v>2</v>
      </c>
      <c r="P31" s="129">
        <f t="shared" si="3"/>
        <v>5</v>
      </c>
      <c r="Q31" s="129">
        <f t="shared" si="1"/>
        <v>1</v>
      </c>
      <c r="R31" s="132">
        <f t="shared" si="2"/>
        <v>5</v>
      </c>
      <c r="S31" s="125"/>
    </row>
    <row r="32" spans="1:19" ht="29.5" thickBot="1">
      <c r="A32" s="592"/>
      <c r="B32" s="459"/>
      <c r="C32" s="593"/>
      <c r="D32" s="594"/>
      <c r="E32" s="274" t="s">
        <v>339</v>
      </c>
      <c r="F32" s="279" t="s">
        <v>379</v>
      </c>
      <c r="G32" s="279" t="s">
        <v>800</v>
      </c>
      <c r="H32" s="129">
        <v>5</v>
      </c>
      <c r="I32" s="129">
        <v>3</v>
      </c>
      <c r="J32" s="132">
        <f t="shared" si="0"/>
        <v>15</v>
      </c>
      <c r="K32" s="184"/>
      <c r="L32" s="131" t="s">
        <v>1252</v>
      </c>
      <c r="M32" s="131" t="s">
        <v>581</v>
      </c>
      <c r="N32" s="149" t="s">
        <v>319</v>
      </c>
      <c r="O32" s="129">
        <v>2</v>
      </c>
      <c r="P32" s="129">
        <f t="shared" si="3"/>
        <v>5</v>
      </c>
      <c r="Q32" s="129">
        <f t="shared" si="1"/>
        <v>1.5</v>
      </c>
      <c r="R32" s="132">
        <f t="shared" si="2"/>
        <v>7.5</v>
      </c>
      <c r="S32" s="125"/>
    </row>
    <row r="33" spans="1:19" ht="44" thickBot="1">
      <c r="A33" s="592"/>
      <c r="B33" s="459"/>
      <c r="C33" s="593"/>
      <c r="D33" s="594"/>
      <c r="E33" s="452" t="s">
        <v>1222</v>
      </c>
      <c r="F33" s="453" t="s">
        <v>1223</v>
      </c>
      <c r="G33" s="279" t="s">
        <v>800</v>
      </c>
      <c r="H33" s="129">
        <v>4</v>
      </c>
      <c r="I33" s="129">
        <v>3</v>
      </c>
      <c r="J33" s="132">
        <f t="shared" si="0"/>
        <v>12</v>
      </c>
      <c r="K33" s="184"/>
      <c r="L33" s="131" t="s">
        <v>1253</v>
      </c>
      <c r="M33" s="131" t="s">
        <v>539</v>
      </c>
      <c r="N33" s="149" t="s">
        <v>1224</v>
      </c>
      <c r="O33" s="129">
        <v>3</v>
      </c>
      <c r="P33" s="129">
        <f t="shared" si="3"/>
        <v>4</v>
      </c>
      <c r="Q33" s="129">
        <f t="shared" si="1"/>
        <v>1</v>
      </c>
      <c r="R33" s="132">
        <f t="shared" si="2"/>
        <v>4</v>
      </c>
      <c r="S33" s="125"/>
    </row>
    <row r="34" spans="1:19" ht="44" thickBot="1">
      <c r="A34" s="592"/>
      <c r="B34" s="459"/>
      <c r="C34" s="593"/>
      <c r="D34" s="594"/>
      <c r="E34" s="274" t="s">
        <v>242</v>
      </c>
      <c r="F34" s="279" t="s">
        <v>397</v>
      </c>
      <c r="G34" s="279" t="s">
        <v>800</v>
      </c>
      <c r="H34" s="129">
        <v>5</v>
      </c>
      <c r="I34" s="129">
        <v>2</v>
      </c>
      <c r="J34" s="132">
        <f t="shared" si="0"/>
        <v>10</v>
      </c>
      <c r="K34" s="184"/>
      <c r="L34" s="131" t="s">
        <v>1254</v>
      </c>
      <c r="M34" s="131" t="s">
        <v>525</v>
      </c>
      <c r="N34" s="149" t="s">
        <v>997</v>
      </c>
      <c r="O34" s="129">
        <v>3</v>
      </c>
      <c r="P34" s="129">
        <f t="shared" si="3"/>
        <v>5</v>
      </c>
      <c r="Q34" s="129">
        <f t="shared" si="1"/>
        <v>0.66666666666666663</v>
      </c>
      <c r="R34" s="132">
        <f t="shared" si="2"/>
        <v>3.333333333333333</v>
      </c>
      <c r="S34" s="125"/>
    </row>
    <row r="35" spans="1:19" ht="15" customHeight="1" thickBot="1">
      <c r="A35" s="592"/>
      <c r="B35" s="459"/>
      <c r="C35" s="593"/>
      <c r="D35" s="301" t="s">
        <v>699</v>
      </c>
      <c r="E35" s="278" t="s">
        <v>407</v>
      </c>
      <c r="F35" s="279" t="s">
        <v>409</v>
      </c>
      <c r="G35" s="279" t="s">
        <v>361</v>
      </c>
      <c r="H35" s="129">
        <v>3</v>
      </c>
      <c r="I35" s="129">
        <v>1</v>
      </c>
      <c r="J35" s="132">
        <f t="shared" si="0"/>
        <v>3</v>
      </c>
      <c r="K35" s="184"/>
      <c r="L35" s="131" t="s">
        <v>410</v>
      </c>
      <c r="M35" s="131" t="s">
        <v>525</v>
      </c>
      <c r="N35" s="149" t="s">
        <v>315</v>
      </c>
      <c r="O35" s="129">
        <v>2</v>
      </c>
      <c r="P35" s="129">
        <f t="shared" si="3"/>
        <v>3</v>
      </c>
      <c r="Q35" s="129">
        <f t="shared" si="1"/>
        <v>0.5</v>
      </c>
      <c r="R35" s="132">
        <f t="shared" si="2"/>
        <v>1.5</v>
      </c>
      <c r="S35" s="125"/>
    </row>
    <row r="36" spans="1:19" ht="58.5" thickBot="1">
      <c r="A36" s="592"/>
      <c r="B36" s="459"/>
      <c r="C36" s="593"/>
      <c r="D36" s="301"/>
      <c r="E36" s="278" t="s">
        <v>408</v>
      </c>
      <c r="F36" s="279" t="s">
        <v>388</v>
      </c>
      <c r="G36" s="279" t="s">
        <v>361</v>
      </c>
      <c r="H36" s="129">
        <v>3</v>
      </c>
      <c r="I36" s="129">
        <v>1</v>
      </c>
      <c r="J36" s="171">
        <f t="shared" si="0"/>
        <v>3</v>
      </c>
      <c r="K36" s="184"/>
      <c r="L36" s="131" t="s">
        <v>411</v>
      </c>
      <c r="M36" s="274" t="s">
        <v>998</v>
      </c>
      <c r="N36" s="149" t="s">
        <v>999</v>
      </c>
      <c r="O36" s="129">
        <v>1</v>
      </c>
      <c r="P36" s="129">
        <f t="shared" si="3"/>
        <v>3</v>
      </c>
      <c r="Q36" s="129">
        <f t="shared" si="1"/>
        <v>1</v>
      </c>
      <c r="R36" s="132">
        <f t="shared" si="2"/>
        <v>3</v>
      </c>
      <c r="S36" s="125"/>
    </row>
    <row r="37" spans="1:19" ht="44.4" customHeight="1" thickBot="1">
      <c r="A37" s="592"/>
      <c r="B37" s="459"/>
      <c r="C37" s="593"/>
      <c r="D37" s="301"/>
      <c r="E37" s="278" t="s">
        <v>486</v>
      </c>
      <c r="F37" s="173" t="s">
        <v>831</v>
      </c>
      <c r="G37" s="279" t="s">
        <v>800</v>
      </c>
      <c r="H37" s="129">
        <v>5</v>
      </c>
      <c r="I37" s="129">
        <v>2</v>
      </c>
      <c r="J37" s="171">
        <f t="shared" si="0"/>
        <v>10</v>
      </c>
      <c r="K37" s="184"/>
      <c r="L37" s="131" t="s">
        <v>1255</v>
      </c>
      <c r="M37" s="131" t="s">
        <v>525</v>
      </c>
      <c r="N37" s="149" t="s">
        <v>1000</v>
      </c>
      <c r="O37" s="129">
        <v>2</v>
      </c>
      <c r="P37" s="129">
        <f t="shared" si="3"/>
        <v>5</v>
      </c>
      <c r="Q37" s="129">
        <f t="shared" si="1"/>
        <v>1</v>
      </c>
      <c r="R37" s="132">
        <f t="shared" si="2"/>
        <v>5</v>
      </c>
      <c r="S37" s="125"/>
    </row>
    <row r="38" spans="1:19" ht="44.4" customHeight="1" thickBot="1">
      <c r="A38" s="592"/>
      <c r="B38" s="459"/>
      <c r="C38" s="593"/>
      <c r="D38" s="301"/>
      <c r="E38" s="274" t="s">
        <v>696</v>
      </c>
      <c r="F38" s="279" t="s">
        <v>697</v>
      </c>
      <c r="G38" s="279" t="s">
        <v>361</v>
      </c>
      <c r="H38" s="129">
        <v>4</v>
      </c>
      <c r="I38" s="129">
        <v>2</v>
      </c>
      <c r="J38" s="171">
        <f t="shared" si="0"/>
        <v>8</v>
      </c>
      <c r="K38" s="184"/>
      <c r="L38" s="142" t="s">
        <v>698</v>
      </c>
      <c r="M38" s="131" t="s">
        <v>539</v>
      </c>
      <c r="N38" s="149" t="s">
        <v>161</v>
      </c>
      <c r="O38" s="129">
        <v>2</v>
      </c>
      <c r="P38" s="129">
        <f t="shared" si="3"/>
        <v>4</v>
      </c>
      <c r="Q38" s="129">
        <f t="shared" si="1"/>
        <v>1</v>
      </c>
      <c r="R38" s="132">
        <f t="shared" si="2"/>
        <v>4</v>
      </c>
      <c r="S38" s="125"/>
    </row>
    <row r="39" spans="1:19" ht="44" thickBot="1">
      <c r="A39" s="592"/>
      <c r="B39" s="459"/>
      <c r="C39" s="593"/>
      <c r="D39" s="301"/>
      <c r="E39" s="278" t="s">
        <v>487</v>
      </c>
      <c r="F39" s="173" t="s">
        <v>361</v>
      </c>
      <c r="G39" s="279" t="s">
        <v>361</v>
      </c>
      <c r="H39" s="129">
        <v>5</v>
      </c>
      <c r="I39" s="129">
        <v>2</v>
      </c>
      <c r="J39" s="171">
        <f t="shared" si="0"/>
        <v>10</v>
      </c>
      <c r="K39" s="184"/>
      <c r="L39" s="131" t="s">
        <v>488</v>
      </c>
      <c r="M39" s="131" t="s">
        <v>1001</v>
      </c>
      <c r="N39" s="149" t="s">
        <v>161</v>
      </c>
      <c r="O39" s="129">
        <v>2</v>
      </c>
      <c r="P39" s="129">
        <f t="shared" si="3"/>
        <v>5</v>
      </c>
      <c r="Q39" s="129">
        <f t="shared" si="1"/>
        <v>1</v>
      </c>
      <c r="R39" s="132">
        <f t="shared" si="2"/>
        <v>5</v>
      </c>
      <c r="S39" s="125"/>
    </row>
    <row r="40" spans="1:19" ht="16" thickBot="1">
      <c r="A40" s="293" t="s">
        <v>416</v>
      </c>
      <c r="B40" s="293"/>
      <c r="C40" s="293"/>
      <c r="D40" s="293"/>
      <c r="E40" s="595" t="s">
        <v>243</v>
      </c>
      <c r="F40" s="596"/>
      <c r="G40" s="317"/>
      <c r="H40" s="190">
        <f>+ROUND(IFERROR(AVERAGE(H5:H39),0),0)</f>
        <v>4</v>
      </c>
      <c r="I40" s="190">
        <f>+ROUND(IFERROR(AVERAGE(I5:I39),0),0)</f>
        <v>2</v>
      </c>
      <c r="J40" s="298">
        <f>H40*I40</f>
        <v>8</v>
      </c>
      <c r="K40" s="299"/>
      <c r="L40" s="597" t="s">
        <v>244</v>
      </c>
      <c r="M40" s="597"/>
      <c r="N40" s="598"/>
      <c r="O40" s="190">
        <f>+ROUND(IFERROR(AVERAGE(O5:O39),0),0)</f>
        <v>2</v>
      </c>
      <c r="P40" s="190">
        <f>+ROUND(IFERROR(AVERAGE(P5:P39),0),0)</f>
        <v>4</v>
      </c>
      <c r="Q40" s="190">
        <f>+ROUND(IFERROR(AVERAGE(Q5:Q39),0),0)</f>
        <v>1</v>
      </c>
      <c r="R40" s="300">
        <f>+ROUND(IFERROR(AVERAGE(R5:R39),0),0)</f>
        <v>5</v>
      </c>
      <c r="S40" s="125"/>
    </row>
    <row r="41" spans="1:19" thickBot="1">
      <c r="K41" s="138"/>
    </row>
    <row r="43" spans="1:19" thickBot="1">
      <c r="F43" s="137" t="s">
        <v>800</v>
      </c>
      <c r="G43" s="137">
        <f>COUNTIF(G5:G40,F43)</f>
        <v>17</v>
      </c>
    </row>
    <row r="44" spans="1:19" thickBot="1">
      <c r="F44" s="137" t="s">
        <v>361</v>
      </c>
      <c r="G44" s="137">
        <f>COUNTIF(G5:G40,F44)</f>
        <v>15</v>
      </c>
    </row>
    <row r="45" spans="1:19" thickBot="1">
      <c r="F45" s="137" t="s">
        <v>806</v>
      </c>
      <c r="G45" s="137">
        <f>COUNTIF(G5:G40,F45)</f>
        <v>3</v>
      </c>
    </row>
    <row r="46" spans="1:19" thickBot="1">
      <c r="F46" s="137" t="s">
        <v>801</v>
      </c>
      <c r="G46" s="137">
        <f>COUNTIF(G5:G40,F46)</f>
        <v>0</v>
      </c>
    </row>
    <row r="47" spans="1:19" thickBot="1">
      <c r="F47" s="137" t="s">
        <v>780</v>
      </c>
      <c r="G47" s="137">
        <f>COUNTIF(G5:G40,F47)</f>
        <v>0</v>
      </c>
    </row>
    <row r="48" spans="1:19" thickBot="1">
      <c r="F48" s="137" t="s">
        <v>802</v>
      </c>
      <c r="G48" s="137">
        <f>COUNTIF(G5:G40,F48)</f>
        <v>0</v>
      </c>
    </row>
    <row r="49" spans="6:7" thickBot="1">
      <c r="F49" s="137" t="s">
        <v>808</v>
      </c>
      <c r="G49" s="137">
        <f>COUNTIF(G5:G40,F49)</f>
        <v>0</v>
      </c>
    </row>
    <row r="50" spans="6:7" ht="14.5"/>
    <row r="51" spans="6:7" ht="14.5"/>
    <row r="52" spans="6:7" ht="14.5"/>
    <row r="53" spans="6:7" ht="14.5"/>
  </sheetData>
  <dataConsolidate/>
  <mergeCells count="21">
    <mergeCell ref="A5:A39"/>
    <mergeCell ref="C5:C39"/>
    <mergeCell ref="D28:D34"/>
    <mergeCell ref="E40:F40"/>
    <mergeCell ref="L40:N40"/>
    <mergeCell ref="A1:R1"/>
    <mergeCell ref="A2:A4"/>
    <mergeCell ref="B2:B4"/>
    <mergeCell ref="C2:C4"/>
    <mergeCell ref="D2:D4"/>
    <mergeCell ref="E2:E4"/>
    <mergeCell ref="H2:H3"/>
    <mergeCell ref="I2:I3"/>
    <mergeCell ref="J2:J3"/>
    <mergeCell ref="L2:O3"/>
    <mergeCell ref="F2:F4"/>
    <mergeCell ref="K2:K4"/>
    <mergeCell ref="R2:R3"/>
    <mergeCell ref="G2:G4"/>
    <mergeCell ref="P2:P3"/>
    <mergeCell ref="Q2:Q3"/>
  </mergeCells>
  <conditionalFormatting sqref="J5:J40 R5:R40">
    <cfRule type="colorScale" priority="1">
      <colorScale>
        <cfvo type="num" val="1"/>
        <cfvo type="num" val="8"/>
        <cfvo type="num" val="22"/>
        <color rgb="FF00B050"/>
        <color rgb="FFFFFF00"/>
        <color rgb="FFC00000"/>
      </colorScale>
    </cfRule>
  </conditionalFormatting>
  <pageMargins left="0.70866141732283472" right="0.70866141732283472" top="0.74803149606299213" bottom="0.74803149606299213" header="0.31496062992125984" footer="0.31496062992125984"/>
  <pageSetup paperSize="9" scale="60" orientation="landscape"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C00000"/>
  </sheetPr>
  <dimension ref="A1:A7"/>
  <sheetViews>
    <sheetView workbookViewId="0">
      <selection activeCell="D6" sqref="D6"/>
    </sheetView>
  </sheetViews>
  <sheetFormatPr baseColWidth="10" defaultRowHeight="14.5"/>
  <cols>
    <col min="1" max="1" width="27.6328125" customWidth="1"/>
  </cols>
  <sheetData>
    <row r="1" spans="1:1" ht="20" customHeight="1">
      <c r="A1" s="321" t="s">
        <v>800</v>
      </c>
    </row>
    <row r="2" spans="1:1" ht="20" customHeight="1">
      <c r="A2" s="321" t="s">
        <v>361</v>
      </c>
    </row>
    <row r="3" spans="1:1" ht="20" customHeight="1">
      <c r="A3" s="321" t="s">
        <v>806</v>
      </c>
    </row>
    <row r="4" spans="1:1" ht="20" customHeight="1">
      <c r="A4" s="321" t="s">
        <v>801</v>
      </c>
    </row>
    <row r="5" spans="1:1" ht="20" customHeight="1">
      <c r="A5" s="321" t="s">
        <v>802</v>
      </c>
    </row>
    <row r="6" spans="1:1" ht="20" customHeight="1">
      <c r="A6" s="321" t="s">
        <v>780</v>
      </c>
    </row>
    <row r="7" spans="1:1" ht="20" customHeight="1">
      <c r="A7" s="321" t="s">
        <v>808</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C00000"/>
  </sheetPr>
  <dimension ref="A1:S51"/>
  <sheetViews>
    <sheetView topLeftCell="K33" zoomScale="90" zoomScaleNormal="90" workbookViewId="0">
      <selection activeCell="R10" sqref="R10:R14"/>
    </sheetView>
  </sheetViews>
  <sheetFormatPr baseColWidth="10" defaultColWidth="10.54296875" defaultRowHeight="15" thickBottom="1"/>
  <cols>
    <col min="1" max="1" width="4" style="140" customWidth="1"/>
    <col min="2" max="2" width="12.453125" style="140" customWidth="1"/>
    <col min="3" max="3" width="6.08984375" style="140" customWidth="1"/>
    <col min="4" max="4" width="15.6328125" style="140" customWidth="1"/>
    <col min="5" max="5" width="60.36328125" style="140" bestFit="1" customWidth="1"/>
    <col min="6" max="7" width="21.453125" style="140" customWidth="1"/>
    <col min="8" max="8" width="6.90625" style="140" customWidth="1"/>
    <col min="9" max="9" width="8.7265625" style="140" customWidth="1"/>
    <col min="10" max="10" width="10.54296875" style="140"/>
    <col min="11" max="11" width="28.36328125" style="140" customWidth="1"/>
    <col min="12" max="12" width="31.26953125" style="146" customWidth="1"/>
    <col min="13" max="13" width="26.1796875" style="146" customWidth="1"/>
    <col min="14" max="14" width="10.54296875" style="164"/>
    <col min="15" max="15" width="9.7265625" style="140" customWidth="1"/>
    <col min="16" max="16" width="9.1796875" style="140" customWidth="1"/>
    <col min="17" max="17" width="8.6328125" style="140" customWidth="1"/>
    <col min="18" max="18" width="10" style="140" customWidth="1"/>
    <col min="19" max="16384" width="10.54296875" style="140"/>
  </cols>
  <sheetData>
    <row r="1" spans="1:19" ht="31.5" thickBot="1">
      <c r="A1" s="514" t="s">
        <v>323</v>
      </c>
      <c r="B1" s="514"/>
      <c r="C1" s="514"/>
      <c r="D1" s="514"/>
      <c r="E1" s="514"/>
      <c r="F1" s="514"/>
      <c r="G1" s="514"/>
      <c r="H1" s="514"/>
      <c r="I1" s="514"/>
      <c r="J1" s="514"/>
      <c r="K1" s="514"/>
      <c r="L1" s="514"/>
      <c r="M1" s="514"/>
      <c r="N1" s="514"/>
      <c r="O1" s="514"/>
      <c r="P1" s="514"/>
      <c r="Q1" s="514"/>
      <c r="R1" s="514"/>
      <c r="S1" s="139"/>
    </row>
    <row r="2" spans="1:19" ht="20.5" customHeight="1" thickBot="1">
      <c r="A2" s="591" t="s">
        <v>71</v>
      </c>
      <c r="B2" s="589" t="s">
        <v>72</v>
      </c>
      <c r="C2" s="590" t="s">
        <v>73</v>
      </c>
      <c r="D2" s="591" t="s">
        <v>74</v>
      </c>
      <c r="E2" s="589" t="s">
        <v>350</v>
      </c>
      <c r="F2" s="582" t="s">
        <v>804</v>
      </c>
      <c r="G2" s="582" t="s">
        <v>809</v>
      </c>
      <c r="H2" s="585" t="s">
        <v>58</v>
      </c>
      <c r="I2" s="585" t="s">
        <v>43</v>
      </c>
      <c r="J2" s="585" t="s">
        <v>245</v>
      </c>
      <c r="K2" s="586" t="s">
        <v>455</v>
      </c>
      <c r="L2" s="585" t="s">
        <v>251</v>
      </c>
      <c r="M2" s="585"/>
      <c r="N2" s="585"/>
      <c r="O2" s="585"/>
      <c r="P2" s="585" t="s">
        <v>252</v>
      </c>
      <c r="Q2" s="585" t="s">
        <v>253</v>
      </c>
      <c r="R2" s="585" t="s">
        <v>246</v>
      </c>
      <c r="S2" s="139"/>
    </row>
    <row r="3" spans="1:19" thickBot="1">
      <c r="A3" s="591"/>
      <c r="B3" s="589"/>
      <c r="C3" s="590"/>
      <c r="D3" s="591"/>
      <c r="E3" s="589"/>
      <c r="F3" s="583"/>
      <c r="G3" s="583"/>
      <c r="H3" s="585"/>
      <c r="I3" s="585"/>
      <c r="J3" s="585"/>
      <c r="K3" s="587"/>
      <c r="L3" s="585"/>
      <c r="M3" s="585"/>
      <c r="N3" s="585"/>
      <c r="O3" s="585"/>
      <c r="P3" s="585"/>
      <c r="Q3" s="585"/>
      <c r="R3" s="585"/>
      <c r="S3" s="139"/>
    </row>
    <row r="4" spans="1:19" ht="28.5" customHeight="1" thickBot="1">
      <c r="A4" s="591"/>
      <c r="B4" s="589"/>
      <c r="C4" s="590"/>
      <c r="D4" s="591"/>
      <c r="E4" s="589"/>
      <c r="F4" s="584"/>
      <c r="G4" s="584"/>
      <c r="H4" s="127" t="s">
        <v>0</v>
      </c>
      <c r="I4" s="127" t="s">
        <v>1</v>
      </c>
      <c r="J4" s="127" t="s">
        <v>4</v>
      </c>
      <c r="K4" s="588"/>
      <c r="L4" s="127" t="s">
        <v>230</v>
      </c>
      <c r="M4" s="127" t="s">
        <v>405</v>
      </c>
      <c r="N4" s="159" t="s">
        <v>254</v>
      </c>
      <c r="O4" s="127" t="s">
        <v>225</v>
      </c>
      <c r="P4" s="127" t="s">
        <v>0</v>
      </c>
      <c r="Q4" s="127" t="s">
        <v>351</v>
      </c>
      <c r="R4" s="127" t="s">
        <v>4</v>
      </c>
      <c r="S4" s="139"/>
    </row>
    <row r="5" spans="1:19" ht="58.5" thickBot="1">
      <c r="A5" s="564">
        <v>8</v>
      </c>
      <c r="B5" s="561" t="s">
        <v>493</v>
      </c>
      <c r="C5" s="567">
        <v>0.05</v>
      </c>
      <c r="D5" s="594" t="s">
        <v>14</v>
      </c>
      <c r="E5" s="274" t="s">
        <v>299</v>
      </c>
      <c r="F5" s="173" t="s">
        <v>358</v>
      </c>
      <c r="G5" s="173" t="s">
        <v>361</v>
      </c>
      <c r="H5" s="129">
        <v>3</v>
      </c>
      <c r="I5" s="129">
        <v>1</v>
      </c>
      <c r="J5" s="158">
        <f>H5*I5</f>
        <v>3</v>
      </c>
      <c r="K5" s="184"/>
      <c r="L5" s="142" t="s">
        <v>334</v>
      </c>
      <c r="M5" s="142" t="s">
        <v>525</v>
      </c>
      <c r="N5" s="149" t="s">
        <v>281</v>
      </c>
      <c r="O5" s="129">
        <v>2</v>
      </c>
      <c r="P5" s="129">
        <f t="shared" ref="P5:P10" si="0">H5</f>
        <v>3</v>
      </c>
      <c r="Q5" s="129">
        <f>I5/O5</f>
        <v>0.5</v>
      </c>
      <c r="R5" s="158">
        <f t="shared" ref="R5:R14" si="1">P5*Q5</f>
        <v>1.5</v>
      </c>
      <c r="S5" s="139"/>
    </row>
    <row r="6" spans="1:19" ht="62" customHeight="1" thickBot="1">
      <c r="A6" s="565"/>
      <c r="B6" s="562"/>
      <c r="C6" s="568"/>
      <c r="D6" s="594"/>
      <c r="E6" s="274" t="s">
        <v>545</v>
      </c>
      <c r="F6" s="173" t="s">
        <v>546</v>
      </c>
      <c r="G6" s="173" t="s">
        <v>361</v>
      </c>
      <c r="H6" s="129">
        <v>3</v>
      </c>
      <c r="I6" s="129">
        <v>2</v>
      </c>
      <c r="J6" s="158">
        <f>H6*I6</f>
        <v>6</v>
      </c>
      <c r="K6" s="184"/>
      <c r="L6" s="142" t="s">
        <v>1256</v>
      </c>
      <c r="M6" s="142" t="s">
        <v>525</v>
      </c>
      <c r="N6" s="149" t="s">
        <v>342</v>
      </c>
      <c r="O6" s="129">
        <v>2</v>
      </c>
      <c r="P6" s="129">
        <f t="shared" si="0"/>
        <v>3</v>
      </c>
      <c r="Q6" s="129">
        <f t="shared" ref="Q6:Q35" si="2">I6/O6</f>
        <v>1</v>
      </c>
      <c r="R6" s="158">
        <f t="shared" si="1"/>
        <v>3</v>
      </c>
      <c r="S6" s="139"/>
    </row>
    <row r="7" spans="1:19" ht="73" thickBot="1">
      <c r="A7" s="565"/>
      <c r="B7" s="562"/>
      <c r="C7" s="568"/>
      <c r="D7" s="594"/>
      <c r="E7" s="274" t="s">
        <v>333</v>
      </c>
      <c r="F7" s="173" t="s">
        <v>954</v>
      </c>
      <c r="G7" s="173" t="s">
        <v>361</v>
      </c>
      <c r="H7" s="129">
        <v>4</v>
      </c>
      <c r="I7" s="129">
        <v>2</v>
      </c>
      <c r="J7" s="132">
        <f t="shared" ref="J7:J37" si="3">H7*I7</f>
        <v>8</v>
      </c>
      <c r="K7" s="184"/>
      <c r="L7" s="142" t="s">
        <v>1257</v>
      </c>
      <c r="M7" s="142" t="s">
        <v>525</v>
      </c>
      <c r="N7" s="149" t="s">
        <v>342</v>
      </c>
      <c r="O7" s="129">
        <v>2</v>
      </c>
      <c r="P7" s="129">
        <f t="shared" si="0"/>
        <v>4</v>
      </c>
      <c r="Q7" s="129">
        <f t="shared" si="2"/>
        <v>1</v>
      </c>
      <c r="R7" s="158">
        <f t="shared" si="1"/>
        <v>4</v>
      </c>
      <c r="S7" s="139"/>
    </row>
    <row r="8" spans="1:19" ht="44" thickBot="1">
      <c r="A8" s="565"/>
      <c r="B8" s="562"/>
      <c r="C8" s="568"/>
      <c r="D8" s="594"/>
      <c r="E8" s="274" t="s">
        <v>705</v>
      </c>
      <c r="F8" s="173" t="s">
        <v>370</v>
      </c>
      <c r="G8" s="173" t="s">
        <v>800</v>
      </c>
      <c r="H8" s="129">
        <v>4</v>
      </c>
      <c r="I8" s="129">
        <v>2</v>
      </c>
      <c r="J8" s="132">
        <f t="shared" si="3"/>
        <v>8</v>
      </c>
      <c r="K8" s="184"/>
      <c r="L8" s="142" t="s">
        <v>1258</v>
      </c>
      <c r="M8" s="142"/>
      <c r="N8" s="149" t="s">
        <v>342</v>
      </c>
      <c r="O8" s="129">
        <v>2</v>
      </c>
      <c r="P8" s="129">
        <f t="shared" si="0"/>
        <v>4</v>
      </c>
      <c r="Q8" s="129">
        <f t="shared" si="2"/>
        <v>1</v>
      </c>
      <c r="R8" s="158">
        <f t="shared" si="1"/>
        <v>4</v>
      </c>
      <c r="S8" s="139"/>
    </row>
    <row r="9" spans="1:19" ht="29.5" thickBot="1">
      <c r="A9" s="565"/>
      <c r="B9" s="562"/>
      <c r="C9" s="568"/>
      <c r="D9" s="594"/>
      <c r="E9" s="274" t="s">
        <v>706</v>
      </c>
      <c r="F9" s="173" t="s">
        <v>418</v>
      </c>
      <c r="G9" s="173" t="s">
        <v>361</v>
      </c>
      <c r="H9" s="129">
        <v>4</v>
      </c>
      <c r="I9" s="129">
        <v>2</v>
      </c>
      <c r="J9" s="132">
        <f t="shared" si="3"/>
        <v>8</v>
      </c>
      <c r="K9" s="184"/>
      <c r="L9" s="460" t="s">
        <v>707</v>
      </c>
      <c r="M9" s="142"/>
      <c r="N9" s="149" t="s">
        <v>342</v>
      </c>
      <c r="O9" s="129">
        <v>2</v>
      </c>
      <c r="P9" s="129">
        <f t="shared" si="0"/>
        <v>4</v>
      </c>
      <c r="Q9" s="129">
        <f t="shared" si="2"/>
        <v>1</v>
      </c>
      <c r="R9" s="158">
        <f t="shared" si="1"/>
        <v>4</v>
      </c>
      <c r="S9" s="139"/>
    </row>
    <row r="10" spans="1:19" ht="29.5" thickBot="1">
      <c r="A10" s="565"/>
      <c r="B10" s="562"/>
      <c r="C10" s="568"/>
      <c r="D10" s="594"/>
      <c r="E10" s="274" t="s">
        <v>925</v>
      </c>
      <c r="F10" s="173" t="s">
        <v>361</v>
      </c>
      <c r="G10" s="173" t="s">
        <v>361</v>
      </c>
      <c r="H10" s="129">
        <v>3</v>
      </c>
      <c r="I10" s="129">
        <v>1</v>
      </c>
      <c r="J10" s="132">
        <f t="shared" si="3"/>
        <v>3</v>
      </c>
      <c r="K10" s="184"/>
      <c r="L10" s="142" t="s">
        <v>1259</v>
      </c>
      <c r="M10" s="142"/>
      <c r="N10" s="149" t="s">
        <v>342</v>
      </c>
      <c r="O10" s="129">
        <v>2</v>
      </c>
      <c r="P10" s="129">
        <f t="shared" si="0"/>
        <v>3</v>
      </c>
      <c r="Q10" s="129">
        <f t="shared" si="2"/>
        <v>0.5</v>
      </c>
      <c r="R10" s="158">
        <f t="shared" si="1"/>
        <v>1.5</v>
      </c>
      <c r="S10" s="139"/>
    </row>
    <row r="11" spans="1:19" ht="29.5" thickBot="1">
      <c r="A11" s="565"/>
      <c r="B11" s="562"/>
      <c r="C11" s="568"/>
      <c r="D11" s="594"/>
      <c r="E11" s="274" t="s">
        <v>947</v>
      </c>
      <c r="F11" s="314" t="s">
        <v>418</v>
      </c>
      <c r="G11" s="314" t="s">
        <v>361</v>
      </c>
      <c r="H11" s="129">
        <v>3</v>
      </c>
      <c r="I11" s="129">
        <v>1</v>
      </c>
      <c r="J11" s="129">
        <f t="shared" si="3"/>
        <v>3</v>
      </c>
      <c r="K11" s="361"/>
      <c r="L11" s="142" t="s">
        <v>948</v>
      </c>
      <c r="M11" s="142" t="s">
        <v>525</v>
      </c>
      <c r="N11" s="149" t="s">
        <v>342</v>
      </c>
      <c r="O11" s="129">
        <v>3</v>
      </c>
      <c r="P11" s="129">
        <v>4</v>
      </c>
      <c r="Q11" s="129">
        <f t="shared" si="2"/>
        <v>0.33333333333333331</v>
      </c>
      <c r="R11" s="158">
        <f t="shared" si="1"/>
        <v>1.3333333333333333</v>
      </c>
      <c r="S11" s="139"/>
    </row>
    <row r="12" spans="1:19" ht="44" thickBot="1">
      <c r="A12" s="565"/>
      <c r="B12" s="562"/>
      <c r="C12" s="568"/>
      <c r="D12" s="594"/>
      <c r="E12" s="274" t="s">
        <v>949</v>
      </c>
      <c r="F12" s="314" t="s">
        <v>361</v>
      </c>
      <c r="G12" s="314" t="s">
        <v>361</v>
      </c>
      <c r="H12" s="129">
        <v>4</v>
      </c>
      <c r="I12" s="129">
        <v>3</v>
      </c>
      <c r="J12" s="129">
        <f t="shared" si="3"/>
        <v>12</v>
      </c>
      <c r="K12" s="361"/>
      <c r="L12" s="142" t="s">
        <v>950</v>
      </c>
      <c r="M12" s="142" t="s">
        <v>525</v>
      </c>
      <c r="N12" s="149" t="s">
        <v>342</v>
      </c>
      <c r="O12" s="129">
        <v>3</v>
      </c>
      <c r="P12" s="129">
        <v>4</v>
      </c>
      <c r="Q12" s="129">
        <f t="shared" si="2"/>
        <v>1</v>
      </c>
      <c r="R12" s="158">
        <f t="shared" si="1"/>
        <v>4</v>
      </c>
      <c r="S12" s="139"/>
    </row>
    <row r="13" spans="1:19" ht="29.5" thickBot="1">
      <c r="A13" s="565"/>
      <c r="B13" s="562"/>
      <c r="C13" s="568"/>
      <c r="D13" s="594"/>
      <c r="E13" s="274" t="s">
        <v>1002</v>
      </c>
      <c r="F13" s="314" t="s">
        <v>361</v>
      </c>
      <c r="G13" s="314" t="s">
        <v>361</v>
      </c>
      <c r="H13" s="129">
        <v>5</v>
      </c>
      <c r="I13" s="129">
        <v>3</v>
      </c>
      <c r="J13" s="129">
        <f t="shared" si="3"/>
        <v>15</v>
      </c>
      <c r="K13" s="361"/>
      <c r="L13" s="142" t="s">
        <v>1259</v>
      </c>
      <c r="M13" s="142" t="s">
        <v>525</v>
      </c>
      <c r="N13" s="149" t="s">
        <v>342</v>
      </c>
      <c r="O13" s="129">
        <v>2</v>
      </c>
      <c r="P13" s="129">
        <v>5</v>
      </c>
      <c r="Q13" s="129">
        <f t="shared" si="2"/>
        <v>1.5</v>
      </c>
      <c r="R13" s="158">
        <f t="shared" si="1"/>
        <v>7.5</v>
      </c>
      <c r="S13" s="139"/>
    </row>
    <row r="14" spans="1:19" ht="44" thickBot="1">
      <c r="A14" s="565"/>
      <c r="B14" s="562"/>
      <c r="C14" s="568"/>
      <c r="D14" s="594"/>
      <c r="E14" s="274" t="s">
        <v>951</v>
      </c>
      <c r="F14" s="314" t="s">
        <v>952</v>
      </c>
      <c r="G14" s="314" t="s">
        <v>361</v>
      </c>
      <c r="H14" s="129">
        <v>3</v>
      </c>
      <c r="I14" s="129">
        <v>3</v>
      </c>
      <c r="J14" s="129">
        <f t="shared" si="3"/>
        <v>9</v>
      </c>
      <c r="K14" s="361"/>
      <c r="L14" s="142" t="s">
        <v>953</v>
      </c>
      <c r="M14" s="142" t="s">
        <v>539</v>
      </c>
      <c r="N14" s="149" t="s">
        <v>342</v>
      </c>
      <c r="O14" s="129">
        <v>1</v>
      </c>
      <c r="P14" s="129">
        <v>4</v>
      </c>
      <c r="Q14" s="129">
        <f t="shared" si="2"/>
        <v>3</v>
      </c>
      <c r="R14" s="158">
        <f t="shared" si="1"/>
        <v>12</v>
      </c>
      <c r="S14" s="139"/>
    </row>
    <row r="15" spans="1:19" ht="29.5" thickBot="1">
      <c r="A15" s="565"/>
      <c r="B15" s="562"/>
      <c r="C15" s="568"/>
      <c r="D15" s="594"/>
      <c r="E15" s="274" t="s">
        <v>584</v>
      </c>
      <c r="F15" s="173" t="s">
        <v>819</v>
      </c>
      <c r="G15" s="173" t="s">
        <v>361</v>
      </c>
      <c r="H15" s="129">
        <v>3</v>
      </c>
      <c r="I15" s="129">
        <v>3</v>
      </c>
      <c r="J15" s="132">
        <f t="shared" si="3"/>
        <v>9</v>
      </c>
      <c r="K15" s="184"/>
      <c r="L15" s="142" t="s">
        <v>585</v>
      </c>
      <c r="M15" s="142" t="s">
        <v>539</v>
      </c>
      <c r="N15" s="149" t="s">
        <v>342</v>
      </c>
      <c r="O15" s="129">
        <v>2</v>
      </c>
      <c r="P15" s="129">
        <v>4</v>
      </c>
      <c r="Q15" s="129">
        <f t="shared" si="2"/>
        <v>1.5</v>
      </c>
      <c r="R15" s="158">
        <f>P15*Q15</f>
        <v>6</v>
      </c>
      <c r="S15" s="139"/>
    </row>
    <row r="16" spans="1:19" ht="46.25" customHeight="1" thickBot="1">
      <c r="A16" s="565"/>
      <c r="B16" s="562"/>
      <c r="C16" s="568"/>
      <c r="D16" s="594" t="s">
        <v>547</v>
      </c>
      <c r="E16" s="274" t="s">
        <v>548</v>
      </c>
      <c r="F16" s="173" t="s">
        <v>409</v>
      </c>
      <c r="G16" s="173" t="s">
        <v>800</v>
      </c>
      <c r="H16" s="129">
        <v>2</v>
      </c>
      <c r="I16" s="129">
        <v>2</v>
      </c>
      <c r="J16" s="132">
        <f t="shared" si="3"/>
        <v>4</v>
      </c>
      <c r="K16" s="184"/>
      <c r="L16" s="142" t="s">
        <v>1260</v>
      </c>
      <c r="M16" s="142" t="s">
        <v>525</v>
      </c>
      <c r="N16" s="149" t="s">
        <v>342</v>
      </c>
      <c r="O16" s="129">
        <v>2</v>
      </c>
      <c r="P16" s="129">
        <f>+H16</f>
        <v>2</v>
      </c>
      <c r="Q16" s="129">
        <f t="shared" si="2"/>
        <v>1</v>
      </c>
      <c r="R16" s="269">
        <f>P16*Q16</f>
        <v>2</v>
      </c>
      <c r="S16" s="139"/>
    </row>
    <row r="17" spans="1:19" ht="46.25" customHeight="1" thickBot="1">
      <c r="A17" s="565"/>
      <c r="B17" s="562"/>
      <c r="C17" s="568"/>
      <c r="D17" s="594"/>
      <c r="E17" s="274" t="s">
        <v>550</v>
      </c>
      <c r="F17" s="173" t="s">
        <v>371</v>
      </c>
      <c r="G17" s="173" t="s">
        <v>800</v>
      </c>
      <c r="H17" s="129">
        <v>2</v>
      </c>
      <c r="I17" s="129">
        <v>2</v>
      </c>
      <c r="J17" s="132">
        <f t="shared" si="3"/>
        <v>4</v>
      </c>
      <c r="K17" s="184"/>
      <c r="L17" s="142" t="s">
        <v>1261</v>
      </c>
      <c r="M17" s="142" t="s">
        <v>525</v>
      </c>
      <c r="N17" s="149" t="s">
        <v>342</v>
      </c>
      <c r="O17" s="129">
        <v>2</v>
      </c>
      <c r="P17" s="129">
        <f>H17</f>
        <v>2</v>
      </c>
      <c r="Q17" s="129">
        <f t="shared" si="2"/>
        <v>1</v>
      </c>
      <c r="R17" s="158">
        <f>P17*Q17</f>
        <v>2</v>
      </c>
      <c r="S17" s="139"/>
    </row>
    <row r="18" spans="1:19" ht="49.25" customHeight="1" thickBot="1">
      <c r="A18" s="565"/>
      <c r="B18" s="562"/>
      <c r="C18" s="568"/>
      <c r="D18" s="594"/>
      <c r="E18" s="274" t="s">
        <v>549</v>
      </c>
      <c r="F18" s="173" t="s">
        <v>371</v>
      </c>
      <c r="G18" s="173" t="s">
        <v>800</v>
      </c>
      <c r="H18" s="129">
        <v>5</v>
      </c>
      <c r="I18" s="129">
        <v>2</v>
      </c>
      <c r="J18" s="132">
        <f t="shared" si="3"/>
        <v>10</v>
      </c>
      <c r="K18" s="184"/>
      <c r="L18" s="142" t="s">
        <v>551</v>
      </c>
      <c r="M18" s="142" t="s">
        <v>525</v>
      </c>
      <c r="N18" s="149" t="s">
        <v>342</v>
      </c>
      <c r="O18" s="129">
        <v>2</v>
      </c>
      <c r="P18" s="129">
        <f>H18</f>
        <v>5</v>
      </c>
      <c r="Q18" s="129">
        <f t="shared" si="2"/>
        <v>1</v>
      </c>
      <c r="R18" s="269">
        <f>P18*Q18</f>
        <v>5</v>
      </c>
      <c r="S18" s="139"/>
    </row>
    <row r="19" spans="1:19" ht="40.5" customHeight="1" thickBot="1">
      <c r="A19" s="565"/>
      <c r="B19" s="562"/>
      <c r="C19" s="568"/>
      <c r="D19" s="594" t="s">
        <v>133</v>
      </c>
      <c r="E19" s="278" t="s">
        <v>1003</v>
      </c>
      <c r="F19" s="173" t="s">
        <v>359</v>
      </c>
      <c r="G19" s="173" t="s">
        <v>780</v>
      </c>
      <c r="H19" s="129">
        <v>4</v>
      </c>
      <c r="I19" s="129">
        <v>2</v>
      </c>
      <c r="J19" s="132">
        <f t="shared" si="3"/>
        <v>8</v>
      </c>
      <c r="K19" s="184"/>
      <c r="L19" s="142" t="s">
        <v>335</v>
      </c>
      <c r="M19" s="142" t="s">
        <v>525</v>
      </c>
      <c r="N19" s="149" t="s">
        <v>342</v>
      </c>
      <c r="O19" s="129">
        <v>2</v>
      </c>
      <c r="P19" s="129">
        <f t="shared" ref="P19:P31" si="4">H19</f>
        <v>4</v>
      </c>
      <c r="Q19" s="129">
        <f t="shared" si="2"/>
        <v>1</v>
      </c>
      <c r="R19" s="158">
        <f t="shared" ref="R19:R37" si="5">P19*Q19</f>
        <v>4</v>
      </c>
      <c r="S19" s="139"/>
    </row>
    <row r="20" spans="1:19" ht="29.5" thickBot="1">
      <c r="A20" s="565"/>
      <c r="B20" s="562"/>
      <c r="C20" s="568"/>
      <c r="D20" s="594"/>
      <c r="E20" s="274" t="s">
        <v>336</v>
      </c>
      <c r="F20" s="173" t="s">
        <v>360</v>
      </c>
      <c r="G20" s="173" t="s">
        <v>780</v>
      </c>
      <c r="H20" s="129">
        <v>4</v>
      </c>
      <c r="I20" s="129">
        <v>2</v>
      </c>
      <c r="J20" s="132">
        <f t="shared" si="3"/>
        <v>8</v>
      </c>
      <c r="K20" s="184"/>
      <c r="L20" s="142" t="s">
        <v>337</v>
      </c>
      <c r="M20" s="142" t="s">
        <v>525</v>
      </c>
      <c r="N20" s="149" t="s">
        <v>342</v>
      </c>
      <c r="O20" s="129">
        <v>2</v>
      </c>
      <c r="P20" s="129">
        <f t="shared" si="4"/>
        <v>4</v>
      </c>
      <c r="Q20" s="129">
        <f t="shared" si="2"/>
        <v>1</v>
      </c>
      <c r="R20" s="158">
        <f t="shared" si="5"/>
        <v>4</v>
      </c>
      <c r="S20" s="139"/>
    </row>
    <row r="21" spans="1:19" ht="29.5" thickBot="1">
      <c r="A21" s="565"/>
      <c r="B21" s="562"/>
      <c r="C21" s="568"/>
      <c r="D21" s="594"/>
      <c r="E21" s="274" t="s">
        <v>300</v>
      </c>
      <c r="F21" s="173" t="s">
        <v>360</v>
      </c>
      <c r="G21" s="173" t="s">
        <v>780</v>
      </c>
      <c r="H21" s="129">
        <v>4</v>
      </c>
      <c r="I21" s="129">
        <v>2</v>
      </c>
      <c r="J21" s="132">
        <f t="shared" si="3"/>
        <v>8</v>
      </c>
      <c r="K21" s="184"/>
      <c r="L21" s="142" t="s">
        <v>341</v>
      </c>
      <c r="M21" s="142" t="s">
        <v>525</v>
      </c>
      <c r="N21" s="149" t="s">
        <v>342</v>
      </c>
      <c r="O21" s="129">
        <v>2</v>
      </c>
      <c r="P21" s="129">
        <f t="shared" si="4"/>
        <v>4</v>
      </c>
      <c r="Q21" s="129">
        <f t="shared" si="2"/>
        <v>1</v>
      </c>
      <c r="R21" s="158">
        <f t="shared" si="5"/>
        <v>4</v>
      </c>
      <c r="S21" s="139"/>
    </row>
    <row r="22" spans="1:19" ht="44" thickBot="1">
      <c r="A22" s="565"/>
      <c r="B22" s="562"/>
      <c r="C22" s="568"/>
      <c r="D22" s="594"/>
      <c r="E22" s="131" t="s">
        <v>675</v>
      </c>
      <c r="F22" s="173" t="s">
        <v>363</v>
      </c>
      <c r="G22" s="173" t="s">
        <v>806</v>
      </c>
      <c r="H22" s="129">
        <v>3</v>
      </c>
      <c r="I22" s="129">
        <v>3</v>
      </c>
      <c r="J22" s="132">
        <f t="shared" si="3"/>
        <v>9</v>
      </c>
      <c r="K22" s="184"/>
      <c r="L22" s="142" t="s">
        <v>558</v>
      </c>
      <c r="M22" s="142" t="s">
        <v>539</v>
      </c>
      <c r="N22" s="149" t="s">
        <v>342</v>
      </c>
      <c r="O22" s="129">
        <v>2</v>
      </c>
      <c r="P22" s="129">
        <f t="shared" si="4"/>
        <v>3</v>
      </c>
      <c r="Q22" s="129">
        <f t="shared" si="2"/>
        <v>1.5</v>
      </c>
      <c r="R22" s="158">
        <f t="shared" si="5"/>
        <v>4.5</v>
      </c>
      <c r="S22" s="139"/>
    </row>
    <row r="23" spans="1:19" ht="29.5" thickBot="1">
      <c r="A23" s="565"/>
      <c r="B23" s="562"/>
      <c r="C23" s="568"/>
      <c r="D23" s="594"/>
      <c r="E23" s="274" t="s">
        <v>301</v>
      </c>
      <c r="F23" s="173" t="s">
        <v>362</v>
      </c>
      <c r="G23" s="173" t="s">
        <v>361</v>
      </c>
      <c r="H23" s="129">
        <v>3</v>
      </c>
      <c r="I23" s="129">
        <v>3</v>
      </c>
      <c r="J23" s="132">
        <f t="shared" si="3"/>
        <v>9</v>
      </c>
      <c r="K23" s="184"/>
      <c r="L23" s="142" t="s">
        <v>1262</v>
      </c>
      <c r="M23" s="142" t="s">
        <v>525</v>
      </c>
      <c r="N23" s="149" t="s">
        <v>342</v>
      </c>
      <c r="O23" s="129">
        <v>2</v>
      </c>
      <c r="P23" s="129">
        <f t="shared" si="4"/>
        <v>3</v>
      </c>
      <c r="Q23" s="129">
        <f t="shared" si="2"/>
        <v>1.5</v>
      </c>
      <c r="R23" s="158">
        <f t="shared" si="5"/>
        <v>4.5</v>
      </c>
      <c r="S23" s="139"/>
    </row>
    <row r="24" spans="1:19" ht="45.65" customHeight="1" thickBot="1">
      <c r="A24" s="565"/>
      <c r="B24" s="562"/>
      <c r="C24" s="568"/>
      <c r="D24" s="594" t="s">
        <v>138</v>
      </c>
      <c r="E24" s="131" t="s">
        <v>302</v>
      </c>
      <c r="F24" s="173" t="s">
        <v>363</v>
      </c>
      <c r="G24" s="173" t="s">
        <v>806</v>
      </c>
      <c r="H24" s="129">
        <v>1</v>
      </c>
      <c r="I24" s="129">
        <v>1</v>
      </c>
      <c r="J24" s="132">
        <f t="shared" si="3"/>
        <v>1</v>
      </c>
      <c r="K24" s="184"/>
      <c r="L24" s="142" t="s">
        <v>1263</v>
      </c>
      <c r="M24" s="142" t="s">
        <v>525</v>
      </c>
      <c r="N24" s="149" t="s">
        <v>342</v>
      </c>
      <c r="O24" s="129">
        <v>2</v>
      </c>
      <c r="P24" s="129">
        <f t="shared" si="4"/>
        <v>1</v>
      </c>
      <c r="Q24" s="129">
        <f t="shared" si="2"/>
        <v>0.5</v>
      </c>
      <c r="R24" s="158">
        <f t="shared" si="5"/>
        <v>0.5</v>
      </c>
      <c r="S24" s="139"/>
    </row>
    <row r="25" spans="1:19" ht="29.5" thickBot="1">
      <c r="A25" s="565"/>
      <c r="B25" s="562"/>
      <c r="C25" s="568"/>
      <c r="D25" s="594"/>
      <c r="E25" s="131" t="s">
        <v>303</v>
      </c>
      <c r="F25" s="173" t="s">
        <v>364</v>
      </c>
      <c r="G25" s="173" t="s">
        <v>361</v>
      </c>
      <c r="H25" s="129">
        <v>1</v>
      </c>
      <c r="I25" s="129">
        <v>1</v>
      </c>
      <c r="J25" s="132">
        <f t="shared" si="3"/>
        <v>1</v>
      </c>
      <c r="K25" s="184"/>
      <c r="L25" s="142" t="s">
        <v>1264</v>
      </c>
      <c r="M25" s="142" t="s">
        <v>525</v>
      </c>
      <c r="N25" s="149" t="s">
        <v>342</v>
      </c>
      <c r="O25" s="129">
        <v>2</v>
      </c>
      <c r="P25" s="129">
        <f t="shared" si="4"/>
        <v>1</v>
      </c>
      <c r="Q25" s="129">
        <f t="shared" si="2"/>
        <v>0.5</v>
      </c>
      <c r="R25" s="158">
        <f>P25*Q25</f>
        <v>0.5</v>
      </c>
      <c r="S25" s="139"/>
    </row>
    <row r="26" spans="1:19" ht="29.4" customHeight="1" thickBot="1">
      <c r="A26" s="565"/>
      <c r="B26" s="562"/>
      <c r="C26" s="568"/>
      <c r="D26" s="594"/>
      <c r="E26" s="131" t="s">
        <v>304</v>
      </c>
      <c r="F26" s="173" t="s">
        <v>363</v>
      </c>
      <c r="G26" s="173" t="s">
        <v>806</v>
      </c>
      <c r="H26" s="129">
        <v>4</v>
      </c>
      <c r="I26" s="129">
        <v>2</v>
      </c>
      <c r="J26" s="132">
        <f t="shared" si="3"/>
        <v>8</v>
      </c>
      <c r="K26" s="184"/>
      <c r="L26" s="142" t="s">
        <v>1265</v>
      </c>
      <c r="M26" s="142" t="s">
        <v>525</v>
      </c>
      <c r="N26" s="149" t="s">
        <v>342</v>
      </c>
      <c r="O26" s="129">
        <v>2</v>
      </c>
      <c r="P26" s="129">
        <f t="shared" si="4"/>
        <v>4</v>
      </c>
      <c r="Q26" s="129">
        <f t="shared" si="2"/>
        <v>1</v>
      </c>
      <c r="R26" s="158">
        <f t="shared" si="5"/>
        <v>4</v>
      </c>
      <c r="S26" s="139"/>
    </row>
    <row r="27" spans="1:19" ht="29.4" customHeight="1" thickBot="1">
      <c r="A27" s="565"/>
      <c r="B27" s="562"/>
      <c r="C27" s="568"/>
      <c r="D27" s="570" t="s">
        <v>555</v>
      </c>
      <c r="E27" s="362" t="s">
        <v>1004</v>
      </c>
      <c r="F27" s="173" t="s">
        <v>1005</v>
      </c>
      <c r="G27" s="173" t="s">
        <v>361</v>
      </c>
      <c r="H27" s="129">
        <v>5</v>
      </c>
      <c r="I27" s="129">
        <v>3</v>
      </c>
      <c r="J27" s="132">
        <f t="shared" si="3"/>
        <v>15</v>
      </c>
      <c r="K27" s="184"/>
      <c r="L27" s="142"/>
      <c r="M27" s="142"/>
      <c r="N27" s="149"/>
      <c r="O27" s="129"/>
      <c r="P27" s="129">
        <f t="shared" si="4"/>
        <v>5</v>
      </c>
      <c r="Q27" s="129"/>
      <c r="R27" s="158"/>
      <c r="S27" s="139"/>
    </row>
    <row r="28" spans="1:19" ht="29.4" customHeight="1" thickBot="1">
      <c r="A28" s="565"/>
      <c r="B28" s="562"/>
      <c r="C28" s="568"/>
      <c r="D28" s="572"/>
      <c r="E28" s="274" t="s">
        <v>552</v>
      </c>
      <c r="F28" s="173" t="s">
        <v>361</v>
      </c>
      <c r="G28" s="173" t="s">
        <v>361</v>
      </c>
      <c r="H28" s="129">
        <v>2</v>
      </c>
      <c r="I28" s="129">
        <v>2</v>
      </c>
      <c r="J28" s="132">
        <f t="shared" si="3"/>
        <v>4</v>
      </c>
      <c r="K28" s="184"/>
      <c r="L28" s="142" t="s">
        <v>1266</v>
      </c>
      <c r="M28" s="142" t="s">
        <v>525</v>
      </c>
      <c r="N28" s="149" t="s">
        <v>342</v>
      </c>
      <c r="O28" s="129">
        <v>2</v>
      </c>
      <c r="P28" s="129">
        <f t="shared" si="4"/>
        <v>2</v>
      </c>
      <c r="Q28" s="129">
        <f t="shared" si="2"/>
        <v>1</v>
      </c>
      <c r="R28" s="158">
        <f t="shared" si="5"/>
        <v>2</v>
      </c>
      <c r="S28" s="139"/>
    </row>
    <row r="29" spans="1:19" ht="73.75" customHeight="1" thickBot="1">
      <c r="A29" s="565"/>
      <c r="B29" s="562"/>
      <c r="C29" s="568"/>
      <c r="D29" s="162" t="s">
        <v>556</v>
      </c>
      <c r="E29" s="274" t="s">
        <v>553</v>
      </c>
      <c r="F29" s="173" t="s">
        <v>557</v>
      </c>
      <c r="G29" s="173" t="s">
        <v>806</v>
      </c>
      <c r="H29" s="129">
        <v>4</v>
      </c>
      <c r="I29" s="129">
        <v>4</v>
      </c>
      <c r="J29" s="132">
        <f t="shared" si="3"/>
        <v>16</v>
      </c>
      <c r="K29" s="184"/>
      <c r="L29" s="142" t="s">
        <v>554</v>
      </c>
      <c r="M29" s="142" t="s">
        <v>525</v>
      </c>
      <c r="N29" s="149" t="s">
        <v>342</v>
      </c>
      <c r="O29" s="129">
        <v>2</v>
      </c>
      <c r="P29" s="129">
        <f t="shared" si="4"/>
        <v>4</v>
      </c>
      <c r="Q29" s="129">
        <f t="shared" si="2"/>
        <v>2</v>
      </c>
      <c r="R29" s="158">
        <f t="shared" si="5"/>
        <v>8</v>
      </c>
      <c r="S29" s="139"/>
    </row>
    <row r="30" spans="1:19" ht="73.75" customHeight="1" thickBot="1">
      <c r="A30" s="565"/>
      <c r="B30" s="562"/>
      <c r="C30" s="568"/>
      <c r="D30" s="601" t="s">
        <v>708</v>
      </c>
      <c r="E30" s="294" t="s">
        <v>709</v>
      </c>
      <c r="F30" s="295" t="s">
        <v>710</v>
      </c>
      <c r="G30" s="295" t="s">
        <v>806</v>
      </c>
      <c r="H30" s="129">
        <v>4</v>
      </c>
      <c r="I30" s="129">
        <v>4</v>
      </c>
      <c r="J30" s="132">
        <f t="shared" si="3"/>
        <v>16</v>
      </c>
      <c r="K30" s="184"/>
      <c r="L30" s="142" t="s">
        <v>712</v>
      </c>
      <c r="M30" s="142" t="s">
        <v>539</v>
      </c>
      <c r="N30" s="149" t="s">
        <v>342</v>
      </c>
      <c r="O30" s="129">
        <v>2</v>
      </c>
      <c r="P30" s="129">
        <f t="shared" si="4"/>
        <v>4</v>
      </c>
      <c r="Q30" s="129">
        <f t="shared" si="2"/>
        <v>2</v>
      </c>
      <c r="R30" s="158">
        <f t="shared" si="5"/>
        <v>8</v>
      </c>
      <c r="S30" s="139"/>
    </row>
    <row r="31" spans="1:19" ht="73.75" customHeight="1" thickBot="1">
      <c r="A31" s="565"/>
      <c r="B31" s="562"/>
      <c r="C31" s="568"/>
      <c r="D31" s="601"/>
      <c r="E31" s="294" t="s">
        <v>711</v>
      </c>
      <c r="F31" s="295" t="s">
        <v>710</v>
      </c>
      <c r="G31" s="295" t="s">
        <v>806</v>
      </c>
      <c r="H31" s="129">
        <v>3</v>
      </c>
      <c r="I31" s="129">
        <v>2</v>
      </c>
      <c r="J31" s="132">
        <f t="shared" si="3"/>
        <v>6</v>
      </c>
      <c r="K31" s="184"/>
      <c r="L31" s="142" t="s">
        <v>713</v>
      </c>
      <c r="M31" s="142" t="s">
        <v>539</v>
      </c>
      <c r="N31" s="149" t="s">
        <v>342</v>
      </c>
      <c r="O31" s="129">
        <v>2</v>
      </c>
      <c r="P31" s="129">
        <f t="shared" si="4"/>
        <v>3</v>
      </c>
      <c r="Q31" s="129">
        <f t="shared" si="2"/>
        <v>1</v>
      </c>
      <c r="R31" s="158">
        <f t="shared" si="5"/>
        <v>3</v>
      </c>
      <c r="S31" s="139"/>
    </row>
    <row r="32" spans="1:19" ht="73" thickBot="1">
      <c r="A32" s="565"/>
      <c r="B32" s="562"/>
      <c r="C32" s="568"/>
      <c r="D32" s="602" t="s">
        <v>771</v>
      </c>
      <c r="E32" s="304" t="s">
        <v>772</v>
      </c>
      <c r="F32" s="305" t="s">
        <v>773</v>
      </c>
      <c r="G32" s="305" t="s">
        <v>806</v>
      </c>
      <c r="H32" s="290">
        <v>4</v>
      </c>
      <c r="I32" s="290">
        <v>2</v>
      </c>
      <c r="J32" s="132">
        <f t="shared" si="3"/>
        <v>8</v>
      </c>
      <c r="K32" s="307"/>
      <c r="L32" s="308" t="s">
        <v>1267</v>
      </c>
      <c r="M32" s="276" t="s">
        <v>1238</v>
      </c>
      <c r="N32" s="149" t="s">
        <v>342</v>
      </c>
      <c r="O32" s="129">
        <v>3</v>
      </c>
      <c r="P32" s="129">
        <f>H32</f>
        <v>4</v>
      </c>
      <c r="Q32" s="129">
        <f t="shared" si="2"/>
        <v>0.66666666666666663</v>
      </c>
      <c r="R32" s="158">
        <f t="shared" si="5"/>
        <v>2.6666666666666665</v>
      </c>
      <c r="S32" s="139"/>
    </row>
    <row r="33" spans="1:19" ht="44" thickBot="1">
      <c r="A33" s="565"/>
      <c r="B33" s="562"/>
      <c r="C33" s="568"/>
      <c r="D33" s="603"/>
      <c r="E33" s="309" t="s">
        <v>774</v>
      </c>
      <c r="F33" s="310" t="s">
        <v>775</v>
      </c>
      <c r="G33" s="305" t="s">
        <v>806</v>
      </c>
      <c r="H33" s="290">
        <v>4</v>
      </c>
      <c r="I33" s="290">
        <v>4</v>
      </c>
      <c r="J33" s="132">
        <f t="shared" si="3"/>
        <v>16</v>
      </c>
      <c r="K33" s="307"/>
      <c r="L33" s="308" t="s">
        <v>1268</v>
      </c>
      <c r="M33" s="276"/>
      <c r="N33" s="149" t="s">
        <v>342</v>
      </c>
      <c r="O33" s="129">
        <v>2</v>
      </c>
      <c r="P33" s="129">
        <f>H33</f>
        <v>4</v>
      </c>
      <c r="Q33" s="129">
        <f t="shared" si="2"/>
        <v>2</v>
      </c>
      <c r="R33" s="158">
        <f t="shared" si="5"/>
        <v>8</v>
      </c>
      <c r="S33" s="139"/>
    </row>
    <row r="34" spans="1:19" ht="29.5" thickBot="1">
      <c r="A34" s="565"/>
      <c r="B34" s="562"/>
      <c r="C34" s="568"/>
      <c r="D34" s="603"/>
      <c r="E34" s="311" t="s">
        <v>776</v>
      </c>
      <c r="F34" s="312" t="s">
        <v>777</v>
      </c>
      <c r="G34" s="310" t="s">
        <v>361</v>
      </c>
      <c r="H34" s="290">
        <v>4</v>
      </c>
      <c r="I34" s="290">
        <v>4</v>
      </c>
      <c r="J34" s="132">
        <f t="shared" si="3"/>
        <v>16</v>
      </c>
      <c r="K34" s="307"/>
      <c r="L34" s="308" t="s">
        <v>1268</v>
      </c>
      <c r="M34" s="276"/>
      <c r="N34" s="149" t="s">
        <v>342</v>
      </c>
      <c r="O34" s="129">
        <v>2</v>
      </c>
      <c r="P34" s="129">
        <f>H34</f>
        <v>4</v>
      </c>
      <c r="Q34" s="129">
        <f t="shared" si="2"/>
        <v>2</v>
      </c>
      <c r="R34" s="158">
        <f t="shared" si="5"/>
        <v>8</v>
      </c>
      <c r="S34" s="139"/>
    </row>
    <row r="35" spans="1:19" ht="15" customHeight="1" thickBot="1">
      <c r="A35" s="566"/>
      <c r="B35" s="563"/>
      <c r="C35" s="569"/>
      <c r="D35" s="604"/>
      <c r="E35" s="313" t="s">
        <v>778</v>
      </c>
      <c r="F35" s="310" t="s">
        <v>779</v>
      </c>
      <c r="G35" s="310" t="s">
        <v>806</v>
      </c>
      <c r="H35" s="290">
        <v>3</v>
      </c>
      <c r="I35" s="290">
        <v>2</v>
      </c>
      <c r="J35" s="132">
        <f t="shared" si="3"/>
        <v>6</v>
      </c>
      <c r="K35" s="307"/>
      <c r="L35" s="308" t="s">
        <v>1268</v>
      </c>
      <c r="M35" s="276"/>
      <c r="N35" s="149" t="s">
        <v>342</v>
      </c>
      <c r="O35" s="129">
        <v>2</v>
      </c>
      <c r="P35" s="129">
        <f>H35</f>
        <v>3</v>
      </c>
      <c r="Q35" s="129">
        <f t="shared" si="2"/>
        <v>1</v>
      </c>
      <c r="R35" s="158">
        <f t="shared" si="5"/>
        <v>3</v>
      </c>
      <c r="S35" s="139"/>
    </row>
    <row r="36" spans="1:19" ht="15" customHeight="1" thickBot="1">
      <c r="A36" s="285"/>
      <c r="B36" s="357"/>
      <c r="C36" s="355"/>
      <c r="D36" s="359"/>
      <c r="E36" s="309"/>
      <c r="F36" s="310"/>
      <c r="G36" s="310"/>
      <c r="H36" s="290"/>
      <c r="I36" s="290"/>
      <c r="J36" s="132"/>
      <c r="K36" s="307"/>
      <c r="L36" s="276"/>
      <c r="M36" s="276"/>
      <c r="N36" s="149"/>
      <c r="O36" s="129"/>
      <c r="P36" s="129"/>
      <c r="Q36" s="129"/>
      <c r="R36" s="158"/>
      <c r="S36" s="139"/>
    </row>
    <row r="37" spans="1:19" ht="16" thickBot="1">
      <c r="A37" s="212" t="s">
        <v>493</v>
      </c>
      <c r="B37" s="212"/>
      <c r="C37" s="212"/>
      <c r="D37" s="212"/>
      <c r="E37" s="599" t="s">
        <v>243</v>
      </c>
      <c r="F37" s="599"/>
      <c r="G37" s="318"/>
      <c r="H37" s="133">
        <f>+ROUND(IFERROR(AVERAGE(H5:H29),0),0)</f>
        <v>3</v>
      </c>
      <c r="I37" s="133">
        <f>+ROUND(IFERROR(AVERAGE(I5:I29),0),0)</f>
        <v>2</v>
      </c>
      <c r="J37" s="132">
        <f t="shared" si="3"/>
        <v>6</v>
      </c>
      <c r="K37" s="184"/>
      <c r="L37" s="600" t="s">
        <v>244</v>
      </c>
      <c r="M37" s="600"/>
      <c r="N37" s="600"/>
      <c r="O37" s="133">
        <f>+ROUND(IFERROR(AVERAGE(O5:O26),0),0)</f>
        <v>2</v>
      </c>
      <c r="P37" s="133">
        <f>+ROUND(IFERROR(AVERAGE(P5:P26),0),0)</f>
        <v>3</v>
      </c>
      <c r="Q37" s="133">
        <f>+ROUND(IFERROR(AVERAGE(Q5:Q26),0),0)</f>
        <v>1</v>
      </c>
      <c r="R37" s="158">
        <f t="shared" si="5"/>
        <v>3</v>
      </c>
      <c r="S37" s="139"/>
    </row>
    <row r="38" spans="1:19" thickBot="1">
      <c r="A38" s="144"/>
      <c r="B38" s="144"/>
      <c r="C38" s="144"/>
      <c r="D38" s="144"/>
      <c r="E38" s="144"/>
      <c r="F38" s="144"/>
      <c r="G38" s="144"/>
      <c r="H38" s="144"/>
      <c r="I38" s="144"/>
      <c r="J38" s="144"/>
      <c r="K38" s="144"/>
      <c r="L38" s="145"/>
      <c r="M38" s="145"/>
      <c r="N38" s="163"/>
      <c r="O38" s="144"/>
      <c r="P38" s="144"/>
      <c r="Q38" s="144"/>
      <c r="R38" s="144"/>
    </row>
    <row r="40" spans="1:19" thickBot="1">
      <c r="F40" s="137" t="s">
        <v>800</v>
      </c>
      <c r="G40" s="137">
        <f>COUNTIF(G5:G35,F40)</f>
        <v>4</v>
      </c>
    </row>
    <row r="41" spans="1:19" thickBot="1">
      <c r="F41" s="137" t="s">
        <v>806</v>
      </c>
      <c r="G41" s="137">
        <f>COUNTIF(G5:G35,F41)</f>
        <v>9</v>
      </c>
    </row>
    <row r="42" spans="1:19" thickBot="1">
      <c r="F42" s="137" t="s">
        <v>801</v>
      </c>
      <c r="G42" s="137">
        <f>COUNTIF(G5:G35,F42)</f>
        <v>0</v>
      </c>
    </row>
    <row r="43" spans="1:19" thickBot="1">
      <c r="F43" s="137" t="s">
        <v>780</v>
      </c>
      <c r="G43" s="137">
        <f>COUNTIF(G5:G35,F43)</f>
        <v>3</v>
      </c>
    </row>
    <row r="44" spans="1:19" thickBot="1">
      <c r="F44" s="137" t="s">
        <v>802</v>
      </c>
      <c r="G44" s="137">
        <f>COUNTIF(G5:G35,F44)</f>
        <v>0</v>
      </c>
    </row>
    <row r="45" spans="1:19" thickBot="1">
      <c r="F45" s="137" t="s">
        <v>808</v>
      </c>
      <c r="G45" s="137">
        <f>COUNTIF(G5:G35,F45)</f>
        <v>0</v>
      </c>
    </row>
    <row r="51" spans="5:9" thickBot="1">
      <c r="E51" s="362" t="s">
        <v>1004</v>
      </c>
      <c r="F51" s="140" t="s">
        <v>1005</v>
      </c>
      <c r="G51" s="140" t="s">
        <v>361</v>
      </c>
      <c r="H51" s="140">
        <v>4</v>
      </c>
      <c r="I51" s="140">
        <v>4</v>
      </c>
    </row>
  </sheetData>
  <mergeCells count="28">
    <mergeCell ref="E37:F37"/>
    <mergeCell ref="L37:N37"/>
    <mergeCell ref="R2:R3"/>
    <mergeCell ref="A2:A4"/>
    <mergeCell ref="H2:H3"/>
    <mergeCell ref="F2:F4"/>
    <mergeCell ref="D5:D15"/>
    <mergeCell ref="A5:A35"/>
    <mergeCell ref="B5:B35"/>
    <mergeCell ref="C5:C35"/>
    <mergeCell ref="D27:D28"/>
    <mergeCell ref="D30:D31"/>
    <mergeCell ref="D32:D35"/>
    <mergeCell ref="D19:D23"/>
    <mergeCell ref="D24:D26"/>
    <mergeCell ref="D16:D18"/>
    <mergeCell ref="A1:R1"/>
    <mergeCell ref="I2:I3"/>
    <mergeCell ref="J2:J3"/>
    <mergeCell ref="L2:O3"/>
    <mergeCell ref="P2:P3"/>
    <mergeCell ref="Q2:Q3"/>
    <mergeCell ref="B2:B4"/>
    <mergeCell ref="C2:C4"/>
    <mergeCell ref="D2:D4"/>
    <mergeCell ref="E2:E4"/>
    <mergeCell ref="K2:K4"/>
    <mergeCell ref="G2:G4"/>
  </mergeCells>
  <conditionalFormatting sqref="J5:J37 R37 R5:R31">
    <cfRule type="colorScale" priority="2">
      <colorScale>
        <cfvo type="num" val="1"/>
        <cfvo type="num" val="8"/>
        <cfvo type="num" val="22"/>
        <color rgb="FF00B050"/>
        <color rgb="FFFFFF00"/>
        <color rgb="FFC00000"/>
      </colorScale>
    </cfRule>
  </conditionalFormatting>
  <conditionalFormatting sqref="R32:R36">
    <cfRule type="colorScale" priority="1">
      <colorScale>
        <cfvo type="num" val="1"/>
        <cfvo type="num" val="8"/>
        <cfvo type="num" val="22"/>
        <color rgb="FF00B050"/>
        <color rgb="FFFFFF00"/>
        <color rgb="FFC00000"/>
      </colorScale>
    </cfRule>
  </conditionalFormatting>
  <pageMargins left="0.70866141732283472" right="0.70866141732283472" top="0.74803149606299213" bottom="0.74803149606299213" header="0.31496062992125984" footer="0.31496062992125984"/>
  <pageSetup paperSize="9" scale="60" orientation="landscape" verticalDpi="0" r:id="rId1"/>
  <drawing r:id="rId2"/>
  <legacyDrawing r:id="rId3"/>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C00000"/>
  </sheetPr>
  <dimension ref="A1:S43"/>
  <sheetViews>
    <sheetView topLeftCell="N2" zoomScale="90" zoomScaleNormal="90" workbookViewId="0">
      <selection activeCell="O5" sqref="O5"/>
    </sheetView>
  </sheetViews>
  <sheetFormatPr baseColWidth="10" defaultColWidth="11.54296875" defaultRowHeight="15" thickBottom="1"/>
  <cols>
    <col min="1" max="1" width="3.90625" style="140" customWidth="1"/>
    <col min="2" max="2" width="13.08984375" style="140" customWidth="1"/>
    <col min="3" max="3" width="6.54296875" style="140" customWidth="1"/>
    <col min="4" max="4" width="12.6328125" style="146" customWidth="1"/>
    <col min="5" max="5" width="42.1796875" style="137" customWidth="1"/>
    <col min="6" max="6" width="27.54296875" style="137" customWidth="1"/>
    <col min="7" max="7" width="23.54296875" style="137" customWidth="1"/>
    <col min="8" max="8" width="7.90625" style="140" customWidth="1"/>
    <col min="9" max="9" width="9.36328125" style="140" customWidth="1"/>
    <col min="10" max="10" width="11.453125" style="140" customWidth="1"/>
    <col min="11" max="11" width="28.1796875" style="140" customWidth="1"/>
    <col min="12" max="12" width="48.36328125" style="137" customWidth="1"/>
    <col min="13" max="13" width="25.1796875" style="137" customWidth="1"/>
    <col min="14" max="14" width="18.6328125" style="148" customWidth="1"/>
    <col min="15" max="15" width="10.54296875" style="140" customWidth="1"/>
    <col min="16" max="16" width="11.54296875" style="140"/>
    <col min="17" max="17" width="10.54296875" style="140" customWidth="1"/>
    <col min="18" max="18" width="10.90625" style="140" customWidth="1"/>
    <col min="19" max="16384" width="11.54296875" style="140"/>
  </cols>
  <sheetData>
    <row r="1" spans="1:19" ht="31.5" thickBot="1">
      <c r="A1" s="514" t="s">
        <v>280</v>
      </c>
      <c r="B1" s="514"/>
      <c r="C1" s="514"/>
      <c r="D1" s="514"/>
      <c r="E1" s="514"/>
      <c r="F1" s="514"/>
      <c r="G1" s="514"/>
      <c r="H1" s="514"/>
      <c r="I1" s="514"/>
      <c r="J1" s="514"/>
      <c r="K1" s="514"/>
      <c r="L1" s="514"/>
      <c r="M1" s="514"/>
      <c r="N1" s="514"/>
      <c r="O1" s="514"/>
      <c r="P1" s="514"/>
      <c r="Q1" s="514"/>
      <c r="R1" s="514"/>
      <c r="S1" s="139"/>
    </row>
    <row r="2" spans="1:19" ht="23.5" customHeight="1" thickBot="1">
      <c r="A2" s="591" t="s">
        <v>71</v>
      </c>
      <c r="B2" s="589" t="s">
        <v>72</v>
      </c>
      <c r="C2" s="590" t="s">
        <v>73</v>
      </c>
      <c r="D2" s="589" t="s">
        <v>74</v>
      </c>
      <c r="E2" s="589" t="s">
        <v>350</v>
      </c>
      <c r="F2" s="582" t="s">
        <v>5</v>
      </c>
      <c r="G2" s="582" t="s">
        <v>809</v>
      </c>
      <c r="H2" s="585" t="s">
        <v>58</v>
      </c>
      <c r="I2" s="585" t="s">
        <v>43</v>
      </c>
      <c r="J2" s="585" t="s">
        <v>245</v>
      </c>
      <c r="K2" s="586" t="s">
        <v>455</v>
      </c>
      <c r="L2" s="585" t="s">
        <v>227</v>
      </c>
      <c r="M2" s="585"/>
      <c r="N2" s="585"/>
      <c r="O2" s="585"/>
      <c r="P2" s="585" t="s">
        <v>252</v>
      </c>
      <c r="Q2" s="585" t="s">
        <v>253</v>
      </c>
      <c r="R2" s="585" t="s">
        <v>246</v>
      </c>
      <c r="S2" s="139"/>
    </row>
    <row r="3" spans="1:19" thickBot="1">
      <c r="A3" s="591"/>
      <c r="B3" s="589"/>
      <c r="C3" s="590"/>
      <c r="D3" s="589"/>
      <c r="E3" s="589"/>
      <c r="F3" s="583"/>
      <c r="G3" s="583"/>
      <c r="H3" s="585"/>
      <c r="I3" s="585"/>
      <c r="J3" s="585"/>
      <c r="K3" s="587"/>
      <c r="L3" s="585"/>
      <c r="M3" s="585"/>
      <c r="N3" s="585"/>
      <c r="O3" s="585"/>
      <c r="P3" s="585"/>
      <c r="Q3" s="585"/>
      <c r="R3" s="585"/>
      <c r="S3" s="139"/>
    </row>
    <row r="4" spans="1:19" ht="23.5" thickBot="1">
      <c r="A4" s="591"/>
      <c r="B4" s="589"/>
      <c r="C4" s="590"/>
      <c r="D4" s="589"/>
      <c r="E4" s="589"/>
      <c r="F4" s="584"/>
      <c r="G4" s="584"/>
      <c r="H4" s="127" t="s">
        <v>0</v>
      </c>
      <c r="I4" s="127" t="s">
        <v>1</v>
      </c>
      <c r="J4" s="127" t="s">
        <v>4</v>
      </c>
      <c r="K4" s="588"/>
      <c r="L4" s="127" t="s">
        <v>230</v>
      </c>
      <c r="M4" s="127" t="s">
        <v>419</v>
      </c>
      <c r="N4" s="159" t="s">
        <v>254</v>
      </c>
      <c r="O4" s="127" t="s">
        <v>225</v>
      </c>
      <c r="P4" s="127" t="s">
        <v>0</v>
      </c>
      <c r="Q4" s="127" t="s">
        <v>351</v>
      </c>
      <c r="R4" s="127" t="s">
        <v>4</v>
      </c>
      <c r="S4" s="139"/>
    </row>
    <row r="5" spans="1:19" s="372" customFormat="1" ht="44" thickBot="1">
      <c r="A5" s="363"/>
      <c r="B5" s="561" t="s">
        <v>490</v>
      </c>
      <c r="C5" s="606">
        <v>0.1</v>
      </c>
      <c r="D5" s="609" t="s">
        <v>32</v>
      </c>
      <c r="E5" s="365" t="s">
        <v>1006</v>
      </c>
      <c r="F5" s="366" t="s">
        <v>376</v>
      </c>
      <c r="G5" s="366" t="s">
        <v>800</v>
      </c>
      <c r="H5" s="367">
        <v>4</v>
      </c>
      <c r="I5" s="367">
        <v>4</v>
      </c>
      <c r="J5" s="368">
        <f>H5*I5</f>
        <v>16</v>
      </c>
      <c r="K5" s="369"/>
      <c r="L5" s="367" t="s">
        <v>1269</v>
      </c>
      <c r="M5" s="367"/>
      <c r="N5" s="370"/>
      <c r="O5" s="367"/>
      <c r="P5" s="367"/>
      <c r="Q5" s="367"/>
      <c r="R5" s="367"/>
      <c r="S5" s="371"/>
    </row>
    <row r="6" spans="1:19" s="372" customFormat="1" ht="44" thickBot="1">
      <c r="A6" s="363"/>
      <c r="B6" s="562"/>
      <c r="C6" s="607"/>
      <c r="D6" s="610"/>
      <c r="E6" s="365" t="s">
        <v>1007</v>
      </c>
      <c r="F6" s="366" t="s">
        <v>1008</v>
      </c>
      <c r="G6" s="366" t="s">
        <v>1008</v>
      </c>
      <c r="H6" s="367">
        <v>4</v>
      </c>
      <c r="I6" s="367">
        <v>4</v>
      </c>
      <c r="J6" s="368">
        <f>H6*I6</f>
        <v>16</v>
      </c>
      <c r="K6" s="369"/>
      <c r="L6" s="373" t="s">
        <v>1009</v>
      </c>
      <c r="M6" s="373" t="s">
        <v>1010</v>
      </c>
      <c r="N6" s="370" t="s">
        <v>1011</v>
      </c>
      <c r="O6" s="367">
        <v>2</v>
      </c>
      <c r="P6" s="367"/>
      <c r="Q6" s="367"/>
      <c r="R6" s="367"/>
      <c r="S6" s="371"/>
    </row>
    <row r="7" spans="1:19" s="372" customFormat="1" ht="73" thickBot="1">
      <c r="A7" s="592">
        <v>4</v>
      </c>
      <c r="B7" s="562"/>
      <c r="C7" s="607"/>
      <c r="D7" s="610"/>
      <c r="E7" s="365" t="s">
        <v>1012</v>
      </c>
      <c r="F7" s="366" t="s">
        <v>376</v>
      </c>
      <c r="G7" s="366" t="s">
        <v>800</v>
      </c>
      <c r="H7" s="368">
        <v>5</v>
      </c>
      <c r="I7" s="368">
        <v>2</v>
      </c>
      <c r="J7" s="368">
        <f>H8*I8</f>
        <v>9</v>
      </c>
      <c r="K7" s="374"/>
      <c r="L7" s="373" t="s">
        <v>1013</v>
      </c>
      <c r="M7" s="373" t="s">
        <v>1014</v>
      </c>
      <c r="N7" s="375" t="s">
        <v>281</v>
      </c>
      <c r="O7" s="368">
        <v>2</v>
      </c>
      <c r="P7" s="368">
        <f>H7</f>
        <v>5</v>
      </c>
      <c r="Q7" s="368">
        <f>I7/O7</f>
        <v>1</v>
      </c>
      <c r="R7" s="368">
        <f>P7*Q7</f>
        <v>5</v>
      </c>
      <c r="S7" s="371"/>
    </row>
    <row r="8" spans="1:19" ht="82.75" customHeight="1" thickBot="1">
      <c r="A8" s="592"/>
      <c r="B8" s="562"/>
      <c r="C8" s="607"/>
      <c r="D8" s="610"/>
      <c r="E8" s="131" t="s">
        <v>559</v>
      </c>
      <c r="F8" s="173" t="s">
        <v>369</v>
      </c>
      <c r="G8" s="173" t="s">
        <v>361</v>
      </c>
      <c r="H8" s="129">
        <v>3</v>
      </c>
      <c r="I8" s="129">
        <v>3</v>
      </c>
      <c r="J8" s="158">
        <f t="shared" ref="J8:J32" si="0">H8*I8</f>
        <v>9</v>
      </c>
      <c r="K8" s="184"/>
      <c r="L8" s="131" t="s">
        <v>282</v>
      </c>
      <c r="M8" s="131" t="s">
        <v>569</v>
      </c>
      <c r="N8" s="149" t="s">
        <v>281</v>
      </c>
      <c r="O8" s="129">
        <v>2</v>
      </c>
      <c r="P8" s="129">
        <f t="shared" ref="P8:P31" si="1">H8</f>
        <v>3</v>
      </c>
      <c r="Q8" s="129">
        <f t="shared" ref="Q8:Q31" si="2">I8/O8</f>
        <v>1.5</v>
      </c>
      <c r="R8" s="158">
        <f t="shared" ref="R8:R29" si="3">P8*Q8</f>
        <v>4.5</v>
      </c>
      <c r="S8" s="139"/>
    </row>
    <row r="9" spans="1:19" ht="44" thickBot="1">
      <c r="A9" s="592"/>
      <c r="B9" s="562"/>
      <c r="C9" s="607"/>
      <c r="D9" s="610"/>
      <c r="E9" s="131" t="s">
        <v>284</v>
      </c>
      <c r="F9" s="173" t="s">
        <v>377</v>
      </c>
      <c r="G9" s="173" t="s">
        <v>800</v>
      </c>
      <c r="H9" s="129">
        <v>5</v>
      </c>
      <c r="I9" s="129">
        <v>3</v>
      </c>
      <c r="J9" s="158">
        <f t="shared" si="0"/>
        <v>15</v>
      </c>
      <c r="K9" s="184"/>
      <c r="L9" s="131" t="s">
        <v>285</v>
      </c>
      <c r="M9" s="131" t="s">
        <v>525</v>
      </c>
      <c r="N9" s="149" t="s">
        <v>1015</v>
      </c>
      <c r="O9" s="129">
        <v>2</v>
      </c>
      <c r="P9" s="129">
        <f t="shared" si="1"/>
        <v>5</v>
      </c>
      <c r="Q9" s="129">
        <f t="shared" si="2"/>
        <v>1.5</v>
      </c>
      <c r="R9" s="158">
        <f t="shared" si="3"/>
        <v>7.5</v>
      </c>
      <c r="S9" s="139"/>
    </row>
    <row r="10" spans="1:19" ht="29.5" thickBot="1">
      <c r="A10" s="592"/>
      <c r="B10" s="562"/>
      <c r="C10" s="607"/>
      <c r="D10" s="610"/>
      <c r="E10" s="131" t="s">
        <v>287</v>
      </c>
      <c r="F10" s="173" t="s">
        <v>1016</v>
      </c>
      <c r="G10" s="173" t="s">
        <v>800</v>
      </c>
      <c r="H10" s="129">
        <v>5</v>
      </c>
      <c r="I10" s="129">
        <v>2</v>
      </c>
      <c r="J10" s="130">
        <f t="shared" si="0"/>
        <v>10</v>
      </c>
      <c r="K10" s="184"/>
      <c r="L10" s="131" t="s">
        <v>504</v>
      </c>
      <c r="M10" s="131" t="s">
        <v>525</v>
      </c>
      <c r="N10" s="149" t="s">
        <v>1015</v>
      </c>
      <c r="O10" s="129">
        <v>2</v>
      </c>
      <c r="P10" s="129">
        <f t="shared" si="1"/>
        <v>5</v>
      </c>
      <c r="Q10" s="129">
        <f t="shared" si="2"/>
        <v>1</v>
      </c>
      <c r="R10" s="158">
        <f t="shared" si="3"/>
        <v>5</v>
      </c>
      <c r="S10" s="139"/>
    </row>
    <row r="11" spans="1:19" ht="73" thickBot="1">
      <c r="A11" s="592"/>
      <c r="B11" s="562"/>
      <c r="C11" s="607"/>
      <c r="D11" s="610"/>
      <c r="E11" s="274" t="s">
        <v>289</v>
      </c>
      <c r="F11" s="173" t="s">
        <v>361</v>
      </c>
      <c r="G11" s="173" t="s">
        <v>361</v>
      </c>
      <c r="H11" s="129">
        <v>4</v>
      </c>
      <c r="I11" s="129">
        <v>3</v>
      </c>
      <c r="J11" s="158">
        <f t="shared" si="0"/>
        <v>12</v>
      </c>
      <c r="K11" s="184"/>
      <c r="L11" s="131" t="s">
        <v>1017</v>
      </c>
      <c r="M11" s="131" t="s">
        <v>525</v>
      </c>
      <c r="N11" s="149" t="s">
        <v>286</v>
      </c>
      <c r="O11" s="129">
        <v>2</v>
      </c>
      <c r="P11" s="129">
        <f t="shared" si="1"/>
        <v>4</v>
      </c>
      <c r="Q11" s="129">
        <f t="shared" si="2"/>
        <v>1.5</v>
      </c>
      <c r="R11" s="158">
        <f t="shared" si="3"/>
        <v>6</v>
      </c>
      <c r="S11" s="139"/>
    </row>
    <row r="12" spans="1:19" ht="29.5" thickBot="1">
      <c r="A12" s="592"/>
      <c r="B12" s="562"/>
      <c r="C12" s="607"/>
      <c r="D12" s="610"/>
      <c r="E12" s="131" t="s">
        <v>503</v>
      </c>
      <c r="F12" s="173" t="s">
        <v>361</v>
      </c>
      <c r="G12" s="173" t="s">
        <v>361</v>
      </c>
      <c r="H12" s="129">
        <v>1</v>
      </c>
      <c r="I12" s="129">
        <v>1</v>
      </c>
      <c r="J12" s="158">
        <f>H12*I12</f>
        <v>1</v>
      </c>
      <c r="K12" s="184"/>
      <c r="L12" s="131" t="s">
        <v>504</v>
      </c>
      <c r="M12" s="131" t="s">
        <v>525</v>
      </c>
      <c r="N12" s="149" t="s">
        <v>286</v>
      </c>
      <c r="O12" s="129">
        <v>2</v>
      </c>
      <c r="P12" s="129">
        <f t="shared" si="1"/>
        <v>1</v>
      </c>
      <c r="Q12" s="129">
        <f t="shared" si="2"/>
        <v>0.5</v>
      </c>
      <c r="R12" s="158">
        <f>P12*Q12</f>
        <v>0.5</v>
      </c>
      <c r="S12" s="139"/>
    </row>
    <row r="13" spans="1:19" ht="29.5" thickBot="1">
      <c r="A13" s="592"/>
      <c r="B13" s="562"/>
      <c r="C13" s="607"/>
      <c r="D13" s="610"/>
      <c r="E13" s="274" t="s">
        <v>290</v>
      </c>
      <c r="F13" s="173" t="s">
        <v>378</v>
      </c>
      <c r="G13" s="173" t="s">
        <v>361</v>
      </c>
      <c r="H13" s="129">
        <v>4</v>
      </c>
      <c r="I13" s="129">
        <v>3</v>
      </c>
      <c r="J13" s="158">
        <f t="shared" si="0"/>
        <v>12</v>
      </c>
      <c r="K13" s="184"/>
      <c r="L13" s="131" t="s">
        <v>1018</v>
      </c>
      <c r="M13" s="131" t="s">
        <v>525</v>
      </c>
      <c r="N13" s="149" t="s">
        <v>286</v>
      </c>
      <c r="O13" s="129">
        <v>2</v>
      </c>
      <c r="P13" s="129">
        <f t="shared" si="1"/>
        <v>4</v>
      </c>
      <c r="Q13" s="129">
        <f t="shared" si="2"/>
        <v>1.5</v>
      </c>
      <c r="R13" s="158">
        <f t="shared" si="3"/>
        <v>6</v>
      </c>
      <c r="S13" s="139"/>
    </row>
    <row r="14" spans="1:19" ht="29.5" thickBot="1">
      <c r="A14" s="592"/>
      <c r="B14" s="562"/>
      <c r="C14" s="607"/>
      <c r="D14" s="610"/>
      <c r="E14" s="274" t="s">
        <v>838</v>
      </c>
      <c r="F14" s="173" t="s">
        <v>379</v>
      </c>
      <c r="G14" s="173" t="s">
        <v>800</v>
      </c>
      <c r="H14" s="129">
        <v>5</v>
      </c>
      <c r="I14" s="129">
        <v>1</v>
      </c>
      <c r="J14" s="130">
        <f t="shared" si="0"/>
        <v>5</v>
      </c>
      <c r="K14" s="184"/>
      <c r="L14" s="131" t="s">
        <v>1019</v>
      </c>
      <c r="M14" s="131" t="s">
        <v>569</v>
      </c>
      <c r="N14" s="149" t="s">
        <v>1020</v>
      </c>
      <c r="O14" s="129">
        <v>2</v>
      </c>
      <c r="P14" s="129">
        <f t="shared" si="1"/>
        <v>5</v>
      </c>
      <c r="Q14" s="129">
        <f t="shared" si="2"/>
        <v>0.5</v>
      </c>
      <c r="R14" s="158">
        <f t="shared" si="3"/>
        <v>2.5</v>
      </c>
      <c r="S14" s="139"/>
    </row>
    <row r="15" spans="1:19" ht="29.5" thickBot="1">
      <c r="A15" s="592"/>
      <c r="B15" s="562"/>
      <c r="C15" s="607"/>
      <c r="D15" s="610"/>
      <c r="E15" s="274" t="s">
        <v>839</v>
      </c>
      <c r="F15" s="173" t="s">
        <v>379</v>
      </c>
      <c r="G15" s="173" t="s">
        <v>800</v>
      </c>
      <c r="H15" s="129">
        <v>5</v>
      </c>
      <c r="I15" s="129">
        <v>1</v>
      </c>
      <c r="J15" s="130">
        <f t="shared" si="0"/>
        <v>5</v>
      </c>
      <c r="K15" s="184"/>
      <c r="L15" s="131" t="s">
        <v>568</v>
      </c>
      <c r="M15" s="131" t="s">
        <v>569</v>
      </c>
      <c r="N15" s="149" t="s">
        <v>286</v>
      </c>
      <c r="O15" s="129">
        <v>2</v>
      </c>
      <c r="P15" s="129">
        <f t="shared" si="1"/>
        <v>5</v>
      </c>
      <c r="Q15" s="129">
        <f t="shared" si="2"/>
        <v>0.5</v>
      </c>
      <c r="R15" s="158">
        <f t="shared" si="3"/>
        <v>2.5</v>
      </c>
      <c r="S15" s="139"/>
    </row>
    <row r="16" spans="1:19" ht="29.5" thickBot="1">
      <c r="A16" s="592"/>
      <c r="B16" s="562"/>
      <c r="C16" s="607"/>
      <c r="D16" s="610"/>
      <c r="E16" s="274" t="s">
        <v>714</v>
      </c>
      <c r="F16" s="314" t="s">
        <v>379</v>
      </c>
      <c r="G16" s="173" t="s">
        <v>800</v>
      </c>
      <c r="H16" s="129">
        <v>5</v>
      </c>
      <c r="I16" s="129">
        <v>3</v>
      </c>
      <c r="J16" s="130">
        <f t="shared" si="0"/>
        <v>15</v>
      </c>
      <c r="K16" s="184"/>
      <c r="L16" s="142" t="s">
        <v>1270</v>
      </c>
      <c r="M16" s="131" t="s">
        <v>525</v>
      </c>
      <c r="N16" s="149" t="s">
        <v>286</v>
      </c>
      <c r="O16" s="129">
        <v>2</v>
      </c>
      <c r="P16" s="129">
        <f t="shared" si="1"/>
        <v>5</v>
      </c>
      <c r="Q16" s="129">
        <f t="shared" si="2"/>
        <v>1.5</v>
      </c>
      <c r="R16" s="158">
        <f t="shared" si="3"/>
        <v>7.5</v>
      </c>
      <c r="S16" s="139"/>
    </row>
    <row r="17" spans="1:19" ht="29.5" thickBot="1">
      <c r="A17" s="592"/>
      <c r="B17" s="562"/>
      <c r="C17" s="607"/>
      <c r="D17" s="610"/>
      <c r="E17" s="274" t="s">
        <v>715</v>
      </c>
      <c r="F17" s="314" t="s">
        <v>379</v>
      </c>
      <c r="G17" s="173" t="s">
        <v>800</v>
      </c>
      <c r="H17" s="129">
        <v>5</v>
      </c>
      <c r="I17" s="129">
        <v>1</v>
      </c>
      <c r="J17" s="130">
        <f t="shared" si="0"/>
        <v>5</v>
      </c>
      <c r="K17" s="184"/>
      <c r="L17" s="142" t="s">
        <v>721</v>
      </c>
      <c r="M17" s="131" t="s">
        <v>525</v>
      </c>
      <c r="N17" s="149" t="s">
        <v>286</v>
      </c>
      <c r="O17" s="129">
        <v>2</v>
      </c>
      <c r="P17" s="129">
        <f t="shared" si="1"/>
        <v>5</v>
      </c>
      <c r="Q17" s="129">
        <f t="shared" si="2"/>
        <v>0.5</v>
      </c>
      <c r="R17" s="158">
        <f t="shared" si="3"/>
        <v>2.5</v>
      </c>
      <c r="S17" s="139"/>
    </row>
    <row r="18" spans="1:19" ht="29.5" thickBot="1">
      <c r="A18" s="592"/>
      <c r="B18" s="562"/>
      <c r="C18" s="607"/>
      <c r="D18" s="610"/>
      <c r="E18" s="274" t="s">
        <v>716</v>
      </c>
      <c r="F18" s="314" t="s">
        <v>370</v>
      </c>
      <c r="G18" s="173" t="s">
        <v>800</v>
      </c>
      <c r="H18" s="129">
        <v>4</v>
      </c>
      <c r="I18" s="129">
        <v>3</v>
      </c>
      <c r="J18" s="130">
        <f t="shared" si="0"/>
        <v>12</v>
      </c>
      <c r="K18" s="184"/>
      <c r="L18" s="142" t="s">
        <v>1271</v>
      </c>
      <c r="M18" s="131" t="s">
        <v>525</v>
      </c>
      <c r="N18" s="149" t="s">
        <v>286</v>
      </c>
      <c r="O18" s="129">
        <v>2</v>
      </c>
      <c r="P18" s="129">
        <f t="shared" si="1"/>
        <v>4</v>
      </c>
      <c r="Q18" s="129">
        <f t="shared" si="2"/>
        <v>1.5</v>
      </c>
      <c r="R18" s="158">
        <f t="shared" si="3"/>
        <v>6</v>
      </c>
      <c r="S18" s="139"/>
    </row>
    <row r="19" spans="1:19" ht="29.5" thickBot="1">
      <c r="A19" s="592"/>
      <c r="B19" s="562"/>
      <c r="C19" s="607"/>
      <c r="D19" s="610"/>
      <c r="E19" s="274" t="s">
        <v>717</v>
      </c>
      <c r="F19" s="314" t="s">
        <v>379</v>
      </c>
      <c r="G19" s="173" t="s">
        <v>800</v>
      </c>
      <c r="H19" s="129">
        <v>4</v>
      </c>
      <c r="I19" s="129">
        <v>1</v>
      </c>
      <c r="J19" s="130">
        <f t="shared" si="0"/>
        <v>4</v>
      </c>
      <c r="K19" s="184"/>
      <c r="L19" s="142" t="s">
        <v>722</v>
      </c>
      <c r="M19" s="131" t="s">
        <v>539</v>
      </c>
      <c r="N19" s="149" t="s">
        <v>286</v>
      </c>
      <c r="O19" s="129">
        <v>2</v>
      </c>
      <c r="P19" s="129">
        <f t="shared" si="1"/>
        <v>4</v>
      </c>
      <c r="Q19" s="129">
        <f t="shared" si="2"/>
        <v>0.5</v>
      </c>
      <c r="R19" s="158">
        <f t="shared" si="3"/>
        <v>2</v>
      </c>
      <c r="S19" s="139"/>
    </row>
    <row r="20" spans="1:19" ht="29.5" thickBot="1">
      <c r="A20" s="592"/>
      <c r="B20" s="562"/>
      <c r="C20" s="607"/>
      <c r="D20" s="610"/>
      <c r="E20" s="274" t="s">
        <v>718</v>
      </c>
      <c r="F20" s="314" t="s">
        <v>379</v>
      </c>
      <c r="G20" s="173" t="s">
        <v>800</v>
      </c>
      <c r="H20" s="129">
        <v>5</v>
      </c>
      <c r="I20" s="129">
        <v>1</v>
      </c>
      <c r="J20" s="130">
        <f t="shared" si="0"/>
        <v>5</v>
      </c>
      <c r="K20" s="184"/>
      <c r="L20" s="142" t="s">
        <v>723</v>
      </c>
      <c r="M20" s="131" t="s">
        <v>525</v>
      </c>
      <c r="N20" s="149" t="s">
        <v>286</v>
      </c>
      <c r="O20" s="129">
        <v>2</v>
      </c>
      <c r="P20" s="129">
        <f t="shared" si="1"/>
        <v>5</v>
      </c>
      <c r="Q20" s="129">
        <f t="shared" si="2"/>
        <v>0.5</v>
      </c>
      <c r="R20" s="158">
        <f t="shared" si="3"/>
        <v>2.5</v>
      </c>
      <c r="S20" s="139"/>
    </row>
    <row r="21" spans="1:19" ht="29.5" thickBot="1">
      <c r="A21" s="592"/>
      <c r="B21" s="562"/>
      <c r="C21" s="607"/>
      <c r="D21" s="610"/>
      <c r="E21" s="274" t="s">
        <v>719</v>
      </c>
      <c r="F21" s="314" t="s">
        <v>379</v>
      </c>
      <c r="G21" s="173" t="s">
        <v>800</v>
      </c>
      <c r="H21" s="129">
        <v>5</v>
      </c>
      <c r="I21" s="129">
        <v>1</v>
      </c>
      <c r="J21" s="130">
        <f t="shared" si="0"/>
        <v>5</v>
      </c>
      <c r="K21" s="184"/>
      <c r="L21" s="142" t="s">
        <v>1021</v>
      </c>
      <c r="N21" s="149" t="s">
        <v>286</v>
      </c>
      <c r="O21" s="129">
        <v>2</v>
      </c>
      <c r="P21" s="129">
        <f t="shared" si="1"/>
        <v>5</v>
      </c>
      <c r="Q21" s="129">
        <f t="shared" si="2"/>
        <v>0.5</v>
      </c>
      <c r="R21" s="158">
        <f t="shared" si="3"/>
        <v>2.5</v>
      </c>
      <c r="S21" s="139"/>
    </row>
    <row r="22" spans="1:19" ht="29.5" thickBot="1">
      <c r="A22" s="592"/>
      <c r="B22" s="562"/>
      <c r="C22" s="607"/>
      <c r="D22" s="610"/>
      <c r="E22" s="274" t="s">
        <v>720</v>
      </c>
      <c r="F22" s="314" t="s">
        <v>370</v>
      </c>
      <c r="G22" s="173" t="s">
        <v>800</v>
      </c>
      <c r="H22" s="129">
        <v>5</v>
      </c>
      <c r="I22" s="129">
        <v>1</v>
      </c>
      <c r="J22" s="130">
        <f t="shared" si="0"/>
        <v>5</v>
      </c>
      <c r="K22" s="184"/>
      <c r="L22" s="142" t="s">
        <v>1272</v>
      </c>
      <c r="M22" s="131" t="s">
        <v>525</v>
      </c>
      <c r="N22" s="149" t="s">
        <v>286</v>
      </c>
      <c r="O22" s="129">
        <v>2</v>
      </c>
      <c r="P22" s="129">
        <f t="shared" si="1"/>
        <v>5</v>
      </c>
      <c r="Q22" s="129">
        <f t="shared" si="2"/>
        <v>0.5</v>
      </c>
      <c r="R22" s="158">
        <f t="shared" si="3"/>
        <v>2.5</v>
      </c>
      <c r="S22" s="139"/>
    </row>
    <row r="23" spans="1:19" ht="29.5" thickBot="1">
      <c r="A23" s="592"/>
      <c r="B23" s="562"/>
      <c r="C23" s="607"/>
      <c r="D23" s="610"/>
      <c r="E23" s="274" t="s">
        <v>1022</v>
      </c>
      <c r="F23" s="314" t="s">
        <v>727</v>
      </c>
      <c r="G23" s="314" t="s">
        <v>800</v>
      </c>
      <c r="H23" s="129">
        <v>4</v>
      </c>
      <c r="I23" s="129">
        <v>2</v>
      </c>
      <c r="J23" s="129">
        <v>12</v>
      </c>
      <c r="K23" s="361"/>
      <c r="L23" s="142" t="s">
        <v>955</v>
      </c>
      <c r="M23" s="131" t="s">
        <v>525</v>
      </c>
      <c r="N23" s="149" t="s">
        <v>561</v>
      </c>
      <c r="O23" s="129">
        <v>3</v>
      </c>
      <c r="P23" s="129">
        <v>4</v>
      </c>
      <c r="Q23" s="129">
        <f t="shared" si="2"/>
        <v>0.66666666666666663</v>
      </c>
      <c r="R23" s="158">
        <f t="shared" si="3"/>
        <v>2.6666666666666665</v>
      </c>
      <c r="S23" s="139"/>
    </row>
    <row r="24" spans="1:19" ht="29.5" thickBot="1">
      <c r="A24" s="592"/>
      <c r="B24" s="562"/>
      <c r="C24" s="607"/>
      <c r="D24" s="610"/>
      <c r="E24" s="274" t="s">
        <v>1023</v>
      </c>
      <c r="F24" s="314" t="s">
        <v>727</v>
      </c>
      <c r="G24" s="314" t="s">
        <v>800</v>
      </c>
      <c r="H24" s="129">
        <v>4</v>
      </c>
      <c r="I24" s="129">
        <v>2</v>
      </c>
      <c r="J24" s="129">
        <v>12</v>
      </c>
      <c r="K24" s="361"/>
      <c r="L24" s="142" t="s">
        <v>955</v>
      </c>
      <c r="M24" s="131" t="s">
        <v>525</v>
      </c>
      <c r="N24" s="149" t="s">
        <v>561</v>
      </c>
      <c r="O24" s="129">
        <v>1</v>
      </c>
      <c r="P24" s="129">
        <v>4</v>
      </c>
      <c r="Q24" s="129">
        <f t="shared" si="2"/>
        <v>2</v>
      </c>
      <c r="R24" s="158">
        <f t="shared" si="3"/>
        <v>8</v>
      </c>
      <c r="S24" s="139"/>
    </row>
    <row r="25" spans="1:19" ht="83.4" customHeight="1" thickBot="1">
      <c r="A25" s="592"/>
      <c r="B25" s="562"/>
      <c r="C25" s="607"/>
      <c r="D25" s="610"/>
      <c r="E25" s="274" t="s">
        <v>562</v>
      </c>
      <c r="F25" s="173" t="s">
        <v>370</v>
      </c>
      <c r="G25" s="173" t="s">
        <v>800</v>
      </c>
      <c r="H25" s="129">
        <v>5</v>
      </c>
      <c r="I25" s="129">
        <v>1</v>
      </c>
      <c r="J25" s="130">
        <f t="shared" si="0"/>
        <v>5</v>
      </c>
      <c r="K25" s="184"/>
      <c r="L25" s="131" t="s">
        <v>1024</v>
      </c>
      <c r="M25" s="131" t="s">
        <v>525</v>
      </c>
      <c r="N25" s="149" t="s">
        <v>286</v>
      </c>
      <c r="O25" s="129">
        <v>2</v>
      </c>
      <c r="P25" s="129">
        <f t="shared" si="1"/>
        <v>5</v>
      </c>
      <c r="Q25" s="129">
        <f t="shared" si="2"/>
        <v>0.5</v>
      </c>
      <c r="R25" s="158">
        <f t="shared" si="3"/>
        <v>2.5</v>
      </c>
      <c r="S25" s="139"/>
    </row>
    <row r="26" spans="1:19" ht="83.4" customHeight="1" thickBot="1">
      <c r="A26" s="592"/>
      <c r="B26" s="562"/>
      <c r="C26" s="607"/>
      <c r="D26" s="610"/>
      <c r="E26" s="131" t="s">
        <v>676</v>
      </c>
      <c r="F26" s="173" t="s">
        <v>377</v>
      </c>
      <c r="G26" s="173" t="s">
        <v>800</v>
      </c>
      <c r="H26" s="129">
        <v>5</v>
      </c>
      <c r="I26" s="129">
        <v>1</v>
      </c>
      <c r="J26" s="130">
        <f t="shared" si="0"/>
        <v>5</v>
      </c>
      <c r="K26" s="184"/>
      <c r="L26" s="131" t="s">
        <v>1273</v>
      </c>
      <c r="M26" s="131" t="s">
        <v>525</v>
      </c>
      <c r="N26" s="149" t="s">
        <v>286</v>
      </c>
      <c r="O26" s="129">
        <v>3</v>
      </c>
      <c r="P26" s="129">
        <f t="shared" si="1"/>
        <v>5</v>
      </c>
      <c r="Q26" s="129">
        <f t="shared" si="2"/>
        <v>0.33333333333333331</v>
      </c>
      <c r="R26" s="158">
        <f t="shared" si="3"/>
        <v>1.6666666666666665</v>
      </c>
      <c r="S26" s="139"/>
    </row>
    <row r="27" spans="1:19" ht="44" thickBot="1">
      <c r="A27" s="592"/>
      <c r="B27" s="562"/>
      <c r="C27" s="607"/>
      <c r="D27" s="611"/>
      <c r="E27" s="274" t="s">
        <v>1025</v>
      </c>
      <c r="F27" s="173" t="s">
        <v>380</v>
      </c>
      <c r="G27" s="173" t="s">
        <v>361</v>
      </c>
      <c r="H27" s="129">
        <v>5</v>
      </c>
      <c r="I27" s="129">
        <v>1</v>
      </c>
      <c r="J27" s="158">
        <f t="shared" si="0"/>
        <v>5</v>
      </c>
      <c r="K27" s="184"/>
      <c r="L27" s="131" t="s">
        <v>1026</v>
      </c>
      <c r="M27" s="131" t="s">
        <v>569</v>
      </c>
      <c r="N27" s="149" t="s">
        <v>286</v>
      </c>
      <c r="O27" s="129">
        <v>2</v>
      </c>
      <c r="P27" s="129">
        <f t="shared" si="1"/>
        <v>5</v>
      </c>
      <c r="Q27" s="129">
        <f t="shared" si="2"/>
        <v>0.5</v>
      </c>
      <c r="R27" s="158">
        <f t="shared" si="3"/>
        <v>2.5</v>
      </c>
      <c r="S27" s="139"/>
    </row>
    <row r="28" spans="1:19" ht="29.5" thickBot="1">
      <c r="A28" s="592"/>
      <c r="B28" s="562"/>
      <c r="C28" s="607"/>
      <c r="D28" s="613" t="s">
        <v>724</v>
      </c>
      <c r="E28" s="274" t="s">
        <v>725</v>
      </c>
      <c r="F28" s="314" t="s">
        <v>832</v>
      </c>
      <c r="G28" s="314" t="s">
        <v>800</v>
      </c>
      <c r="H28" s="129">
        <v>4</v>
      </c>
      <c r="I28" s="129">
        <v>3</v>
      </c>
      <c r="J28" s="129">
        <f t="shared" si="0"/>
        <v>12</v>
      </c>
      <c r="K28" s="361"/>
      <c r="L28" s="142" t="s">
        <v>1274</v>
      </c>
      <c r="M28" s="131" t="s">
        <v>525</v>
      </c>
      <c r="N28" s="149" t="s">
        <v>286</v>
      </c>
      <c r="O28" s="129">
        <v>2</v>
      </c>
      <c r="P28" s="129">
        <f t="shared" si="1"/>
        <v>4</v>
      </c>
      <c r="Q28" s="129">
        <f t="shared" si="2"/>
        <v>1.5</v>
      </c>
      <c r="R28" s="129">
        <f t="shared" si="3"/>
        <v>6</v>
      </c>
      <c r="S28" s="139"/>
    </row>
    <row r="29" spans="1:19" thickBot="1">
      <c r="A29" s="592"/>
      <c r="B29" s="562"/>
      <c r="C29" s="607"/>
      <c r="D29" s="613"/>
      <c r="E29" s="274" t="s">
        <v>726</v>
      </c>
      <c r="F29" s="314" t="s">
        <v>727</v>
      </c>
      <c r="G29" s="314" t="s">
        <v>800</v>
      </c>
      <c r="H29" s="129">
        <v>4</v>
      </c>
      <c r="I29" s="129">
        <v>1</v>
      </c>
      <c r="J29" s="129">
        <f t="shared" si="0"/>
        <v>4</v>
      </c>
      <c r="K29" s="361"/>
      <c r="L29" s="142" t="s">
        <v>1275</v>
      </c>
      <c r="M29" s="131" t="s">
        <v>525</v>
      </c>
      <c r="N29" s="149" t="s">
        <v>286</v>
      </c>
      <c r="O29" s="129">
        <v>2</v>
      </c>
      <c r="P29" s="129">
        <f t="shared" si="1"/>
        <v>4</v>
      </c>
      <c r="Q29" s="129">
        <f t="shared" si="2"/>
        <v>0.5</v>
      </c>
      <c r="R29" s="129">
        <f t="shared" si="3"/>
        <v>2</v>
      </c>
      <c r="S29" s="139"/>
    </row>
    <row r="30" spans="1:19" ht="53.4" customHeight="1" thickBot="1">
      <c r="A30" s="592"/>
      <c r="B30" s="562"/>
      <c r="C30" s="607"/>
      <c r="D30" s="605" t="s">
        <v>482</v>
      </c>
      <c r="E30" s="274" t="s">
        <v>483</v>
      </c>
      <c r="F30" s="173" t="s">
        <v>370</v>
      </c>
      <c r="G30" s="173" t="s">
        <v>800</v>
      </c>
      <c r="H30" s="129">
        <v>4</v>
      </c>
      <c r="I30" s="129">
        <v>3</v>
      </c>
      <c r="J30" s="158">
        <f t="shared" si="0"/>
        <v>12</v>
      </c>
      <c r="K30" s="184"/>
      <c r="L30" s="131" t="s">
        <v>1276</v>
      </c>
      <c r="M30" s="131" t="s">
        <v>525</v>
      </c>
      <c r="N30" s="149" t="s">
        <v>286</v>
      </c>
      <c r="O30" s="256">
        <v>2</v>
      </c>
      <c r="P30" s="129">
        <f t="shared" si="1"/>
        <v>4</v>
      </c>
      <c r="Q30" s="129">
        <f t="shared" si="2"/>
        <v>1.5</v>
      </c>
      <c r="R30" s="158">
        <f>P30*Q30</f>
        <v>6</v>
      </c>
      <c r="S30" s="139"/>
    </row>
    <row r="31" spans="1:19" ht="63.65" customHeight="1" thickBot="1">
      <c r="A31" s="592"/>
      <c r="B31" s="563"/>
      <c r="C31" s="608"/>
      <c r="D31" s="605"/>
      <c r="E31" s="274" t="s">
        <v>283</v>
      </c>
      <c r="F31" s="173" t="s">
        <v>369</v>
      </c>
      <c r="G31" s="173" t="s">
        <v>361</v>
      </c>
      <c r="H31" s="129">
        <v>5</v>
      </c>
      <c r="I31" s="129">
        <v>2</v>
      </c>
      <c r="J31" s="158">
        <f t="shared" si="0"/>
        <v>10</v>
      </c>
      <c r="K31" s="184"/>
      <c r="L31" s="131" t="s">
        <v>560</v>
      </c>
      <c r="M31" s="131" t="s">
        <v>525</v>
      </c>
      <c r="N31" s="149" t="s">
        <v>286</v>
      </c>
      <c r="O31" s="129">
        <v>2</v>
      </c>
      <c r="P31" s="129">
        <f t="shared" si="1"/>
        <v>5</v>
      </c>
      <c r="Q31" s="129">
        <f t="shared" si="2"/>
        <v>1</v>
      </c>
      <c r="R31" s="158">
        <f>P31*Q31</f>
        <v>5</v>
      </c>
      <c r="S31" s="139"/>
    </row>
    <row r="32" spans="1:19" ht="16" thickBot="1">
      <c r="A32" s="212" t="s">
        <v>490</v>
      </c>
      <c r="B32" s="212"/>
      <c r="C32" s="212"/>
      <c r="D32" s="212"/>
      <c r="E32" s="612" t="s">
        <v>243</v>
      </c>
      <c r="F32" s="612"/>
      <c r="G32" s="161"/>
      <c r="H32" s="133">
        <f>+ROUND(IFERROR(AVERAGE(H7:H31),0),0)</f>
        <v>4</v>
      </c>
      <c r="I32" s="133">
        <f>+ROUND(IFERROR(AVERAGE(I7:I31),0),0)</f>
        <v>2</v>
      </c>
      <c r="J32" s="158">
        <f t="shared" si="0"/>
        <v>8</v>
      </c>
      <c r="K32" s="184"/>
      <c r="L32" s="600" t="s">
        <v>244</v>
      </c>
      <c r="M32" s="600"/>
      <c r="N32" s="600"/>
      <c r="O32" s="133">
        <f>+ROUND(IFERROR(AVERAGE(O7:O31),0),0)</f>
        <v>2</v>
      </c>
      <c r="P32" s="133">
        <f>+ROUND(IFERROR(AVERAGE(P7:P31),0),0)</f>
        <v>4</v>
      </c>
      <c r="Q32" s="133">
        <f>+ROUND(IFERROR(AVERAGE(Q7:Q31),0),0)</f>
        <v>1</v>
      </c>
      <c r="R32" s="158">
        <f>P32*Q32</f>
        <v>4</v>
      </c>
      <c r="S32" s="139"/>
    </row>
    <row r="33" spans="1:18" thickBot="1">
      <c r="A33" s="144"/>
      <c r="B33" s="144"/>
      <c r="C33" s="144"/>
      <c r="D33" s="145"/>
      <c r="E33" s="135"/>
      <c r="F33" s="135"/>
      <c r="G33" s="135"/>
      <c r="H33" s="144"/>
      <c r="I33" s="144"/>
      <c r="J33" s="144"/>
      <c r="K33" s="144"/>
      <c r="L33" s="135"/>
      <c r="M33" s="135"/>
      <c r="N33" s="147"/>
      <c r="O33" s="144"/>
      <c r="P33" s="144"/>
      <c r="Q33" s="144"/>
      <c r="R33" s="144"/>
    </row>
    <row r="35" spans="1:18" thickBot="1">
      <c r="F35" s="137" t="s">
        <v>800</v>
      </c>
      <c r="G35" s="137">
        <f>COUNTIF(G7:G31,F35)</f>
        <v>19</v>
      </c>
    </row>
    <row r="36" spans="1:18" thickBot="1">
      <c r="F36" s="137" t="s">
        <v>361</v>
      </c>
      <c r="G36" s="137">
        <f>COUNTIF(G7:G31,F36)</f>
        <v>6</v>
      </c>
    </row>
    <row r="37" spans="1:18" thickBot="1">
      <c r="F37" s="137" t="s">
        <v>806</v>
      </c>
      <c r="G37" s="137">
        <f>COUNTIF(G7:G31,F37)</f>
        <v>0</v>
      </c>
    </row>
    <row r="38" spans="1:18" thickBot="1">
      <c r="F38" s="137" t="s">
        <v>801</v>
      </c>
      <c r="G38" s="137">
        <f>COUNTIF(G7:G31,F38)</f>
        <v>0</v>
      </c>
    </row>
    <row r="39" spans="1:18" thickBot="1">
      <c r="F39" s="137" t="s">
        <v>780</v>
      </c>
      <c r="G39" s="137">
        <f>COUNTIF(G7:G31,F39)</f>
        <v>0</v>
      </c>
    </row>
    <row r="40" spans="1:18" thickBot="1">
      <c r="F40" s="137" t="s">
        <v>802</v>
      </c>
      <c r="G40" s="137">
        <f>COUNTIF(G7:G31,F40)</f>
        <v>0</v>
      </c>
    </row>
    <row r="41" spans="1:18" thickBot="1">
      <c r="F41" s="137" t="s">
        <v>808</v>
      </c>
      <c r="G41" s="137">
        <f>COUNTIF(G7:G31,F41)</f>
        <v>0</v>
      </c>
    </row>
    <row r="42" spans="1:18" ht="14.5"/>
    <row r="43" spans="1:18" ht="14.5"/>
  </sheetData>
  <mergeCells count="24">
    <mergeCell ref="E32:F32"/>
    <mergeCell ref="L32:N32"/>
    <mergeCell ref="P2:P3"/>
    <mergeCell ref="D28:D29"/>
    <mergeCell ref="G2:G4"/>
    <mergeCell ref="A7:A31"/>
    <mergeCell ref="D30:D31"/>
    <mergeCell ref="B5:B31"/>
    <mergeCell ref="C5:C31"/>
    <mergeCell ref="D5:D27"/>
    <mergeCell ref="A1:R1"/>
    <mergeCell ref="A2:A4"/>
    <mergeCell ref="B2:B4"/>
    <mergeCell ref="C2:C4"/>
    <mergeCell ref="D2:D4"/>
    <mergeCell ref="E2:E4"/>
    <mergeCell ref="H2:H3"/>
    <mergeCell ref="I2:I3"/>
    <mergeCell ref="J2:J3"/>
    <mergeCell ref="L2:O3"/>
    <mergeCell ref="F2:F4"/>
    <mergeCell ref="K2:K4"/>
    <mergeCell ref="R2:R3"/>
    <mergeCell ref="Q2:Q3"/>
  </mergeCells>
  <conditionalFormatting sqref="J5:J32 R7:R32">
    <cfRule type="colorScale" priority="1">
      <colorScale>
        <cfvo type="num" val="1"/>
        <cfvo type="num" val="8"/>
        <cfvo type="num" val="22"/>
        <color rgb="FF00B050"/>
        <color rgb="FFFFFF00"/>
        <color rgb="FFC00000"/>
      </colorScale>
    </cfRule>
  </conditionalFormatting>
  <pageMargins left="0.70866141732283472" right="0.70866141732283472" top="0.74803149606299213" bottom="0.74803149606299213" header="0.31496062992125984" footer="0.31496062992125984"/>
  <pageSetup paperSize="9" scale="60" orientation="landscape" verticalDpi="0" r:id="rId1"/>
  <drawing r:id="rId2"/>
  <legacyDrawing r:id="rId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C00000"/>
  </sheetPr>
  <dimension ref="A1:S48"/>
  <sheetViews>
    <sheetView topLeftCell="K33" zoomScale="90" zoomScaleNormal="90" workbookViewId="0">
      <selection activeCell="R8" sqref="R8:R9"/>
    </sheetView>
  </sheetViews>
  <sheetFormatPr baseColWidth="10" defaultColWidth="11.54296875" defaultRowHeight="15" thickBottom="1"/>
  <cols>
    <col min="1" max="1" width="4.6328125" style="140" customWidth="1"/>
    <col min="2" max="2" width="12.81640625" style="140" customWidth="1"/>
    <col min="3" max="3" width="7.08984375" style="140" customWidth="1"/>
    <col min="4" max="4" width="15.81640625" style="140" customWidth="1"/>
    <col min="5" max="5" width="38.6328125" style="137" customWidth="1"/>
    <col min="6" max="7" width="24.6328125" style="146" customWidth="1"/>
    <col min="8" max="8" width="7.36328125" style="140" customWidth="1"/>
    <col min="9" max="9" width="9.1796875" style="140" bestFit="1" customWidth="1"/>
    <col min="10" max="10" width="10.1796875" style="140" customWidth="1"/>
    <col min="11" max="11" width="30" style="140" customWidth="1"/>
    <col min="12" max="12" width="36.1796875" style="137" customWidth="1"/>
    <col min="13" max="13" width="28.81640625" style="264" customWidth="1"/>
    <col min="14" max="14" width="14" style="168" customWidth="1"/>
    <col min="15" max="15" width="9.08984375" style="140" customWidth="1"/>
    <col min="16" max="16" width="9.1796875" style="140" customWidth="1"/>
    <col min="17" max="17" width="9.36328125" style="140" customWidth="1"/>
    <col min="18" max="18" width="10.90625" style="140" customWidth="1"/>
    <col min="19" max="16384" width="11.54296875" style="140"/>
  </cols>
  <sheetData>
    <row r="1" spans="1:19" ht="31.5" thickBot="1">
      <c r="A1" s="514" t="s">
        <v>417</v>
      </c>
      <c r="B1" s="514"/>
      <c r="C1" s="514"/>
      <c r="D1" s="514"/>
      <c r="E1" s="514"/>
      <c r="F1" s="514"/>
      <c r="G1" s="514"/>
      <c r="H1" s="514"/>
      <c r="I1" s="514"/>
      <c r="J1" s="514"/>
      <c r="K1" s="514"/>
      <c r="L1" s="514"/>
      <c r="M1" s="514"/>
      <c r="N1" s="514"/>
      <c r="O1" s="514"/>
      <c r="P1" s="514"/>
      <c r="Q1" s="514"/>
      <c r="R1" s="514"/>
      <c r="S1" s="139"/>
    </row>
    <row r="2" spans="1:19" thickBot="1">
      <c r="A2" s="591" t="s">
        <v>71</v>
      </c>
      <c r="B2" s="589" t="s">
        <v>72</v>
      </c>
      <c r="C2" s="590" t="s">
        <v>73</v>
      </c>
      <c r="D2" s="589" t="s">
        <v>74</v>
      </c>
      <c r="E2" s="589" t="s">
        <v>350</v>
      </c>
      <c r="F2" s="582" t="s">
        <v>804</v>
      </c>
      <c r="G2" s="582" t="s">
        <v>812</v>
      </c>
      <c r="H2" s="585" t="s">
        <v>58</v>
      </c>
      <c r="I2" s="585" t="s">
        <v>43</v>
      </c>
      <c r="J2" s="585" t="s">
        <v>245</v>
      </c>
      <c r="K2" s="586" t="s">
        <v>455</v>
      </c>
      <c r="L2" s="585" t="s">
        <v>330</v>
      </c>
      <c r="M2" s="585"/>
      <c r="N2" s="585"/>
      <c r="O2" s="585"/>
      <c r="P2" s="585" t="s">
        <v>228</v>
      </c>
      <c r="Q2" s="585" t="s">
        <v>253</v>
      </c>
      <c r="R2" s="585" t="s">
        <v>246</v>
      </c>
      <c r="S2" s="139"/>
    </row>
    <row r="3" spans="1:19" thickBot="1">
      <c r="A3" s="591"/>
      <c r="B3" s="589"/>
      <c r="C3" s="590"/>
      <c r="D3" s="589"/>
      <c r="E3" s="589"/>
      <c r="F3" s="583"/>
      <c r="G3" s="583"/>
      <c r="H3" s="585"/>
      <c r="I3" s="585"/>
      <c r="J3" s="585"/>
      <c r="K3" s="587"/>
      <c r="L3" s="585"/>
      <c r="M3" s="585"/>
      <c r="N3" s="585"/>
      <c r="O3" s="585"/>
      <c r="P3" s="585"/>
      <c r="Q3" s="585"/>
      <c r="R3" s="585"/>
      <c r="S3" s="139"/>
    </row>
    <row r="4" spans="1:19" ht="35" thickBot="1">
      <c r="A4" s="591"/>
      <c r="B4" s="589"/>
      <c r="C4" s="590"/>
      <c r="D4" s="589"/>
      <c r="E4" s="589"/>
      <c r="F4" s="584"/>
      <c r="G4" s="584"/>
      <c r="H4" s="127" t="s">
        <v>0</v>
      </c>
      <c r="I4" s="127" t="s">
        <v>1</v>
      </c>
      <c r="J4" s="127" t="s">
        <v>4</v>
      </c>
      <c r="K4" s="588"/>
      <c r="L4" s="127" t="s">
        <v>230</v>
      </c>
      <c r="M4" s="127" t="s">
        <v>419</v>
      </c>
      <c r="N4" s="159" t="s">
        <v>254</v>
      </c>
      <c r="O4" s="127" t="s">
        <v>225</v>
      </c>
      <c r="P4" s="127" t="s">
        <v>0</v>
      </c>
      <c r="Q4" s="127" t="s">
        <v>351</v>
      </c>
      <c r="R4" s="127" t="s">
        <v>4</v>
      </c>
      <c r="S4" s="139"/>
    </row>
    <row r="5" spans="1:19" ht="73" thickBot="1">
      <c r="A5" s="564">
        <v>2</v>
      </c>
      <c r="B5" s="561" t="s">
        <v>495</v>
      </c>
      <c r="C5" s="606">
        <v>0.4</v>
      </c>
      <c r="D5" s="619" t="s">
        <v>470</v>
      </c>
      <c r="E5" s="278" t="s">
        <v>462</v>
      </c>
      <c r="F5" s="173" t="s">
        <v>833</v>
      </c>
      <c r="G5" s="173" t="s">
        <v>801</v>
      </c>
      <c r="H5" s="129">
        <v>4</v>
      </c>
      <c r="I5" s="129">
        <v>4</v>
      </c>
      <c r="J5" s="171">
        <f>H5*I5</f>
        <v>16</v>
      </c>
      <c r="K5" s="184"/>
      <c r="L5" s="131" t="s">
        <v>1277</v>
      </c>
      <c r="M5" s="260" t="s">
        <v>525</v>
      </c>
      <c r="N5" s="149" t="s">
        <v>347</v>
      </c>
      <c r="O5" s="129">
        <v>2</v>
      </c>
      <c r="P5" s="129">
        <f>H5</f>
        <v>4</v>
      </c>
      <c r="Q5" s="129">
        <f>I5/O5</f>
        <v>2</v>
      </c>
      <c r="R5" s="171">
        <f>P5*Q5</f>
        <v>8</v>
      </c>
      <c r="S5" s="139"/>
    </row>
    <row r="6" spans="1:19" ht="58.5" thickBot="1">
      <c r="A6" s="565"/>
      <c r="B6" s="562"/>
      <c r="C6" s="607"/>
      <c r="D6" s="619"/>
      <c r="E6" s="278" t="s">
        <v>420</v>
      </c>
      <c r="F6" s="173" t="s">
        <v>418</v>
      </c>
      <c r="G6" s="173" t="s">
        <v>801</v>
      </c>
      <c r="H6" s="129">
        <v>4</v>
      </c>
      <c r="I6" s="129">
        <v>4</v>
      </c>
      <c r="J6" s="171">
        <f t="shared" ref="J6:J37" si="0">H6*I6</f>
        <v>16</v>
      </c>
      <c r="K6" s="184"/>
      <c r="L6" s="131" t="s">
        <v>1027</v>
      </c>
      <c r="M6" s="260" t="s">
        <v>525</v>
      </c>
      <c r="N6" s="149" t="s">
        <v>347</v>
      </c>
      <c r="O6" s="129">
        <v>2</v>
      </c>
      <c r="P6" s="129">
        <f t="shared" ref="P6:P37" si="1">H6</f>
        <v>4</v>
      </c>
      <c r="Q6" s="129">
        <f t="shared" ref="Q6:Q37" si="2">I6/O6</f>
        <v>2</v>
      </c>
      <c r="R6" s="171">
        <f t="shared" ref="R6:R37" si="3">P6*Q6</f>
        <v>8</v>
      </c>
      <c r="S6" s="139"/>
    </row>
    <row r="7" spans="1:19" s="379" customFormat="1" ht="87.5" thickBot="1">
      <c r="A7" s="565"/>
      <c r="B7" s="562"/>
      <c r="C7" s="607"/>
      <c r="D7" s="619"/>
      <c r="E7" s="388" t="s">
        <v>463</v>
      </c>
      <c r="F7" s="381" t="s">
        <v>456</v>
      </c>
      <c r="G7" s="381" t="s">
        <v>800</v>
      </c>
      <c r="H7" s="382">
        <v>5</v>
      </c>
      <c r="I7" s="382">
        <v>4</v>
      </c>
      <c r="J7" s="382">
        <f t="shared" si="0"/>
        <v>20</v>
      </c>
      <c r="K7" s="383"/>
      <c r="L7" s="289" t="s">
        <v>1028</v>
      </c>
      <c r="M7" s="384" t="s">
        <v>525</v>
      </c>
      <c r="N7" s="385" t="s">
        <v>347</v>
      </c>
      <c r="O7" s="382">
        <v>2</v>
      </c>
      <c r="P7" s="382">
        <f t="shared" si="1"/>
        <v>5</v>
      </c>
      <c r="Q7" s="382">
        <f t="shared" si="2"/>
        <v>2</v>
      </c>
      <c r="R7" s="377">
        <f t="shared" si="3"/>
        <v>10</v>
      </c>
      <c r="S7" s="378"/>
    </row>
    <row r="8" spans="1:19" s="387" customFormat="1" ht="44" thickBot="1">
      <c r="A8" s="565"/>
      <c r="B8" s="562"/>
      <c r="C8" s="607"/>
      <c r="D8" s="619"/>
      <c r="E8" s="380" t="s">
        <v>1029</v>
      </c>
      <c r="F8" s="381" t="s">
        <v>1278</v>
      </c>
      <c r="G8" s="381" t="s">
        <v>1279</v>
      </c>
      <c r="H8" s="382">
        <v>5</v>
      </c>
      <c r="I8" s="382">
        <v>3</v>
      </c>
      <c r="J8" s="377">
        <f t="shared" si="0"/>
        <v>15</v>
      </c>
      <c r="K8" s="383"/>
      <c r="L8" s="289" t="s">
        <v>1280</v>
      </c>
      <c r="M8" s="384" t="s">
        <v>618</v>
      </c>
      <c r="N8" s="385" t="s">
        <v>347</v>
      </c>
      <c r="O8" s="382">
        <v>2</v>
      </c>
      <c r="P8" s="382">
        <v>5</v>
      </c>
      <c r="Q8" s="382">
        <f t="shared" si="2"/>
        <v>1.5</v>
      </c>
      <c r="R8" s="377">
        <f t="shared" si="3"/>
        <v>7.5</v>
      </c>
      <c r="S8" s="386"/>
    </row>
    <row r="9" spans="1:19" s="387" customFormat="1" ht="29.5" thickBot="1">
      <c r="A9" s="565"/>
      <c r="B9" s="562"/>
      <c r="C9" s="607"/>
      <c r="D9" s="619"/>
      <c r="E9" s="380" t="s">
        <v>1030</v>
      </c>
      <c r="F9" s="381" t="s">
        <v>524</v>
      </c>
      <c r="G9" s="381" t="s">
        <v>524</v>
      </c>
      <c r="H9" s="382">
        <v>3</v>
      </c>
      <c r="I9" s="382">
        <v>2</v>
      </c>
      <c r="J9" s="377">
        <f t="shared" si="0"/>
        <v>6</v>
      </c>
      <c r="K9" s="383"/>
      <c r="L9" s="289"/>
      <c r="M9" s="384"/>
      <c r="N9" s="385"/>
      <c r="O9" s="382">
        <v>2</v>
      </c>
      <c r="P9" s="382">
        <v>2</v>
      </c>
      <c r="Q9" s="382">
        <f t="shared" si="2"/>
        <v>1</v>
      </c>
      <c r="R9" s="377">
        <f t="shared" si="3"/>
        <v>2</v>
      </c>
      <c r="S9" s="386"/>
    </row>
    <row r="10" spans="1:19" s="494" customFormat="1" ht="29.5" thickBot="1">
      <c r="A10" s="565"/>
      <c r="B10" s="562"/>
      <c r="C10" s="607"/>
      <c r="D10" s="619"/>
      <c r="E10" s="485" t="s">
        <v>1031</v>
      </c>
      <c r="F10" s="486" t="s">
        <v>1278</v>
      </c>
      <c r="G10" s="486" t="s">
        <v>1279</v>
      </c>
      <c r="H10" s="487">
        <v>4</v>
      </c>
      <c r="I10" s="487">
        <v>4</v>
      </c>
      <c r="J10" s="488">
        <f t="shared" si="0"/>
        <v>16</v>
      </c>
      <c r="K10" s="489"/>
      <c r="L10" s="490"/>
      <c r="M10" s="491" t="s">
        <v>539</v>
      </c>
      <c r="N10" s="492"/>
      <c r="O10" s="487">
        <v>1</v>
      </c>
      <c r="P10" s="487">
        <v>4</v>
      </c>
      <c r="Q10" s="487">
        <f t="shared" si="2"/>
        <v>4</v>
      </c>
      <c r="R10" s="488">
        <f t="shared" si="3"/>
        <v>16</v>
      </c>
      <c r="S10" s="493"/>
    </row>
    <row r="11" spans="1:19" s="484" customFormat="1" ht="189" thickBot="1">
      <c r="A11" s="565"/>
      <c r="B11" s="562"/>
      <c r="C11" s="607"/>
      <c r="D11" s="619"/>
      <c r="E11" s="476" t="s">
        <v>467</v>
      </c>
      <c r="F11" s="477" t="s">
        <v>456</v>
      </c>
      <c r="G11" s="477" t="s">
        <v>800</v>
      </c>
      <c r="H11" s="478">
        <v>5</v>
      </c>
      <c r="I11" s="478">
        <v>4</v>
      </c>
      <c r="J11" s="478">
        <f t="shared" si="0"/>
        <v>20</v>
      </c>
      <c r="K11" s="479"/>
      <c r="L11" s="480" t="s">
        <v>1032</v>
      </c>
      <c r="M11" s="481" t="s">
        <v>525</v>
      </c>
      <c r="N11" s="482" t="s">
        <v>347</v>
      </c>
      <c r="O11" s="478">
        <v>2</v>
      </c>
      <c r="P11" s="478">
        <f t="shared" si="1"/>
        <v>5</v>
      </c>
      <c r="Q11" s="478">
        <f t="shared" si="2"/>
        <v>2</v>
      </c>
      <c r="R11" s="478">
        <f t="shared" si="3"/>
        <v>10</v>
      </c>
      <c r="S11" s="483"/>
    </row>
    <row r="12" spans="1:19" ht="73" thickBot="1">
      <c r="A12" s="565"/>
      <c r="B12" s="562"/>
      <c r="C12" s="607"/>
      <c r="D12" s="619"/>
      <c r="E12" s="278" t="s">
        <v>469</v>
      </c>
      <c r="F12" s="173" t="s">
        <v>456</v>
      </c>
      <c r="G12" s="173" t="s">
        <v>800</v>
      </c>
      <c r="H12" s="129">
        <v>5</v>
      </c>
      <c r="I12" s="129">
        <v>4</v>
      </c>
      <c r="J12" s="171">
        <f t="shared" si="0"/>
        <v>20</v>
      </c>
      <c r="K12" s="184"/>
      <c r="L12" s="131" t="s">
        <v>1033</v>
      </c>
      <c r="M12" s="260" t="s">
        <v>525</v>
      </c>
      <c r="N12" s="149" t="s">
        <v>347</v>
      </c>
      <c r="O12" s="129">
        <v>2</v>
      </c>
      <c r="P12" s="129">
        <f t="shared" si="1"/>
        <v>5</v>
      </c>
      <c r="Q12" s="129">
        <f t="shared" si="2"/>
        <v>2</v>
      </c>
      <c r="R12" s="171">
        <f t="shared" si="3"/>
        <v>10</v>
      </c>
      <c r="S12" s="139"/>
    </row>
    <row r="13" spans="1:19" s="387" customFormat="1" ht="44" thickBot="1">
      <c r="A13" s="565"/>
      <c r="B13" s="562"/>
      <c r="C13" s="607"/>
      <c r="D13" s="619"/>
      <c r="E13" s="388" t="s">
        <v>1034</v>
      </c>
      <c r="F13" s="381" t="s">
        <v>1282</v>
      </c>
      <c r="G13" s="381" t="s">
        <v>801</v>
      </c>
      <c r="H13" s="382">
        <v>4</v>
      </c>
      <c r="I13" s="382">
        <v>4</v>
      </c>
      <c r="J13" s="382">
        <f t="shared" si="0"/>
        <v>16</v>
      </c>
      <c r="K13" s="383"/>
      <c r="L13" s="289" t="s">
        <v>1283</v>
      </c>
      <c r="M13" s="384"/>
      <c r="N13" s="385"/>
      <c r="O13" s="382"/>
      <c r="P13" s="382"/>
      <c r="Q13" s="382"/>
      <c r="R13" s="382">
        <f t="shared" si="3"/>
        <v>0</v>
      </c>
      <c r="S13" s="386"/>
    </row>
    <row r="14" spans="1:19" ht="44" thickBot="1">
      <c r="A14" s="565"/>
      <c r="B14" s="562"/>
      <c r="C14" s="607"/>
      <c r="D14" s="619"/>
      <c r="E14" s="278" t="s">
        <v>475</v>
      </c>
      <c r="F14" s="314" t="s">
        <v>474</v>
      </c>
      <c r="G14" s="314" t="s">
        <v>801</v>
      </c>
      <c r="H14" s="129">
        <v>4</v>
      </c>
      <c r="I14" s="129">
        <v>4</v>
      </c>
      <c r="J14" s="129">
        <f t="shared" si="0"/>
        <v>16</v>
      </c>
      <c r="K14" s="361"/>
      <c r="L14" s="131" t="s">
        <v>1281</v>
      </c>
      <c r="M14" s="260" t="s">
        <v>525</v>
      </c>
      <c r="N14" s="149" t="s">
        <v>347</v>
      </c>
      <c r="O14" s="129">
        <v>2</v>
      </c>
      <c r="P14" s="129">
        <f t="shared" si="1"/>
        <v>4</v>
      </c>
      <c r="Q14" s="129">
        <f t="shared" si="2"/>
        <v>2</v>
      </c>
      <c r="R14" s="129">
        <f t="shared" si="3"/>
        <v>8</v>
      </c>
      <c r="S14" s="139"/>
    </row>
    <row r="15" spans="1:19" ht="44" thickBot="1">
      <c r="A15" s="565"/>
      <c r="B15" s="562"/>
      <c r="C15" s="607"/>
      <c r="D15" s="619"/>
      <c r="E15" s="278" t="s">
        <v>468</v>
      </c>
      <c r="F15" s="314" t="s">
        <v>392</v>
      </c>
      <c r="G15" s="314" t="s">
        <v>801</v>
      </c>
      <c r="H15" s="129">
        <v>4</v>
      </c>
      <c r="I15" s="129">
        <v>4</v>
      </c>
      <c r="J15" s="129">
        <f t="shared" si="0"/>
        <v>16</v>
      </c>
      <c r="K15" s="361"/>
      <c r="L15" s="131" t="s">
        <v>1035</v>
      </c>
      <c r="M15" s="260" t="s">
        <v>525</v>
      </c>
      <c r="N15" s="149" t="s">
        <v>347</v>
      </c>
      <c r="O15" s="129">
        <v>2</v>
      </c>
      <c r="P15" s="129">
        <f t="shared" si="1"/>
        <v>4</v>
      </c>
      <c r="Q15" s="129">
        <f t="shared" si="2"/>
        <v>2</v>
      </c>
      <c r="R15" s="129">
        <f t="shared" si="3"/>
        <v>8</v>
      </c>
      <c r="S15" s="139"/>
    </row>
    <row r="16" spans="1:19" ht="29.5" thickBot="1">
      <c r="A16" s="565"/>
      <c r="B16" s="562"/>
      <c r="C16" s="607"/>
      <c r="D16" s="619"/>
      <c r="E16" s="278" t="s">
        <v>472</v>
      </c>
      <c r="F16" s="314" t="s">
        <v>484</v>
      </c>
      <c r="G16" s="314" t="s">
        <v>361</v>
      </c>
      <c r="H16" s="129">
        <v>3</v>
      </c>
      <c r="I16" s="129">
        <v>4</v>
      </c>
      <c r="J16" s="129">
        <f t="shared" si="0"/>
        <v>12</v>
      </c>
      <c r="K16" s="361"/>
      <c r="L16" s="131" t="s">
        <v>1036</v>
      </c>
      <c r="M16" s="260" t="s">
        <v>525</v>
      </c>
      <c r="N16" s="149" t="s">
        <v>347</v>
      </c>
      <c r="O16" s="129">
        <v>2</v>
      </c>
      <c r="P16" s="129">
        <f t="shared" si="1"/>
        <v>3</v>
      </c>
      <c r="Q16" s="129">
        <f t="shared" si="2"/>
        <v>2</v>
      </c>
      <c r="R16" s="129">
        <f t="shared" si="3"/>
        <v>6</v>
      </c>
      <c r="S16" s="139"/>
    </row>
    <row r="17" spans="1:19" ht="29.5" thickBot="1">
      <c r="A17" s="565"/>
      <c r="B17" s="562"/>
      <c r="C17" s="607"/>
      <c r="D17" s="619"/>
      <c r="E17" s="278" t="s">
        <v>575</v>
      </c>
      <c r="F17" s="358" t="s">
        <v>576</v>
      </c>
      <c r="G17" s="358" t="s">
        <v>361</v>
      </c>
      <c r="H17" s="129">
        <v>3</v>
      </c>
      <c r="I17" s="129">
        <v>4</v>
      </c>
      <c r="J17" s="129">
        <f t="shared" si="0"/>
        <v>12</v>
      </c>
      <c r="K17" s="361"/>
      <c r="L17" s="131" t="s">
        <v>1037</v>
      </c>
      <c r="M17" s="260" t="s">
        <v>525</v>
      </c>
      <c r="N17" s="149" t="s">
        <v>347</v>
      </c>
      <c r="O17" s="129">
        <v>2</v>
      </c>
      <c r="P17" s="129">
        <f t="shared" si="1"/>
        <v>3</v>
      </c>
      <c r="Q17" s="129">
        <f t="shared" si="2"/>
        <v>2</v>
      </c>
      <c r="R17" s="129">
        <f t="shared" si="3"/>
        <v>6</v>
      </c>
      <c r="S17" s="139"/>
    </row>
    <row r="18" spans="1:19" ht="29.5" thickBot="1">
      <c r="A18" s="565"/>
      <c r="B18" s="562"/>
      <c r="C18" s="607"/>
      <c r="D18" s="619"/>
      <c r="E18" s="346" t="s">
        <v>728</v>
      </c>
      <c r="F18" s="322" t="s">
        <v>813</v>
      </c>
      <c r="G18" s="322" t="s">
        <v>801</v>
      </c>
      <c r="H18" s="323">
        <v>4</v>
      </c>
      <c r="I18" s="129">
        <v>3</v>
      </c>
      <c r="J18" s="129">
        <f t="shared" si="0"/>
        <v>12</v>
      </c>
      <c r="K18" s="361"/>
      <c r="L18" s="296" t="s">
        <v>732</v>
      </c>
      <c r="M18" s="260"/>
      <c r="N18" s="149" t="s">
        <v>347</v>
      </c>
      <c r="O18" s="129">
        <v>2</v>
      </c>
      <c r="P18" s="129">
        <f t="shared" si="1"/>
        <v>4</v>
      </c>
      <c r="Q18" s="129">
        <f t="shared" si="2"/>
        <v>1.5</v>
      </c>
      <c r="R18" s="129">
        <f t="shared" si="3"/>
        <v>6</v>
      </c>
      <c r="S18" s="139"/>
    </row>
    <row r="19" spans="1:19" ht="39.5" thickBot="1">
      <c r="A19" s="565"/>
      <c r="B19" s="562"/>
      <c r="C19" s="607"/>
      <c r="D19" s="619"/>
      <c r="E19" s="346" t="s">
        <v>729</v>
      </c>
      <c r="F19" s="322" t="s">
        <v>730</v>
      </c>
      <c r="G19" s="322" t="s">
        <v>801</v>
      </c>
      <c r="H19" s="323">
        <v>4</v>
      </c>
      <c r="I19" s="129">
        <v>3</v>
      </c>
      <c r="J19" s="129">
        <f t="shared" si="0"/>
        <v>12</v>
      </c>
      <c r="K19" s="361"/>
      <c r="L19" s="296" t="s">
        <v>733</v>
      </c>
      <c r="M19" s="260" t="s">
        <v>634</v>
      </c>
      <c r="N19" s="149" t="s">
        <v>347</v>
      </c>
      <c r="O19" s="129">
        <v>1</v>
      </c>
      <c r="P19" s="129">
        <f t="shared" si="1"/>
        <v>4</v>
      </c>
      <c r="Q19" s="129">
        <f t="shared" si="2"/>
        <v>3</v>
      </c>
      <c r="R19" s="129">
        <f t="shared" si="3"/>
        <v>12</v>
      </c>
      <c r="S19" s="139"/>
    </row>
    <row r="20" spans="1:19" ht="27" thickBot="1">
      <c r="A20" s="565"/>
      <c r="B20" s="562"/>
      <c r="C20" s="607"/>
      <c r="D20" s="619"/>
      <c r="E20" s="346" t="s">
        <v>731</v>
      </c>
      <c r="F20" s="322" t="s">
        <v>418</v>
      </c>
      <c r="G20" s="322" t="s">
        <v>361</v>
      </c>
      <c r="H20" s="323">
        <v>4</v>
      </c>
      <c r="I20" s="129">
        <v>3</v>
      </c>
      <c r="J20" s="171">
        <f t="shared" si="0"/>
        <v>12</v>
      </c>
      <c r="K20" s="184"/>
      <c r="L20" s="297" t="s">
        <v>1038</v>
      </c>
      <c r="M20" s="260"/>
      <c r="N20" s="149" t="s">
        <v>347</v>
      </c>
      <c r="O20" s="129">
        <v>2</v>
      </c>
      <c r="P20" s="129">
        <f t="shared" si="1"/>
        <v>4</v>
      </c>
      <c r="Q20" s="129">
        <f t="shared" si="2"/>
        <v>1.5</v>
      </c>
      <c r="R20" s="171">
        <f t="shared" si="3"/>
        <v>6</v>
      </c>
      <c r="S20" s="139"/>
    </row>
    <row r="21" spans="1:19" ht="44" thickBot="1">
      <c r="A21" s="565"/>
      <c r="B21" s="562"/>
      <c r="C21" s="607"/>
      <c r="D21" s="619"/>
      <c r="E21" s="274" t="s">
        <v>247</v>
      </c>
      <c r="F21" s="324" t="s">
        <v>418</v>
      </c>
      <c r="G21" s="324" t="s">
        <v>801</v>
      </c>
      <c r="H21" s="129">
        <v>4</v>
      </c>
      <c r="I21" s="129">
        <v>3</v>
      </c>
      <c r="J21" s="171">
        <f t="shared" si="0"/>
        <v>12</v>
      </c>
      <c r="K21" s="184"/>
      <c r="L21" s="131" t="s">
        <v>1039</v>
      </c>
      <c r="M21" s="260" t="s">
        <v>525</v>
      </c>
      <c r="N21" s="149" t="s">
        <v>347</v>
      </c>
      <c r="O21" s="129">
        <v>2</v>
      </c>
      <c r="P21" s="129">
        <f t="shared" si="1"/>
        <v>4</v>
      </c>
      <c r="Q21" s="129">
        <f t="shared" si="2"/>
        <v>1.5</v>
      </c>
      <c r="R21" s="171">
        <f t="shared" si="3"/>
        <v>6</v>
      </c>
      <c r="S21" s="139"/>
    </row>
    <row r="22" spans="1:19" ht="29.5" thickBot="1">
      <c r="A22" s="565"/>
      <c r="B22" s="562"/>
      <c r="C22" s="607"/>
      <c r="D22" s="619"/>
      <c r="E22" s="274" t="s">
        <v>248</v>
      </c>
      <c r="F22" s="173" t="s">
        <v>418</v>
      </c>
      <c r="G22" s="173" t="s">
        <v>361</v>
      </c>
      <c r="H22" s="129">
        <v>4</v>
      </c>
      <c r="I22" s="129">
        <v>3</v>
      </c>
      <c r="J22" s="171">
        <f t="shared" si="0"/>
        <v>12</v>
      </c>
      <c r="K22" s="184"/>
      <c r="L22" s="131" t="s">
        <v>1038</v>
      </c>
      <c r="M22" s="260" t="s">
        <v>525</v>
      </c>
      <c r="N22" s="149" t="s">
        <v>347</v>
      </c>
      <c r="O22" s="129">
        <v>2</v>
      </c>
      <c r="P22" s="129">
        <f t="shared" si="1"/>
        <v>4</v>
      </c>
      <c r="Q22" s="129">
        <f t="shared" si="2"/>
        <v>1.5</v>
      </c>
      <c r="R22" s="171">
        <f t="shared" si="3"/>
        <v>6</v>
      </c>
      <c r="S22" s="139"/>
    </row>
    <row r="23" spans="1:19" ht="44" thickBot="1">
      <c r="A23" s="565"/>
      <c r="B23" s="562"/>
      <c r="C23" s="607"/>
      <c r="D23" s="619"/>
      <c r="E23" s="278" t="s">
        <v>623</v>
      </c>
      <c r="F23" s="389" t="s">
        <v>418</v>
      </c>
      <c r="G23" s="314" t="s">
        <v>361</v>
      </c>
      <c r="H23" s="129">
        <v>4</v>
      </c>
      <c r="I23" s="129">
        <v>3</v>
      </c>
      <c r="J23" s="129">
        <f t="shared" si="0"/>
        <v>12</v>
      </c>
      <c r="K23" s="361"/>
      <c r="L23" s="131" t="s">
        <v>1040</v>
      </c>
      <c r="M23" s="260" t="s">
        <v>525</v>
      </c>
      <c r="N23" s="149" t="s">
        <v>347</v>
      </c>
      <c r="O23" s="129">
        <v>2</v>
      </c>
      <c r="P23" s="129">
        <f t="shared" si="1"/>
        <v>4</v>
      </c>
      <c r="Q23" s="129">
        <f t="shared" si="2"/>
        <v>1.5</v>
      </c>
      <c r="R23" s="129">
        <f t="shared" si="3"/>
        <v>6</v>
      </c>
      <c r="S23" s="139"/>
    </row>
    <row r="24" spans="1:19" ht="73" thickBot="1">
      <c r="A24" s="565"/>
      <c r="B24" s="562"/>
      <c r="C24" s="607"/>
      <c r="D24" s="619"/>
      <c r="E24" s="278" t="s">
        <v>421</v>
      </c>
      <c r="F24" s="172" t="s">
        <v>833</v>
      </c>
      <c r="G24" s="173" t="s">
        <v>801</v>
      </c>
      <c r="H24" s="129">
        <v>4</v>
      </c>
      <c r="I24" s="129">
        <v>3</v>
      </c>
      <c r="J24" s="171">
        <f t="shared" si="0"/>
        <v>12</v>
      </c>
      <c r="K24" s="184"/>
      <c r="L24" s="131" t="s">
        <v>1041</v>
      </c>
      <c r="M24" s="260" t="s">
        <v>525</v>
      </c>
      <c r="N24" s="149" t="s">
        <v>347</v>
      </c>
      <c r="O24" s="129">
        <v>2</v>
      </c>
      <c r="P24" s="129">
        <f t="shared" si="1"/>
        <v>4</v>
      </c>
      <c r="Q24" s="129">
        <f t="shared" si="2"/>
        <v>1.5</v>
      </c>
      <c r="R24" s="171">
        <f t="shared" si="3"/>
        <v>6</v>
      </c>
      <c r="S24" s="139"/>
    </row>
    <row r="25" spans="1:19" ht="58.5" thickBot="1">
      <c r="A25" s="565"/>
      <c r="B25" s="562"/>
      <c r="C25" s="607"/>
      <c r="D25" s="619"/>
      <c r="E25" s="128" t="s">
        <v>634</v>
      </c>
      <c r="F25" s="173" t="s">
        <v>390</v>
      </c>
      <c r="G25" s="173" t="s">
        <v>361</v>
      </c>
      <c r="H25" s="129">
        <v>4</v>
      </c>
      <c r="I25" s="129">
        <v>3</v>
      </c>
      <c r="J25" s="171">
        <f t="shared" si="0"/>
        <v>12</v>
      </c>
      <c r="K25" s="184"/>
      <c r="L25" s="131" t="s">
        <v>1042</v>
      </c>
      <c r="M25" s="260" t="s">
        <v>582</v>
      </c>
      <c r="N25" s="149" t="s">
        <v>347</v>
      </c>
      <c r="O25" s="129">
        <v>2</v>
      </c>
      <c r="P25" s="129">
        <f t="shared" si="1"/>
        <v>4</v>
      </c>
      <c r="Q25" s="129">
        <f t="shared" si="2"/>
        <v>1.5</v>
      </c>
      <c r="R25" s="171">
        <f t="shared" si="3"/>
        <v>6</v>
      </c>
      <c r="S25" s="139"/>
    </row>
    <row r="26" spans="1:19" ht="73" thickBot="1">
      <c r="A26" s="565"/>
      <c r="B26" s="562"/>
      <c r="C26" s="607"/>
      <c r="D26" s="619" t="s">
        <v>163</v>
      </c>
      <c r="E26" s="281" t="s">
        <v>464</v>
      </c>
      <c r="F26" s="173" t="s">
        <v>391</v>
      </c>
      <c r="G26" s="173" t="s">
        <v>801</v>
      </c>
      <c r="H26" s="129">
        <v>5</v>
      </c>
      <c r="I26" s="129">
        <v>3</v>
      </c>
      <c r="J26" s="132">
        <f t="shared" si="0"/>
        <v>15</v>
      </c>
      <c r="K26" s="184"/>
      <c r="L26" s="131" t="s">
        <v>1043</v>
      </c>
      <c r="M26" s="260" t="s">
        <v>525</v>
      </c>
      <c r="N26" s="149" t="s">
        <v>347</v>
      </c>
      <c r="O26" s="129">
        <v>2</v>
      </c>
      <c r="P26" s="129">
        <f t="shared" si="1"/>
        <v>5</v>
      </c>
      <c r="Q26" s="129">
        <f t="shared" si="2"/>
        <v>1.5</v>
      </c>
      <c r="R26" s="171">
        <f t="shared" si="3"/>
        <v>7.5</v>
      </c>
      <c r="S26" s="139"/>
    </row>
    <row r="27" spans="1:19" ht="58.5" thickBot="1">
      <c r="A27" s="565"/>
      <c r="B27" s="562"/>
      <c r="C27" s="607"/>
      <c r="D27" s="619"/>
      <c r="E27" s="281" t="s">
        <v>481</v>
      </c>
      <c r="F27" s="173" t="s">
        <v>379</v>
      </c>
      <c r="G27" s="173" t="s">
        <v>800</v>
      </c>
      <c r="H27" s="129">
        <v>5</v>
      </c>
      <c r="I27" s="129">
        <v>3</v>
      </c>
      <c r="J27" s="132">
        <f t="shared" si="0"/>
        <v>15</v>
      </c>
      <c r="K27" s="184"/>
      <c r="L27" s="131" t="s">
        <v>1044</v>
      </c>
      <c r="M27" s="260" t="s">
        <v>525</v>
      </c>
      <c r="N27" s="149" t="s">
        <v>347</v>
      </c>
      <c r="O27" s="129">
        <v>1</v>
      </c>
      <c r="P27" s="129">
        <f t="shared" si="1"/>
        <v>5</v>
      </c>
      <c r="Q27" s="129">
        <f>I27/O27</f>
        <v>3</v>
      </c>
      <c r="R27" s="171">
        <f>P27*Q27</f>
        <v>15</v>
      </c>
      <c r="S27" s="139"/>
    </row>
    <row r="28" spans="1:19" ht="44" thickBot="1">
      <c r="A28" s="565"/>
      <c r="B28" s="562"/>
      <c r="C28" s="607"/>
      <c r="D28" s="619"/>
      <c r="E28" s="281" t="s">
        <v>212</v>
      </c>
      <c r="F28" s="314" t="s">
        <v>480</v>
      </c>
      <c r="G28" s="314" t="s">
        <v>780</v>
      </c>
      <c r="H28" s="129">
        <v>5</v>
      </c>
      <c r="I28" s="129">
        <v>5</v>
      </c>
      <c r="J28" s="129">
        <f t="shared" si="0"/>
        <v>25</v>
      </c>
      <c r="K28" s="361"/>
      <c r="L28" s="131" t="s">
        <v>1045</v>
      </c>
      <c r="M28" s="260" t="s">
        <v>525</v>
      </c>
      <c r="N28" s="149" t="s">
        <v>347</v>
      </c>
      <c r="O28" s="129">
        <v>2</v>
      </c>
      <c r="P28" s="129">
        <f t="shared" si="1"/>
        <v>5</v>
      </c>
      <c r="Q28" s="129">
        <f>I28/O28</f>
        <v>2.5</v>
      </c>
      <c r="R28" s="129">
        <f>P28*Q28</f>
        <v>12.5</v>
      </c>
      <c r="S28" s="139"/>
    </row>
    <row r="29" spans="1:19" ht="87.5" thickBot="1">
      <c r="A29" s="565"/>
      <c r="B29" s="562"/>
      <c r="C29" s="607"/>
      <c r="D29" s="619"/>
      <c r="E29" s="274" t="s">
        <v>249</v>
      </c>
      <c r="F29" s="173" t="s">
        <v>392</v>
      </c>
      <c r="G29" s="173" t="s">
        <v>801</v>
      </c>
      <c r="H29" s="129">
        <v>3</v>
      </c>
      <c r="I29" s="129">
        <v>5</v>
      </c>
      <c r="J29" s="171">
        <f t="shared" si="0"/>
        <v>15</v>
      </c>
      <c r="K29" s="184"/>
      <c r="L29" s="131" t="s">
        <v>1043</v>
      </c>
      <c r="M29" s="260" t="s">
        <v>525</v>
      </c>
      <c r="N29" s="149" t="s">
        <v>347</v>
      </c>
      <c r="O29" s="129">
        <v>2</v>
      </c>
      <c r="P29" s="129">
        <f t="shared" si="1"/>
        <v>3</v>
      </c>
      <c r="Q29" s="129">
        <f t="shared" si="2"/>
        <v>2.5</v>
      </c>
      <c r="R29" s="171">
        <f t="shared" si="3"/>
        <v>7.5</v>
      </c>
      <c r="S29" s="139"/>
    </row>
    <row r="30" spans="1:19" ht="29.5" thickBot="1">
      <c r="A30" s="565"/>
      <c r="B30" s="562"/>
      <c r="C30" s="607"/>
      <c r="D30" s="620" t="s">
        <v>220</v>
      </c>
      <c r="E30" s="274" t="s">
        <v>466</v>
      </c>
      <c r="F30" s="173" t="s">
        <v>393</v>
      </c>
      <c r="G30" s="173" t="s">
        <v>801</v>
      </c>
      <c r="H30" s="129">
        <v>5</v>
      </c>
      <c r="I30" s="129">
        <v>3</v>
      </c>
      <c r="J30" s="132">
        <f t="shared" si="0"/>
        <v>15</v>
      </c>
      <c r="K30" s="184"/>
      <c r="L30" s="131" t="s">
        <v>1046</v>
      </c>
      <c r="M30" s="260" t="s">
        <v>525</v>
      </c>
      <c r="N30" s="149" t="s">
        <v>347</v>
      </c>
      <c r="O30" s="129">
        <v>2</v>
      </c>
      <c r="P30" s="129">
        <f t="shared" si="1"/>
        <v>5</v>
      </c>
      <c r="Q30" s="129">
        <f t="shared" si="2"/>
        <v>1.5</v>
      </c>
      <c r="R30" s="171">
        <f t="shared" si="3"/>
        <v>7.5</v>
      </c>
      <c r="S30" s="139"/>
    </row>
    <row r="31" spans="1:19" ht="73" thickBot="1">
      <c r="A31" s="565"/>
      <c r="B31" s="562"/>
      <c r="C31" s="607"/>
      <c r="D31" s="621"/>
      <c r="E31" s="282" t="s">
        <v>840</v>
      </c>
      <c r="F31" s="186" t="s">
        <v>456</v>
      </c>
      <c r="G31" s="186" t="s">
        <v>800</v>
      </c>
      <c r="H31" s="187">
        <v>5</v>
      </c>
      <c r="I31" s="187">
        <v>4</v>
      </c>
      <c r="J31" s="132">
        <f t="shared" si="0"/>
        <v>20</v>
      </c>
      <c r="K31" s="189"/>
      <c r="L31" s="196" t="s">
        <v>1047</v>
      </c>
      <c r="M31" s="261" t="s">
        <v>525</v>
      </c>
      <c r="N31" s="149" t="s">
        <v>347</v>
      </c>
      <c r="O31" s="129">
        <v>2</v>
      </c>
      <c r="P31" s="129">
        <f t="shared" si="1"/>
        <v>5</v>
      </c>
      <c r="Q31" s="129">
        <f t="shared" si="2"/>
        <v>2</v>
      </c>
      <c r="R31" s="171">
        <f t="shared" si="3"/>
        <v>10</v>
      </c>
      <c r="S31" s="139"/>
    </row>
    <row r="32" spans="1:19" ht="73" thickBot="1">
      <c r="A32" s="565"/>
      <c r="B32" s="562"/>
      <c r="C32" s="607"/>
      <c r="D32" s="622"/>
      <c r="E32" s="282" t="s">
        <v>841</v>
      </c>
      <c r="F32" s="186" t="s">
        <v>456</v>
      </c>
      <c r="G32" s="186" t="s">
        <v>800</v>
      </c>
      <c r="H32" s="187">
        <v>4</v>
      </c>
      <c r="I32" s="187">
        <v>4</v>
      </c>
      <c r="J32" s="132">
        <f t="shared" si="0"/>
        <v>16</v>
      </c>
      <c r="K32" s="189"/>
      <c r="L32" s="196" t="s">
        <v>1048</v>
      </c>
      <c r="M32" s="261" t="s">
        <v>525</v>
      </c>
      <c r="N32" s="149" t="s">
        <v>347</v>
      </c>
      <c r="O32" s="129">
        <v>2</v>
      </c>
      <c r="P32" s="129">
        <f t="shared" si="1"/>
        <v>4</v>
      </c>
      <c r="Q32" s="129">
        <f t="shared" si="2"/>
        <v>2</v>
      </c>
      <c r="R32" s="171">
        <f t="shared" si="3"/>
        <v>8</v>
      </c>
      <c r="S32" s="139"/>
    </row>
    <row r="33" spans="1:19" ht="44" thickBot="1">
      <c r="A33" s="565"/>
      <c r="B33" s="562"/>
      <c r="C33" s="607"/>
      <c r="D33" s="620" t="s">
        <v>21</v>
      </c>
      <c r="E33" s="282" t="s">
        <v>471</v>
      </c>
      <c r="F33" s="186" t="s">
        <v>406</v>
      </c>
      <c r="G33" s="186" t="s">
        <v>801</v>
      </c>
      <c r="H33" s="187">
        <v>4</v>
      </c>
      <c r="I33" s="187">
        <v>4</v>
      </c>
      <c r="J33" s="132">
        <f t="shared" si="0"/>
        <v>16</v>
      </c>
      <c r="K33" s="189"/>
      <c r="L33" s="196" t="s">
        <v>1049</v>
      </c>
      <c r="M33" s="261" t="s">
        <v>525</v>
      </c>
      <c r="N33" s="149" t="s">
        <v>347</v>
      </c>
      <c r="O33" s="129">
        <v>1</v>
      </c>
      <c r="P33" s="129">
        <f t="shared" si="1"/>
        <v>4</v>
      </c>
      <c r="Q33" s="129">
        <f t="shared" si="2"/>
        <v>4</v>
      </c>
      <c r="R33" s="171">
        <f t="shared" si="3"/>
        <v>16</v>
      </c>
      <c r="S33" s="139"/>
    </row>
    <row r="34" spans="1:19" ht="44" thickBot="1">
      <c r="A34" s="565"/>
      <c r="B34" s="562"/>
      <c r="C34" s="607"/>
      <c r="D34" s="621"/>
      <c r="E34" s="282" t="s">
        <v>499</v>
      </c>
      <c r="F34" s="186" t="s">
        <v>379</v>
      </c>
      <c r="G34" s="186" t="s">
        <v>801</v>
      </c>
      <c r="H34" s="187">
        <v>5</v>
      </c>
      <c r="I34" s="187">
        <v>3</v>
      </c>
      <c r="J34" s="132">
        <f t="shared" si="0"/>
        <v>15</v>
      </c>
      <c r="K34" s="189"/>
      <c r="L34" s="196" t="s">
        <v>1050</v>
      </c>
      <c r="M34" s="261" t="s">
        <v>525</v>
      </c>
      <c r="N34" s="149" t="s">
        <v>347</v>
      </c>
      <c r="O34" s="129">
        <v>2</v>
      </c>
      <c r="P34" s="129">
        <f t="shared" si="1"/>
        <v>5</v>
      </c>
      <c r="Q34" s="129">
        <f t="shared" si="2"/>
        <v>1.5</v>
      </c>
      <c r="R34" s="171">
        <f t="shared" si="3"/>
        <v>7.5</v>
      </c>
      <c r="S34" s="139"/>
    </row>
    <row r="35" spans="1:19" ht="44" thickBot="1">
      <c r="A35" s="565"/>
      <c r="B35" s="562"/>
      <c r="C35" s="607"/>
      <c r="D35" s="390"/>
      <c r="E35" s="282" t="s">
        <v>920</v>
      </c>
      <c r="F35" s="358" t="s">
        <v>456</v>
      </c>
      <c r="G35" s="358" t="s">
        <v>800</v>
      </c>
      <c r="H35" s="187">
        <v>5</v>
      </c>
      <c r="I35" s="187">
        <v>3</v>
      </c>
      <c r="J35" s="129">
        <f t="shared" si="0"/>
        <v>15</v>
      </c>
      <c r="K35" s="391"/>
      <c r="L35" s="196" t="s">
        <v>1051</v>
      </c>
      <c r="M35" s="261" t="s">
        <v>525</v>
      </c>
      <c r="N35" s="149" t="s">
        <v>347</v>
      </c>
      <c r="O35" s="129">
        <v>2</v>
      </c>
      <c r="P35" s="129">
        <f t="shared" si="1"/>
        <v>5</v>
      </c>
      <c r="Q35" s="129">
        <f>I35/O35</f>
        <v>1.5</v>
      </c>
      <c r="R35" s="129">
        <f>P35*Q35</f>
        <v>7.5</v>
      </c>
      <c r="S35" s="139"/>
    </row>
    <row r="36" spans="1:19" ht="29.5" thickBot="1">
      <c r="A36" s="565"/>
      <c r="B36" s="562"/>
      <c r="C36" s="607"/>
      <c r="D36" s="620" t="s">
        <v>221</v>
      </c>
      <c r="E36" s="282" t="s">
        <v>222</v>
      </c>
      <c r="F36" s="186" t="s">
        <v>389</v>
      </c>
      <c r="G36" s="186" t="s">
        <v>801</v>
      </c>
      <c r="H36" s="187">
        <v>4</v>
      </c>
      <c r="I36" s="187">
        <v>3</v>
      </c>
      <c r="J36" s="188">
        <f t="shared" si="0"/>
        <v>12</v>
      </c>
      <c r="K36" s="189"/>
      <c r="L36" s="196" t="s">
        <v>1052</v>
      </c>
      <c r="M36" s="261" t="s">
        <v>539</v>
      </c>
      <c r="N36" s="149" t="s">
        <v>347</v>
      </c>
      <c r="O36" s="129">
        <v>1</v>
      </c>
      <c r="P36" s="129">
        <f t="shared" si="1"/>
        <v>4</v>
      </c>
      <c r="Q36" s="129">
        <f t="shared" si="2"/>
        <v>3</v>
      </c>
      <c r="R36" s="171">
        <f t="shared" si="3"/>
        <v>12</v>
      </c>
      <c r="S36" s="139"/>
    </row>
    <row r="37" spans="1:19" ht="29.5" thickBot="1">
      <c r="A37" s="565"/>
      <c r="B37" s="562"/>
      <c r="C37" s="607"/>
      <c r="D37" s="623"/>
      <c r="E37" s="282" t="s">
        <v>473</v>
      </c>
      <c r="F37" s="193" t="s">
        <v>355</v>
      </c>
      <c r="G37" s="193" t="s">
        <v>801</v>
      </c>
      <c r="H37" s="194">
        <v>5</v>
      </c>
      <c r="I37" s="194">
        <v>2</v>
      </c>
      <c r="J37" s="195">
        <f t="shared" si="0"/>
        <v>10</v>
      </c>
      <c r="K37" s="266"/>
      <c r="L37" s="265" t="s">
        <v>1284</v>
      </c>
      <c r="M37" s="262" t="s">
        <v>525</v>
      </c>
      <c r="N37" s="149" t="s">
        <v>347</v>
      </c>
      <c r="O37" s="129">
        <v>2</v>
      </c>
      <c r="P37" s="129">
        <f t="shared" si="1"/>
        <v>5</v>
      </c>
      <c r="Q37" s="129">
        <f t="shared" si="2"/>
        <v>1</v>
      </c>
      <c r="R37" s="171">
        <f t="shared" si="3"/>
        <v>5</v>
      </c>
      <c r="S37" s="139"/>
    </row>
    <row r="38" spans="1:19" ht="16" thickBot="1">
      <c r="A38" s="212" t="s">
        <v>495</v>
      </c>
      <c r="B38" s="212"/>
      <c r="C38" s="212"/>
      <c r="D38" s="212"/>
      <c r="E38" s="614" t="s">
        <v>243</v>
      </c>
      <c r="F38" s="615"/>
      <c r="G38" s="319"/>
      <c r="H38" s="190">
        <f>+ROUND(IFERROR(AVERAGE(H5:H37),0),0)</f>
        <v>4</v>
      </c>
      <c r="I38" s="190">
        <f>+ROUND(IFERROR(AVERAGE(I5:I37),0),0)</f>
        <v>3</v>
      </c>
      <c r="J38" s="191">
        <f>I38*H38</f>
        <v>12</v>
      </c>
      <c r="K38" s="192"/>
      <c r="L38" s="616" t="s">
        <v>244</v>
      </c>
      <c r="M38" s="617"/>
      <c r="N38" s="618"/>
      <c r="O38" s="133">
        <f>+ROUND(IFERROR(AVERAGE(O5:O36),0),0)</f>
        <v>2</v>
      </c>
      <c r="P38" s="133">
        <f>+ROUND(IFERROR(AVERAGE(P5:P36),0),0)</f>
        <v>4</v>
      </c>
      <c r="Q38" s="133">
        <f>+ROUND(IFERROR(AVERAGE(Q5:Q36),0),0)</f>
        <v>2</v>
      </c>
      <c r="R38" s="171">
        <f>+ROUND(IFERROR(AVERAGE(R5:R36),0),0)</f>
        <v>8</v>
      </c>
      <c r="S38" s="139"/>
    </row>
    <row r="39" spans="1:19" thickBot="1">
      <c r="A39" s="144"/>
      <c r="B39" s="144"/>
      <c r="C39" s="144"/>
      <c r="D39" s="144"/>
      <c r="E39" s="135"/>
      <c r="F39" s="145"/>
      <c r="G39" s="145"/>
      <c r="H39" s="144"/>
      <c r="I39" s="144"/>
      <c r="J39" s="144"/>
      <c r="K39" s="144"/>
      <c r="L39" s="135"/>
      <c r="M39" s="263"/>
      <c r="N39" s="167"/>
      <c r="O39" s="144"/>
      <c r="P39" s="144"/>
      <c r="Q39" s="144"/>
      <c r="R39" s="144"/>
    </row>
    <row r="41" spans="1:19" thickBot="1">
      <c r="F41" s="137" t="s">
        <v>800</v>
      </c>
      <c r="G41" s="137">
        <f>COUNTIF(G5:G37,F41)</f>
        <v>7</v>
      </c>
    </row>
    <row r="42" spans="1:19" thickBot="1">
      <c r="F42" s="137" t="s">
        <v>361</v>
      </c>
      <c r="G42" s="137">
        <f>COUNTIF(G5:G37,F42)</f>
        <v>6</v>
      </c>
    </row>
    <row r="43" spans="1:19" thickBot="1">
      <c r="F43" s="137" t="s">
        <v>806</v>
      </c>
      <c r="G43" s="137">
        <f>COUNTIF(G5:G37,F43)</f>
        <v>0</v>
      </c>
    </row>
    <row r="44" spans="1:19" thickBot="1">
      <c r="F44" s="137" t="s">
        <v>801</v>
      </c>
      <c r="G44" s="137">
        <f>COUNTIF(G5:G37,F44)</f>
        <v>16</v>
      </c>
    </row>
    <row r="45" spans="1:19" thickBot="1">
      <c r="F45" s="137" t="s">
        <v>780</v>
      </c>
      <c r="G45" s="137">
        <f>COUNTIF(G5:G37,F45)</f>
        <v>1</v>
      </c>
    </row>
    <row r="46" spans="1:19" thickBot="1">
      <c r="F46" s="137" t="s">
        <v>802</v>
      </c>
      <c r="G46" s="137">
        <f>COUNTIF(G5:G37,F46)</f>
        <v>0</v>
      </c>
    </row>
    <row r="47" spans="1:19" thickBot="1">
      <c r="F47" s="137" t="s">
        <v>808</v>
      </c>
      <c r="G47" s="137">
        <f>COUNTIF(G5:G37,F47)</f>
        <v>0</v>
      </c>
    </row>
    <row r="48" spans="1:19" ht="14.5"/>
  </sheetData>
  <mergeCells count="26">
    <mergeCell ref="E38:F38"/>
    <mergeCell ref="L38:N38"/>
    <mergeCell ref="B5:B37"/>
    <mergeCell ref="C5:C37"/>
    <mergeCell ref="D5:D25"/>
    <mergeCell ref="D26:D29"/>
    <mergeCell ref="D30:D32"/>
    <mergeCell ref="D33:D34"/>
    <mergeCell ref="D36:D37"/>
    <mergeCell ref="A1:R1"/>
    <mergeCell ref="A2:A4"/>
    <mergeCell ref="B2:B4"/>
    <mergeCell ref="C2:C4"/>
    <mergeCell ref="D2:D4"/>
    <mergeCell ref="E2:E4"/>
    <mergeCell ref="H2:H3"/>
    <mergeCell ref="I2:I3"/>
    <mergeCell ref="J2:J3"/>
    <mergeCell ref="L2:O3"/>
    <mergeCell ref="F2:F4"/>
    <mergeCell ref="K2:K4"/>
    <mergeCell ref="A5:A37"/>
    <mergeCell ref="P2:P3"/>
    <mergeCell ref="Q2:Q3"/>
    <mergeCell ref="R2:R3"/>
    <mergeCell ref="G2:G4"/>
  </mergeCells>
  <conditionalFormatting sqref="J5:J38 R5:R38">
    <cfRule type="colorScale" priority="2">
      <colorScale>
        <cfvo type="num" val="1"/>
        <cfvo type="num" val="8"/>
        <cfvo type="num" val="22"/>
        <color rgb="FF00B050"/>
        <color rgb="FFFFFF00"/>
        <color rgb="FFC00000"/>
      </colorScale>
    </cfRule>
    <cfRule type="colorScale" priority="3">
      <colorScale>
        <cfvo type="num" val="1"/>
        <cfvo type="num" val="8"/>
        <cfvo type="num" val="22"/>
        <color rgb="FF00B050"/>
        <color rgb="FFFFFF00"/>
        <color rgb="FFC00000"/>
      </colorScale>
    </cfRule>
  </conditionalFormatting>
  <pageMargins left="0.70866141732283472" right="0.70866141732283472" top="0.74803149606299213" bottom="0.74803149606299213" header="0.31496062992125984" footer="0.31496062992125984"/>
  <pageSetup paperSize="9" scale="60" orientation="landscape" verticalDpi="0" r:id="rId1"/>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C00000"/>
  </sheetPr>
  <dimension ref="A1:R40"/>
  <sheetViews>
    <sheetView topLeftCell="K22" zoomScale="90" zoomScaleNormal="90" workbookViewId="0">
      <selection activeCell="O26" sqref="O26"/>
    </sheetView>
  </sheetViews>
  <sheetFormatPr baseColWidth="10" defaultColWidth="8.7265625" defaultRowHeight="14.5"/>
  <cols>
    <col min="1" max="1" width="3.6328125" customWidth="1"/>
    <col min="2" max="2" width="11.1796875" customWidth="1"/>
    <col min="3" max="3" width="6.08984375" customWidth="1"/>
    <col min="4" max="4" width="18.54296875" customWidth="1"/>
    <col min="5" max="5" width="38.81640625" customWidth="1"/>
    <col min="6" max="7" width="25" customWidth="1"/>
    <col min="8" max="8" width="6.90625" customWidth="1"/>
    <col min="9" max="9" width="9.36328125" customWidth="1"/>
    <col min="10" max="10" width="10.6328125" customWidth="1"/>
    <col min="11" max="11" width="25.81640625" customWidth="1"/>
    <col min="12" max="12" width="31.90625" customWidth="1"/>
    <col min="13" max="13" width="28.453125" customWidth="1"/>
    <col min="16" max="16" width="10.08984375" customWidth="1"/>
    <col min="17" max="17" width="9.90625" customWidth="1"/>
  </cols>
  <sheetData>
    <row r="1" spans="1:18" ht="31.5" thickBot="1">
      <c r="A1" s="624" t="s">
        <v>291</v>
      </c>
      <c r="B1" s="625"/>
      <c r="C1" s="625"/>
      <c r="D1" s="625"/>
      <c r="E1" s="625"/>
      <c r="F1" s="625"/>
      <c r="G1" s="625"/>
      <c r="H1" s="625"/>
      <c r="I1" s="625"/>
      <c r="J1" s="625"/>
      <c r="K1" s="625"/>
      <c r="L1" s="625"/>
      <c r="M1" s="625"/>
      <c r="N1" s="625"/>
      <c r="O1" s="625"/>
      <c r="P1" s="625"/>
      <c r="Q1" s="625"/>
      <c r="R1" s="626"/>
    </row>
    <row r="2" spans="1:18" ht="15" thickBot="1">
      <c r="A2" s="573" t="s">
        <v>71</v>
      </c>
      <c r="B2" s="576" t="s">
        <v>72</v>
      </c>
      <c r="C2" s="579" t="s">
        <v>73</v>
      </c>
      <c r="D2" s="576" t="s">
        <v>74</v>
      </c>
      <c r="E2" s="589" t="s">
        <v>350</v>
      </c>
      <c r="F2" s="582" t="s">
        <v>804</v>
      </c>
      <c r="G2" s="582" t="s">
        <v>809</v>
      </c>
      <c r="H2" s="586" t="s">
        <v>58</v>
      </c>
      <c r="I2" s="586" t="s">
        <v>43</v>
      </c>
      <c r="J2" s="586" t="s">
        <v>245</v>
      </c>
      <c r="K2" s="586" t="s">
        <v>455</v>
      </c>
      <c r="L2" s="627" t="s">
        <v>251</v>
      </c>
      <c r="M2" s="628"/>
      <c r="N2" s="628"/>
      <c r="O2" s="629"/>
      <c r="P2" s="586" t="s">
        <v>252</v>
      </c>
      <c r="Q2" s="586" t="s">
        <v>253</v>
      </c>
      <c r="R2" s="586" t="s">
        <v>229</v>
      </c>
    </row>
    <row r="3" spans="1:18" ht="15" thickBot="1">
      <c r="A3" s="574"/>
      <c r="B3" s="577"/>
      <c r="C3" s="580"/>
      <c r="D3" s="577"/>
      <c r="E3" s="589"/>
      <c r="F3" s="583"/>
      <c r="G3" s="583"/>
      <c r="H3" s="588"/>
      <c r="I3" s="588"/>
      <c r="J3" s="588"/>
      <c r="K3" s="587"/>
      <c r="L3" s="630"/>
      <c r="M3" s="631"/>
      <c r="N3" s="631"/>
      <c r="O3" s="632"/>
      <c r="P3" s="588"/>
      <c r="Q3" s="588"/>
      <c r="R3" s="588"/>
    </row>
    <row r="4" spans="1:18" ht="35" thickBot="1">
      <c r="A4" s="575"/>
      <c r="B4" s="578"/>
      <c r="C4" s="581"/>
      <c r="D4" s="578"/>
      <c r="E4" s="589"/>
      <c r="F4" s="584"/>
      <c r="G4" s="584"/>
      <c r="H4" s="127" t="s">
        <v>0</v>
      </c>
      <c r="I4" s="127" t="s">
        <v>1</v>
      </c>
      <c r="J4" s="127" t="s">
        <v>4</v>
      </c>
      <c r="K4" s="588"/>
      <c r="L4" s="127" t="s">
        <v>230</v>
      </c>
      <c r="M4" s="127" t="s">
        <v>405</v>
      </c>
      <c r="N4" s="159" t="s">
        <v>254</v>
      </c>
      <c r="O4" s="127" t="s">
        <v>225</v>
      </c>
      <c r="P4" s="127" t="s">
        <v>0</v>
      </c>
      <c r="Q4" s="127" t="s">
        <v>351</v>
      </c>
      <c r="R4" s="127" t="s">
        <v>4</v>
      </c>
    </row>
    <row r="5" spans="1:18" s="396" customFormat="1" ht="29.5" thickBot="1">
      <c r="A5" s="392"/>
      <c r="B5" s="393"/>
      <c r="C5" s="394"/>
      <c r="D5" s="393"/>
      <c r="E5" s="373" t="s">
        <v>1053</v>
      </c>
      <c r="F5" s="395" t="s">
        <v>1285</v>
      </c>
      <c r="G5" s="395" t="s">
        <v>1286</v>
      </c>
      <c r="H5" s="461">
        <v>4</v>
      </c>
      <c r="I5" s="367">
        <v>4</v>
      </c>
      <c r="J5" s="132">
        <f t="shared" ref="J5:J7" si="0">H5*I5</f>
        <v>16</v>
      </c>
      <c r="K5" s="369"/>
      <c r="L5" s="367" t="s">
        <v>1328</v>
      </c>
      <c r="M5" s="367" t="s">
        <v>539</v>
      </c>
      <c r="N5" s="364" t="s">
        <v>314</v>
      </c>
      <c r="O5" s="367">
        <v>1</v>
      </c>
      <c r="P5" s="367">
        <v>4</v>
      </c>
      <c r="Q5" s="129">
        <f t="shared" ref="Q5:Q7" si="1">I5/O5</f>
        <v>4</v>
      </c>
      <c r="R5" s="132">
        <f t="shared" ref="R5:R7" si="2">Q5*P5</f>
        <v>16</v>
      </c>
    </row>
    <row r="6" spans="1:18" s="396" customFormat="1" ht="44" thickBot="1">
      <c r="A6" s="392"/>
      <c r="B6" s="393"/>
      <c r="C6" s="394"/>
      <c r="D6" s="393"/>
      <c r="E6" s="373" t="s">
        <v>1054</v>
      </c>
      <c r="F6" s="395" t="s">
        <v>1112</v>
      </c>
      <c r="G6" s="395" t="s">
        <v>1286</v>
      </c>
      <c r="H6" s="367">
        <v>4</v>
      </c>
      <c r="I6" s="367">
        <v>4</v>
      </c>
      <c r="J6" s="132">
        <f t="shared" si="0"/>
        <v>16</v>
      </c>
      <c r="K6" s="369"/>
      <c r="L6" s="367" t="s">
        <v>1329</v>
      </c>
      <c r="M6" s="367" t="s">
        <v>539</v>
      </c>
      <c r="N6" s="370" t="s">
        <v>314</v>
      </c>
      <c r="O6" s="367">
        <v>1</v>
      </c>
      <c r="P6" s="367"/>
      <c r="Q6" s="129">
        <f t="shared" si="1"/>
        <v>4</v>
      </c>
      <c r="R6" s="132">
        <f t="shared" si="2"/>
        <v>0</v>
      </c>
    </row>
    <row r="7" spans="1:18" s="396" customFormat="1" ht="26" customHeight="1" thickBot="1">
      <c r="A7" s="392"/>
      <c r="B7" s="393"/>
      <c r="C7" s="394"/>
      <c r="D7" s="393"/>
      <c r="E7" s="373" t="s">
        <v>1055</v>
      </c>
      <c r="F7" s="395" t="s">
        <v>1287</v>
      </c>
      <c r="G7" s="395" t="s">
        <v>1287</v>
      </c>
      <c r="H7" s="367">
        <v>3</v>
      </c>
      <c r="I7" s="367">
        <v>2</v>
      </c>
      <c r="J7" s="132">
        <f t="shared" si="0"/>
        <v>6</v>
      </c>
      <c r="K7" s="369"/>
      <c r="L7" s="367" t="s">
        <v>1288</v>
      </c>
      <c r="M7" s="367" t="s">
        <v>525</v>
      </c>
      <c r="N7" s="364" t="s">
        <v>314</v>
      </c>
      <c r="O7" s="367">
        <v>3</v>
      </c>
      <c r="P7" s="367">
        <v>3</v>
      </c>
      <c r="Q7" s="129">
        <f t="shared" si="1"/>
        <v>0.66666666666666663</v>
      </c>
      <c r="R7" s="132">
        <f t="shared" si="2"/>
        <v>2</v>
      </c>
    </row>
    <row r="8" spans="1:18" ht="44" thickBot="1">
      <c r="A8" s="633">
        <v>5</v>
      </c>
      <c r="B8" s="636" t="s">
        <v>496</v>
      </c>
      <c r="C8" s="606">
        <v>0.1</v>
      </c>
      <c r="D8" s="570" t="s">
        <v>172</v>
      </c>
      <c r="E8" s="131" t="s">
        <v>674</v>
      </c>
      <c r="F8" s="173" t="s">
        <v>377</v>
      </c>
      <c r="G8" s="173" t="s">
        <v>800</v>
      </c>
      <c r="H8" s="129">
        <v>5</v>
      </c>
      <c r="I8" s="129">
        <v>4</v>
      </c>
      <c r="J8" s="132">
        <f>H8*I8</f>
        <v>20</v>
      </c>
      <c r="L8" s="131" t="s">
        <v>1289</v>
      </c>
      <c r="M8" s="131" t="s">
        <v>525</v>
      </c>
      <c r="N8" s="149" t="s">
        <v>314</v>
      </c>
      <c r="O8" s="129">
        <v>2</v>
      </c>
      <c r="P8" s="129">
        <f>H8</f>
        <v>5</v>
      </c>
      <c r="Q8" s="129">
        <f t="shared" ref="Q8:Q30" si="3">I8/O8</f>
        <v>2</v>
      </c>
      <c r="R8" s="132">
        <f>Q8*P8</f>
        <v>10</v>
      </c>
    </row>
    <row r="9" spans="1:18" ht="44" thickBot="1">
      <c r="A9" s="634"/>
      <c r="B9" s="637"/>
      <c r="C9" s="607"/>
      <c r="D9" s="571"/>
      <c r="E9" s="131" t="s">
        <v>292</v>
      </c>
      <c r="F9" s="173" t="s">
        <v>370</v>
      </c>
      <c r="G9" s="173" t="s">
        <v>800</v>
      </c>
      <c r="H9" s="129">
        <v>5</v>
      </c>
      <c r="I9" s="129">
        <v>4</v>
      </c>
      <c r="J9" s="132">
        <f t="shared" ref="J9:J30" si="4">H9*I9</f>
        <v>20</v>
      </c>
      <c r="K9" s="184"/>
      <c r="L9" s="131" t="s">
        <v>288</v>
      </c>
      <c r="M9" s="131" t="s">
        <v>572</v>
      </c>
      <c r="N9" s="149" t="s">
        <v>281</v>
      </c>
      <c r="O9" s="129">
        <v>2</v>
      </c>
      <c r="P9" s="129">
        <f t="shared" ref="P9:P30" si="5">H9</f>
        <v>5</v>
      </c>
      <c r="Q9" s="129">
        <f t="shared" si="3"/>
        <v>2</v>
      </c>
      <c r="R9" s="132">
        <f t="shared" ref="R9:R31" si="6">Q9*P9</f>
        <v>10</v>
      </c>
    </row>
    <row r="10" spans="1:18" ht="58.5" thickBot="1">
      <c r="A10" s="634"/>
      <c r="B10" s="637"/>
      <c r="C10" s="607"/>
      <c r="D10" s="571"/>
      <c r="E10" s="128" t="s">
        <v>465</v>
      </c>
      <c r="F10" s="173" t="s">
        <v>479</v>
      </c>
      <c r="G10" s="173" t="s">
        <v>800</v>
      </c>
      <c r="H10" s="129">
        <v>5</v>
      </c>
      <c r="I10" s="129">
        <v>4</v>
      </c>
      <c r="J10" s="132">
        <f t="shared" si="4"/>
        <v>20</v>
      </c>
      <c r="K10" s="184"/>
      <c r="L10" s="274" t="s">
        <v>1290</v>
      </c>
      <c r="M10" s="131" t="s">
        <v>525</v>
      </c>
      <c r="N10" s="149" t="s">
        <v>281</v>
      </c>
      <c r="O10" s="129">
        <v>2</v>
      </c>
      <c r="P10" s="129">
        <f t="shared" si="5"/>
        <v>5</v>
      </c>
      <c r="Q10" s="129">
        <f t="shared" si="3"/>
        <v>2</v>
      </c>
      <c r="R10" s="132">
        <f t="shared" si="6"/>
        <v>10</v>
      </c>
    </row>
    <row r="11" spans="1:18" ht="58.5" thickBot="1">
      <c r="A11" s="634"/>
      <c r="B11" s="637"/>
      <c r="C11" s="607"/>
      <c r="D11" s="571"/>
      <c r="E11" s="131" t="s">
        <v>256</v>
      </c>
      <c r="F11" s="173" t="s">
        <v>382</v>
      </c>
      <c r="G11" s="173" t="s">
        <v>780</v>
      </c>
      <c r="H11" s="129">
        <v>5</v>
      </c>
      <c r="I11" s="129">
        <v>2</v>
      </c>
      <c r="J11" s="158">
        <f t="shared" si="4"/>
        <v>10</v>
      </c>
      <c r="K11" s="184"/>
      <c r="L11" s="131" t="s">
        <v>257</v>
      </c>
      <c r="M11" s="131" t="s">
        <v>525</v>
      </c>
      <c r="N11" s="149" t="s">
        <v>348</v>
      </c>
      <c r="O11" s="129">
        <v>1</v>
      </c>
      <c r="P11" s="129">
        <f t="shared" si="5"/>
        <v>5</v>
      </c>
      <c r="Q11" s="129">
        <f t="shared" si="3"/>
        <v>2</v>
      </c>
      <c r="R11" s="158">
        <f>P11*Q11</f>
        <v>10</v>
      </c>
    </row>
    <row r="12" spans="1:18" ht="58.5" thickBot="1">
      <c r="A12" s="634"/>
      <c r="B12" s="637"/>
      <c r="C12" s="607"/>
      <c r="D12" s="571"/>
      <c r="E12" s="131" t="s">
        <v>258</v>
      </c>
      <c r="F12" s="173" t="s">
        <v>382</v>
      </c>
      <c r="G12" s="173" t="s">
        <v>780</v>
      </c>
      <c r="H12" s="129">
        <v>5</v>
      </c>
      <c r="I12" s="129">
        <v>2</v>
      </c>
      <c r="J12" s="158">
        <f t="shared" si="4"/>
        <v>10</v>
      </c>
      <c r="K12" s="184"/>
      <c r="L12" s="131" t="s">
        <v>259</v>
      </c>
      <c r="M12" s="131" t="s">
        <v>525</v>
      </c>
      <c r="N12" s="149" t="s">
        <v>348</v>
      </c>
      <c r="O12" s="129">
        <v>1</v>
      </c>
      <c r="P12" s="129">
        <f t="shared" si="5"/>
        <v>5</v>
      </c>
      <c r="Q12" s="129">
        <f t="shared" si="3"/>
        <v>2</v>
      </c>
      <c r="R12" s="158">
        <f>P12*Q12</f>
        <v>10</v>
      </c>
    </row>
    <row r="13" spans="1:18" ht="58.5" thickBot="1">
      <c r="A13" s="634"/>
      <c r="B13" s="637"/>
      <c r="C13" s="607"/>
      <c r="D13" s="571"/>
      <c r="E13" s="128" t="s">
        <v>476</v>
      </c>
      <c r="F13" s="173" t="s">
        <v>479</v>
      </c>
      <c r="G13" s="173" t="s">
        <v>800</v>
      </c>
      <c r="H13" s="129">
        <v>4</v>
      </c>
      <c r="I13" s="129">
        <v>4</v>
      </c>
      <c r="J13" s="132">
        <f t="shared" si="4"/>
        <v>16</v>
      </c>
      <c r="K13" s="184"/>
      <c r="L13" s="274" t="s">
        <v>1291</v>
      </c>
      <c r="M13" s="131" t="s">
        <v>525</v>
      </c>
      <c r="N13" s="149" t="s">
        <v>281</v>
      </c>
      <c r="O13" s="129">
        <v>2</v>
      </c>
      <c r="P13" s="129">
        <f t="shared" si="5"/>
        <v>4</v>
      </c>
      <c r="Q13" s="129">
        <f t="shared" si="3"/>
        <v>2</v>
      </c>
      <c r="R13" s="132">
        <f t="shared" si="6"/>
        <v>8</v>
      </c>
    </row>
    <row r="14" spans="1:18" ht="58.5" thickBot="1">
      <c r="A14" s="634"/>
      <c r="B14" s="637"/>
      <c r="C14" s="607"/>
      <c r="D14" s="571"/>
      <c r="E14" s="128" t="s">
        <v>477</v>
      </c>
      <c r="F14" s="279" t="s">
        <v>479</v>
      </c>
      <c r="G14" s="279" t="s">
        <v>800</v>
      </c>
      <c r="H14" s="129">
        <v>5</v>
      </c>
      <c r="I14" s="129">
        <v>4</v>
      </c>
      <c r="J14" s="132">
        <f t="shared" si="4"/>
        <v>20</v>
      </c>
      <c r="K14" s="184"/>
      <c r="L14" s="274" t="s">
        <v>1292</v>
      </c>
      <c r="M14" s="131" t="s">
        <v>525</v>
      </c>
      <c r="N14" s="149" t="s">
        <v>281</v>
      </c>
      <c r="O14" s="129">
        <v>2</v>
      </c>
      <c r="P14" s="129">
        <f t="shared" si="5"/>
        <v>5</v>
      </c>
      <c r="Q14" s="129">
        <f t="shared" si="3"/>
        <v>2</v>
      </c>
      <c r="R14" s="132">
        <f t="shared" si="6"/>
        <v>10</v>
      </c>
    </row>
    <row r="15" spans="1:18" ht="58.5" thickBot="1">
      <c r="A15" s="634"/>
      <c r="B15" s="637"/>
      <c r="C15" s="607"/>
      <c r="D15" s="571"/>
      <c r="E15" s="278" t="s">
        <v>478</v>
      </c>
      <c r="F15" s="279" t="s">
        <v>479</v>
      </c>
      <c r="G15" s="279" t="s">
        <v>800</v>
      </c>
      <c r="H15" s="129">
        <v>5</v>
      </c>
      <c r="I15" s="129">
        <v>3</v>
      </c>
      <c r="J15" s="132">
        <f t="shared" si="4"/>
        <v>15</v>
      </c>
      <c r="K15" s="184"/>
      <c r="L15" s="274" t="s">
        <v>508</v>
      </c>
      <c r="M15" s="131" t="s">
        <v>525</v>
      </c>
      <c r="N15" s="149" t="s">
        <v>281</v>
      </c>
      <c r="O15" s="129">
        <v>2</v>
      </c>
      <c r="P15" s="129">
        <f t="shared" si="5"/>
        <v>5</v>
      </c>
      <c r="Q15" s="129">
        <f t="shared" si="3"/>
        <v>1.5</v>
      </c>
      <c r="R15" s="132">
        <f t="shared" si="6"/>
        <v>7.5</v>
      </c>
    </row>
    <row r="16" spans="1:18" ht="58.5" thickBot="1">
      <c r="A16" s="634"/>
      <c r="B16" s="637"/>
      <c r="C16" s="607"/>
      <c r="D16" s="571"/>
      <c r="E16" s="278" t="s">
        <v>918</v>
      </c>
      <c r="F16" s="279" t="s">
        <v>479</v>
      </c>
      <c r="G16" s="279" t="s">
        <v>800</v>
      </c>
      <c r="H16" s="290">
        <v>5</v>
      </c>
      <c r="I16" s="290">
        <v>3</v>
      </c>
      <c r="J16" s="306">
        <f>H16*I16</f>
        <v>15</v>
      </c>
      <c r="K16" s="271"/>
      <c r="L16" s="274" t="s">
        <v>502</v>
      </c>
      <c r="M16" s="255" t="s">
        <v>525</v>
      </c>
      <c r="N16" s="149" t="s">
        <v>314</v>
      </c>
      <c r="O16" s="160">
        <v>2</v>
      </c>
      <c r="P16" s="160">
        <f t="shared" si="5"/>
        <v>5</v>
      </c>
      <c r="Q16" s="160">
        <f t="shared" si="3"/>
        <v>1.5</v>
      </c>
      <c r="R16" s="270">
        <f t="shared" si="6"/>
        <v>7.5</v>
      </c>
    </row>
    <row r="17" spans="1:18" s="396" customFormat="1" ht="29.5" thickBot="1">
      <c r="A17" s="634"/>
      <c r="B17" s="637"/>
      <c r="C17" s="607"/>
      <c r="D17" s="571"/>
      <c r="E17" s="397" t="s">
        <v>1056</v>
      </c>
      <c r="F17" s="398"/>
      <c r="G17" s="398"/>
      <c r="H17" s="399">
        <v>4</v>
      </c>
      <c r="I17" s="399">
        <v>4</v>
      </c>
      <c r="J17" s="399">
        <f>H17*I17</f>
        <v>16</v>
      </c>
      <c r="K17" s="400"/>
      <c r="L17" s="397"/>
      <c r="M17" s="397" t="s">
        <v>539</v>
      </c>
      <c r="N17" s="398" t="s">
        <v>314</v>
      </c>
      <c r="O17" s="399">
        <v>1</v>
      </c>
      <c r="P17" s="399">
        <v>4</v>
      </c>
      <c r="Q17" s="160">
        <f t="shared" si="3"/>
        <v>4</v>
      </c>
      <c r="R17" s="400">
        <f t="shared" si="6"/>
        <v>16</v>
      </c>
    </row>
    <row r="18" spans="1:18" ht="44" thickBot="1">
      <c r="A18" s="634"/>
      <c r="B18" s="637"/>
      <c r="C18" s="607"/>
      <c r="D18" s="572"/>
      <c r="E18" s="274" t="s">
        <v>293</v>
      </c>
      <c r="F18" s="279" t="s">
        <v>371</v>
      </c>
      <c r="G18" s="279" t="s">
        <v>800</v>
      </c>
      <c r="H18" s="129">
        <v>4</v>
      </c>
      <c r="I18" s="129">
        <v>4</v>
      </c>
      <c r="J18" s="132">
        <f t="shared" si="4"/>
        <v>16</v>
      </c>
      <c r="K18" s="184"/>
      <c r="L18" s="274" t="s">
        <v>309</v>
      </c>
      <c r="M18" s="131" t="s">
        <v>525</v>
      </c>
      <c r="N18" s="149" t="s">
        <v>314</v>
      </c>
      <c r="O18" s="129">
        <v>2</v>
      </c>
      <c r="P18" s="129">
        <f t="shared" si="5"/>
        <v>4</v>
      </c>
      <c r="Q18" s="129">
        <f t="shared" si="3"/>
        <v>2</v>
      </c>
      <c r="R18" s="132">
        <f t="shared" si="6"/>
        <v>8</v>
      </c>
    </row>
    <row r="19" spans="1:18" ht="44" thickBot="1">
      <c r="A19" s="634"/>
      <c r="B19" s="637"/>
      <c r="C19" s="607"/>
      <c r="D19" s="570" t="s">
        <v>224</v>
      </c>
      <c r="E19" s="274" t="s">
        <v>294</v>
      </c>
      <c r="F19" s="279" t="s">
        <v>371</v>
      </c>
      <c r="G19" s="279" t="s">
        <v>800</v>
      </c>
      <c r="H19" s="129">
        <v>4</v>
      </c>
      <c r="I19" s="129">
        <v>3</v>
      </c>
      <c r="J19" s="158">
        <f t="shared" si="4"/>
        <v>12</v>
      </c>
      <c r="K19" s="184"/>
      <c r="L19" s="274" t="s">
        <v>312</v>
      </c>
      <c r="M19" s="131" t="s">
        <v>572</v>
      </c>
      <c r="N19" s="149" t="s">
        <v>281</v>
      </c>
      <c r="O19" s="129">
        <v>2</v>
      </c>
      <c r="P19" s="129">
        <f t="shared" si="5"/>
        <v>4</v>
      </c>
      <c r="Q19" s="129">
        <f t="shared" si="3"/>
        <v>1.5</v>
      </c>
      <c r="R19" s="132">
        <f t="shared" si="6"/>
        <v>6</v>
      </c>
    </row>
    <row r="20" spans="1:18" ht="44" thickBot="1">
      <c r="A20" s="634"/>
      <c r="B20" s="637"/>
      <c r="C20" s="607"/>
      <c r="D20" s="571"/>
      <c r="E20" s="294" t="s">
        <v>796</v>
      </c>
      <c r="F20" s="295" t="s">
        <v>814</v>
      </c>
      <c r="G20" s="279" t="s">
        <v>800</v>
      </c>
      <c r="H20" s="129">
        <v>4</v>
      </c>
      <c r="I20" s="129">
        <v>3</v>
      </c>
      <c r="J20" s="158">
        <f t="shared" si="4"/>
        <v>12</v>
      </c>
      <c r="K20" s="184"/>
      <c r="L20" s="142" t="s">
        <v>1330</v>
      </c>
      <c r="M20" s="131" t="s">
        <v>525</v>
      </c>
      <c r="N20" s="149" t="s">
        <v>314</v>
      </c>
      <c r="O20" s="129">
        <v>2</v>
      </c>
      <c r="P20" s="129">
        <f t="shared" si="5"/>
        <v>4</v>
      </c>
      <c r="Q20" s="129">
        <f t="shared" si="3"/>
        <v>1.5</v>
      </c>
      <c r="R20" s="132">
        <f t="shared" si="6"/>
        <v>6</v>
      </c>
    </row>
    <row r="21" spans="1:18" ht="131" thickBot="1">
      <c r="A21" s="634"/>
      <c r="B21" s="637"/>
      <c r="C21" s="607"/>
      <c r="D21" s="570" t="s">
        <v>113</v>
      </c>
      <c r="E21" s="278" t="s">
        <v>316</v>
      </c>
      <c r="F21" s="280" t="s">
        <v>372</v>
      </c>
      <c r="G21" s="280" t="s">
        <v>780</v>
      </c>
      <c r="H21" s="129">
        <v>5</v>
      </c>
      <c r="I21" s="129">
        <v>2</v>
      </c>
      <c r="J21" s="132">
        <f t="shared" si="4"/>
        <v>10</v>
      </c>
      <c r="K21" s="184"/>
      <c r="L21" s="274" t="s">
        <v>310</v>
      </c>
      <c r="M21" s="131" t="s">
        <v>525</v>
      </c>
      <c r="N21" s="149" t="s">
        <v>314</v>
      </c>
      <c r="O21" s="129">
        <v>2</v>
      </c>
      <c r="P21" s="129">
        <f t="shared" si="5"/>
        <v>5</v>
      </c>
      <c r="Q21" s="129">
        <f t="shared" si="3"/>
        <v>1</v>
      </c>
      <c r="R21" s="132">
        <f t="shared" si="6"/>
        <v>5</v>
      </c>
    </row>
    <row r="22" spans="1:18" ht="44" thickBot="1">
      <c r="A22" s="634"/>
      <c r="B22" s="637"/>
      <c r="C22" s="607"/>
      <c r="D22" s="571"/>
      <c r="E22" s="274" t="s">
        <v>295</v>
      </c>
      <c r="F22" s="279" t="s">
        <v>373</v>
      </c>
      <c r="G22" s="280" t="s">
        <v>780</v>
      </c>
      <c r="H22" s="129">
        <v>4</v>
      </c>
      <c r="I22" s="129">
        <v>4</v>
      </c>
      <c r="J22" s="158">
        <f t="shared" si="4"/>
        <v>16</v>
      </c>
      <c r="K22" s="184"/>
      <c r="L22" s="274" t="s">
        <v>311</v>
      </c>
      <c r="M22" s="131" t="s">
        <v>539</v>
      </c>
      <c r="N22" s="149" t="s">
        <v>315</v>
      </c>
      <c r="O22" s="129">
        <v>1</v>
      </c>
      <c r="P22" s="129">
        <f t="shared" si="5"/>
        <v>4</v>
      </c>
      <c r="Q22" s="129">
        <f t="shared" si="3"/>
        <v>4</v>
      </c>
      <c r="R22" s="132">
        <f t="shared" si="6"/>
        <v>16</v>
      </c>
    </row>
    <row r="23" spans="1:18" ht="44" thickBot="1">
      <c r="A23" s="634"/>
      <c r="B23" s="637"/>
      <c r="C23" s="607"/>
      <c r="D23" s="571"/>
      <c r="E23" s="294" t="s">
        <v>737</v>
      </c>
      <c r="F23" s="295" t="s">
        <v>738</v>
      </c>
      <c r="G23" s="280" t="s">
        <v>780</v>
      </c>
      <c r="H23" s="129">
        <v>4</v>
      </c>
      <c r="I23" s="129">
        <v>3</v>
      </c>
      <c r="J23" s="158">
        <f t="shared" si="4"/>
        <v>12</v>
      </c>
      <c r="K23" s="184"/>
      <c r="L23" s="142" t="s">
        <v>1293</v>
      </c>
      <c r="M23" s="131" t="s">
        <v>525</v>
      </c>
      <c r="N23" s="149" t="s">
        <v>314</v>
      </c>
      <c r="O23" s="129">
        <v>2</v>
      </c>
      <c r="P23" s="129">
        <f t="shared" si="5"/>
        <v>4</v>
      </c>
      <c r="Q23" s="129">
        <f t="shared" si="3"/>
        <v>1.5</v>
      </c>
      <c r="R23" s="132">
        <f t="shared" si="6"/>
        <v>6</v>
      </c>
    </row>
    <row r="24" spans="1:18" ht="29.5" thickBot="1">
      <c r="A24" s="634"/>
      <c r="B24" s="637"/>
      <c r="C24" s="607"/>
      <c r="D24" s="572"/>
      <c r="E24" s="274" t="s">
        <v>842</v>
      </c>
      <c r="F24" s="279" t="s">
        <v>418</v>
      </c>
      <c r="G24" s="280" t="s">
        <v>780</v>
      </c>
      <c r="H24" s="129">
        <v>4</v>
      </c>
      <c r="I24" s="129">
        <v>4</v>
      </c>
      <c r="J24" s="158">
        <f t="shared" si="4"/>
        <v>16</v>
      </c>
      <c r="K24" s="184"/>
      <c r="L24" s="274" t="s">
        <v>578</v>
      </c>
      <c r="M24" s="131" t="s">
        <v>525</v>
      </c>
      <c r="N24" s="149" t="s">
        <v>314</v>
      </c>
      <c r="O24" s="129">
        <v>3</v>
      </c>
      <c r="P24" s="129">
        <f t="shared" si="5"/>
        <v>4</v>
      </c>
      <c r="Q24" s="268">
        <f t="shared" si="3"/>
        <v>1.3333333333333333</v>
      </c>
      <c r="R24" s="267">
        <f t="shared" si="6"/>
        <v>5.333333333333333</v>
      </c>
    </row>
    <row r="25" spans="1:18" ht="58.5" thickBot="1">
      <c r="A25" s="634"/>
      <c r="B25" s="637"/>
      <c r="C25" s="607"/>
      <c r="D25" s="640" t="s">
        <v>1057</v>
      </c>
      <c r="E25" s="274" t="s">
        <v>843</v>
      </c>
      <c r="F25" s="279" t="s">
        <v>374</v>
      </c>
      <c r="G25" s="280" t="s">
        <v>780</v>
      </c>
      <c r="H25" s="129">
        <v>4</v>
      </c>
      <c r="I25" s="129">
        <v>4</v>
      </c>
      <c r="J25" s="132">
        <f t="shared" si="4"/>
        <v>16</v>
      </c>
      <c r="K25" s="184"/>
      <c r="L25" s="274" t="s">
        <v>313</v>
      </c>
      <c r="M25" s="131" t="s">
        <v>573</v>
      </c>
      <c r="N25" s="149" t="s">
        <v>281</v>
      </c>
      <c r="O25" s="129">
        <v>2</v>
      </c>
      <c r="P25" s="129">
        <f t="shared" si="5"/>
        <v>4</v>
      </c>
      <c r="Q25" s="129">
        <f t="shared" si="3"/>
        <v>2</v>
      </c>
      <c r="R25" s="132">
        <f t="shared" si="6"/>
        <v>8</v>
      </c>
    </row>
    <row r="26" spans="1:18" s="396" customFormat="1" ht="44" thickBot="1">
      <c r="A26" s="634"/>
      <c r="B26" s="637"/>
      <c r="C26" s="607"/>
      <c r="D26" s="571"/>
      <c r="E26" s="397" t="s">
        <v>1058</v>
      </c>
      <c r="F26" s="398" t="s">
        <v>780</v>
      </c>
      <c r="G26" s="401" t="s">
        <v>1294</v>
      </c>
      <c r="H26" s="368">
        <v>4</v>
      </c>
      <c r="I26" s="368">
        <v>3</v>
      </c>
      <c r="J26" s="132">
        <f t="shared" si="4"/>
        <v>12</v>
      </c>
      <c r="K26" s="374"/>
      <c r="L26" s="397" t="s">
        <v>1331</v>
      </c>
      <c r="M26" s="373" t="s">
        <v>539</v>
      </c>
      <c r="N26" s="375"/>
      <c r="O26" s="368"/>
      <c r="P26" s="368">
        <f t="shared" si="5"/>
        <v>4</v>
      </c>
      <c r="Q26" s="368"/>
      <c r="R26" s="368"/>
    </row>
    <row r="27" spans="1:18" s="396" customFormat="1" ht="29.5" thickBot="1">
      <c r="A27" s="634"/>
      <c r="B27" s="637"/>
      <c r="C27" s="607"/>
      <c r="D27" s="571"/>
      <c r="E27" s="397" t="s">
        <v>1059</v>
      </c>
      <c r="F27" s="398"/>
      <c r="G27" s="401"/>
      <c r="H27" s="368"/>
      <c r="I27" s="368"/>
      <c r="J27" s="132">
        <f t="shared" si="4"/>
        <v>0</v>
      </c>
      <c r="K27" s="374"/>
      <c r="L27" s="397" t="s">
        <v>1332</v>
      </c>
      <c r="M27" s="373" t="s">
        <v>539</v>
      </c>
      <c r="N27" s="375"/>
      <c r="O27" s="368"/>
      <c r="P27" s="368"/>
      <c r="Q27" s="368"/>
      <c r="R27" s="368"/>
    </row>
    <row r="28" spans="1:18" ht="334" thickBot="1">
      <c r="A28" s="634"/>
      <c r="B28" s="637"/>
      <c r="C28" s="607"/>
      <c r="D28" s="572"/>
      <c r="E28" s="294" t="s">
        <v>797</v>
      </c>
      <c r="F28" s="295" t="s">
        <v>738</v>
      </c>
      <c r="G28" s="295" t="s">
        <v>780</v>
      </c>
      <c r="H28" s="129">
        <v>4</v>
      </c>
      <c r="I28" s="129">
        <v>3</v>
      </c>
      <c r="J28" s="132">
        <f t="shared" si="4"/>
        <v>12</v>
      </c>
      <c r="K28" s="184"/>
      <c r="L28" s="142" t="s">
        <v>739</v>
      </c>
      <c r="M28" s="131" t="s">
        <v>539</v>
      </c>
      <c r="N28" s="149" t="s">
        <v>314</v>
      </c>
      <c r="O28" s="129">
        <v>2</v>
      </c>
      <c r="P28" s="129">
        <f t="shared" si="5"/>
        <v>4</v>
      </c>
      <c r="Q28" s="129">
        <f t="shared" si="3"/>
        <v>1.5</v>
      </c>
      <c r="R28" s="132">
        <f t="shared" si="6"/>
        <v>6</v>
      </c>
    </row>
    <row r="29" spans="1:18" ht="44" thickBot="1">
      <c r="A29" s="635"/>
      <c r="B29" s="638"/>
      <c r="C29" s="608"/>
      <c r="D29" s="570" t="s">
        <v>18</v>
      </c>
      <c r="E29" s="274" t="s">
        <v>375</v>
      </c>
      <c r="F29" s="280" t="s">
        <v>372</v>
      </c>
      <c r="G29" s="280" t="s">
        <v>802</v>
      </c>
      <c r="H29" s="129">
        <v>4</v>
      </c>
      <c r="I29" s="223">
        <v>3</v>
      </c>
      <c r="J29" s="132">
        <f t="shared" si="4"/>
        <v>12</v>
      </c>
      <c r="K29" s="184"/>
      <c r="L29" s="131" t="s">
        <v>310</v>
      </c>
      <c r="M29" s="131" t="s">
        <v>525</v>
      </c>
      <c r="N29" s="149" t="s">
        <v>314</v>
      </c>
      <c r="O29" s="129">
        <v>2</v>
      </c>
      <c r="P29" s="129">
        <f t="shared" si="5"/>
        <v>4</v>
      </c>
      <c r="Q29" s="129">
        <f t="shared" si="3"/>
        <v>1.5</v>
      </c>
      <c r="R29" s="132">
        <f t="shared" si="6"/>
        <v>6</v>
      </c>
    </row>
    <row r="30" spans="1:18" ht="44" thickBot="1">
      <c r="A30" s="285"/>
      <c r="B30" s="288"/>
      <c r="C30" s="287"/>
      <c r="D30" s="572"/>
      <c r="E30" s="294" t="s">
        <v>734</v>
      </c>
      <c r="F30" s="295" t="s">
        <v>735</v>
      </c>
      <c r="G30" s="295" t="s">
        <v>802</v>
      </c>
      <c r="H30" s="129">
        <v>4</v>
      </c>
      <c r="I30" s="223">
        <v>3</v>
      </c>
      <c r="J30" s="132">
        <f t="shared" si="4"/>
        <v>12</v>
      </c>
      <c r="K30" s="184"/>
      <c r="L30" s="142" t="s">
        <v>736</v>
      </c>
      <c r="M30" s="131" t="s">
        <v>539</v>
      </c>
      <c r="N30" s="149" t="s">
        <v>314</v>
      </c>
      <c r="O30" s="129">
        <v>2</v>
      </c>
      <c r="P30" s="129">
        <f t="shared" si="5"/>
        <v>4</v>
      </c>
      <c r="Q30" s="129">
        <f t="shared" si="3"/>
        <v>1.5</v>
      </c>
      <c r="R30" s="132">
        <f t="shared" si="6"/>
        <v>6</v>
      </c>
    </row>
    <row r="31" spans="1:18" ht="16" thickBot="1">
      <c r="A31" s="212" t="s">
        <v>491</v>
      </c>
      <c r="B31" s="212"/>
      <c r="C31" s="212"/>
      <c r="D31" s="212"/>
      <c r="E31" s="558" t="s">
        <v>243</v>
      </c>
      <c r="F31" s="560"/>
      <c r="G31" s="316"/>
      <c r="H31" s="133">
        <f>+ROUND(IFERROR(AVERAGE(H8:H29),0),0)</f>
        <v>4</v>
      </c>
      <c r="I31" s="133">
        <f>+ROUND(IFERROR(AVERAGE(I8:I29),0),0)</f>
        <v>3</v>
      </c>
      <c r="J31" s="132">
        <f>H31*I31</f>
        <v>12</v>
      </c>
      <c r="K31" s="184"/>
      <c r="L31" s="639" t="s">
        <v>244</v>
      </c>
      <c r="M31" s="639"/>
      <c r="N31" s="639"/>
      <c r="O31" s="133">
        <f>+ROUND(IFERROR(AVERAGE(O8:O29),0),0)</f>
        <v>2</v>
      </c>
      <c r="P31" s="133">
        <f>+ROUND(IFERROR(AVERAGE(P8:P29),0),0)</f>
        <v>4</v>
      </c>
      <c r="Q31" s="133">
        <f>+ROUND(IFERROR(AVERAGE(Q8:Q29),0),0)</f>
        <v>2</v>
      </c>
      <c r="R31" s="132">
        <f t="shared" si="6"/>
        <v>8</v>
      </c>
    </row>
    <row r="33" spans="6:7" ht="15" thickBot="1"/>
    <row r="34" spans="6:7" ht="15" thickBot="1">
      <c r="F34" s="137" t="s">
        <v>800</v>
      </c>
      <c r="G34" s="137">
        <f>COUNTIF(G2:G30,F34)</f>
        <v>10</v>
      </c>
    </row>
    <row r="35" spans="6:7" ht="15" thickBot="1">
      <c r="F35" s="137" t="s">
        <v>1294</v>
      </c>
      <c r="G35" s="137">
        <f>COUNTIF(G5:G30,F35)</f>
        <v>1</v>
      </c>
    </row>
    <row r="36" spans="6:7" ht="15" thickBot="1">
      <c r="F36" s="137" t="s">
        <v>806</v>
      </c>
      <c r="G36" s="137">
        <f t="shared" ref="G36:G40" si="7">COUNTIF(G4:G32,F36)</f>
        <v>0</v>
      </c>
    </row>
    <row r="37" spans="6:7" ht="15" thickBot="1">
      <c r="F37" s="137" t="s">
        <v>801</v>
      </c>
      <c r="G37" s="137">
        <f t="shared" si="7"/>
        <v>0</v>
      </c>
    </row>
    <row r="38" spans="6:7" ht="15" thickBot="1">
      <c r="F38" s="137" t="s">
        <v>780</v>
      </c>
      <c r="G38" s="137">
        <f t="shared" si="7"/>
        <v>8</v>
      </c>
    </row>
    <row r="39" spans="6:7" ht="15" thickBot="1">
      <c r="F39" s="137" t="s">
        <v>802</v>
      </c>
      <c r="G39" s="137">
        <f t="shared" si="7"/>
        <v>2</v>
      </c>
    </row>
    <row r="40" spans="6:7" ht="15" thickBot="1">
      <c r="F40" s="137" t="s">
        <v>808</v>
      </c>
      <c r="G40" s="137">
        <f t="shared" si="7"/>
        <v>0</v>
      </c>
    </row>
  </sheetData>
  <mergeCells count="26">
    <mergeCell ref="A8:A29"/>
    <mergeCell ref="B8:B29"/>
    <mergeCell ref="E31:F31"/>
    <mergeCell ref="L31:N31"/>
    <mergeCell ref="C8:C29"/>
    <mergeCell ref="D8:D18"/>
    <mergeCell ref="D19:D20"/>
    <mergeCell ref="D21:D24"/>
    <mergeCell ref="D25:D28"/>
    <mergeCell ref="D29:D30"/>
    <mergeCell ref="A1:R1"/>
    <mergeCell ref="A2:A4"/>
    <mergeCell ref="B2:B4"/>
    <mergeCell ref="C2:C4"/>
    <mergeCell ref="D2:D4"/>
    <mergeCell ref="E2:E4"/>
    <mergeCell ref="H2:H3"/>
    <mergeCell ref="I2:I3"/>
    <mergeCell ref="J2:J3"/>
    <mergeCell ref="L2:O3"/>
    <mergeCell ref="F2:F4"/>
    <mergeCell ref="K2:K4"/>
    <mergeCell ref="P2:P3"/>
    <mergeCell ref="Q2:Q3"/>
    <mergeCell ref="R2:R3"/>
    <mergeCell ref="G2:G4"/>
  </mergeCells>
  <conditionalFormatting sqref="R5:R10">
    <cfRule type="colorScale" priority="1">
      <colorScale>
        <cfvo type="num" val="1"/>
        <cfvo type="num" val="8"/>
        <cfvo type="num" val="22"/>
        <color rgb="FF00B050"/>
        <color rgb="FFFFFF00"/>
        <color rgb="FFC00000"/>
      </colorScale>
    </cfRule>
  </conditionalFormatting>
  <conditionalFormatting sqref="R11:R31 J5:J31">
    <cfRule type="colorScale" priority="2">
      <colorScale>
        <cfvo type="num" val="1"/>
        <cfvo type="num" val="8"/>
        <cfvo type="num" val="22"/>
        <color rgb="FF00B050"/>
        <color rgb="FFFFFF00"/>
        <color rgb="FFC00000"/>
      </colorScale>
    </cfRule>
  </conditionalFormatting>
  <pageMargins left="0.70866141732283472" right="0.70866141732283472" top="0.74803149606299213" bottom="0.74803149606299213" header="0.31496062992125984" footer="0.31496062992125984"/>
  <pageSetup paperSize="9" scale="60" orientation="landscape" verticalDpi="0" r:id="rId1"/>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C00000"/>
  </sheetPr>
  <dimension ref="A1:S40"/>
  <sheetViews>
    <sheetView topLeftCell="J27" zoomScale="90" zoomScaleNormal="90" workbookViewId="0">
      <selection sqref="A1:R1"/>
    </sheetView>
  </sheetViews>
  <sheetFormatPr baseColWidth="10" defaultColWidth="11.54296875" defaultRowHeight="15" thickBottom="1"/>
  <cols>
    <col min="1" max="1" width="3.90625" style="126" customWidth="1"/>
    <col min="2" max="2" width="11.81640625" style="126" customWidth="1"/>
    <col min="3" max="3" width="6.6328125" style="126" customWidth="1"/>
    <col min="4" max="4" width="16.54296875" style="148" customWidth="1"/>
    <col min="5" max="5" width="39.54296875" style="137" customWidth="1"/>
    <col min="6" max="7" width="24" style="137" customWidth="1"/>
    <col min="8" max="8" width="8.08984375" style="138" customWidth="1"/>
    <col min="9" max="9" width="9.54296875" style="138" customWidth="1"/>
    <col min="10" max="10" width="10.90625" style="138" customWidth="1"/>
    <col min="11" max="11" width="28.7265625" style="138" customWidth="1"/>
    <col min="12" max="12" width="36.6328125" style="137" customWidth="1"/>
    <col min="13" max="13" width="28.1796875" style="137" customWidth="1"/>
    <col min="14" max="14" width="13.81640625" style="168" customWidth="1"/>
    <col min="15" max="15" width="9.453125" style="138" customWidth="1"/>
    <col min="16" max="16" width="9.36328125" style="138" customWidth="1"/>
    <col min="17" max="17" width="9.54296875" style="138" customWidth="1"/>
    <col min="18" max="18" width="11.54296875" style="138"/>
    <col min="19" max="16384" width="11.54296875" style="126"/>
  </cols>
  <sheetData>
    <row r="1" spans="1:19" ht="33.65" customHeight="1" thickBot="1">
      <c r="A1" s="514" t="s">
        <v>250</v>
      </c>
      <c r="B1" s="514"/>
      <c r="C1" s="514"/>
      <c r="D1" s="514"/>
      <c r="E1" s="514"/>
      <c r="F1" s="514"/>
      <c r="G1" s="514"/>
      <c r="H1" s="514"/>
      <c r="I1" s="514"/>
      <c r="J1" s="514"/>
      <c r="K1" s="514"/>
      <c r="L1" s="514"/>
      <c r="M1" s="514"/>
      <c r="N1" s="514"/>
      <c r="O1" s="514"/>
      <c r="P1" s="514"/>
      <c r="Q1" s="514"/>
      <c r="R1" s="514"/>
      <c r="S1" s="125"/>
    </row>
    <row r="2" spans="1:19" ht="19" customHeight="1" thickBot="1">
      <c r="A2" s="591" t="s">
        <v>71</v>
      </c>
      <c r="B2" s="589" t="s">
        <v>72</v>
      </c>
      <c r="C2" s="590" t="s">
        <v>73</v>
      </c>
      <c r="D2" s="591" t="s">
        <v>74</v>
      </c>
      <c r="E2" s="589" t="s">
        <v>350</v>
      </c>
      <c r="F2" s="582" t="s">
        <v>804</v>
      </c>
      <c r="G2" s="582" t="s">
        <v>809</v>
      </c>
      <c r="H2" s="585" t="s">
        <v>58</v>
      </c>
      <c r="I2" s="585" t="s">
        <v>43</v>
      </c>
      <c r="J2" s="585" t="s">
        <v>338</v>
      </c>
      <c r="K2" s="586" t="s">
        <v>455</v>
      </c>
      <c r="L2" s="585" t="s">
        <v>251</v>
      </c>
      <c r="M2" s="585"/>
      <c r="N2" s="585"/>
      <c r="O2" s="585"/>
      <c r="P2" s="585" t="s">
        <v>252</v>
      </c>
      <c r="Q2" s="585" t="s">
        <v>253</v>
      </c>
      <c r="R2" s="585" t="s">
        <v>246</v>
      </c>
      <c r="S2" s="125"/>
    </row>
    <row r="3" spans="1:19" thickBot="1">
      <c r="A3" s="591"/>
      <c r="B3" s="589"/>
      <c r="C3" s="590"/>
      <c r="D3" s="591"/>
      <c r="E3" s="589"/>
      <c r="F3" s="583"/>
      <c r="G3" s="583"/>
      <c r="H3" s="585"/>
      <c r="I3" s="585"/>
      <c r="J3" s="585"/>
      <c r="K3" s="587"/>
      <c r="L3" s="585"/>
      <c r="M3" s="585"/>
      <c r="N3" s="585"/>
      <c r="O3" s="585"/>
      <c r="P3" s="585"/>
      <c r="Q3" s="585"/>
      <c r="R3" s="585"/>
      <c r="S3" s="125"/>
    </row>
    <row r="4" spans="1:19" ht="25.5" customHeight="1" thickBot="1">
      <c r="A4" s="591"/>
      <c r="B4" s="589"/>
      <c r="C4" s="590"/>
      <c r="D4" s="591"/>
      <c r="E4" s="589"/>
      <c r="F4" s="584"/>
      <c r="G4" s="584"/>
      <c r="H4" s="127" t="s">
        <v>0</v>
      </c>
      <c r="I4" s="127" t="s">
        <v>1</v>
      </c>
      <c r="J4" s="127" t="s">
        <v>4</v>
      </c>
      <c r="K4" s="588"/>
      <c r="L4" s="127" t="s">
        <v>230</v>
      </c>
      <c r="M4" s="127" t="s">
        <v>419</v>
      </c>
      <c r="N4" s="159" t="s">
        <v>254</v>
      </c>
      <c r="O4" s="127" t="s">
        <v>225</v>
      </c>
      <c r="P4" s="127" t="s">
        <v>0</v>
      </c>
      <c r="Q4" s="127" t="s">
        <v>351</v>
      </c>
      <c r="R4" s="127" t="s">
        <v>381</v>
      </c>
      <c r="S4" s="125"/>
    </row>
    <row r="5" spans="1:19" ht="44" thickBot="1">
      <c r="A5" s="564">
        <v>3</v>
      </c>
      <c r="B5" s="561" t="s">
        <v>315</v>
      </c>
      <c r="C5" s="606">
        <v>0.05</v>
      </c>
      <c r="D5" s="619" t="s">
        <v>1060</v>
      </c>
      <c r="E5" s="131" t="s">
        <v>1061</v>
      </c>
      <c r="F5" s="173" t="s">
        <v>815</v>
      </c>
      <c r="G5" s="173" t="s">
        <v>361</v>
      </c>
      <c r="H5" s="129">
        <v>4</v>
      </c>
      <c r="I5" s="129">
        <v>3</v>
      </c>
      <c r="J5" s="158">
        <f>H5*I5</f>
        <v>12</v>
      </c>
      <c r="K5" s="184"/>
      <c r="L5" s="131" t="s">
        <v>485</v>
      </c>
      <c r="M5" s="131" t="s">
        <v>525</v>
      </c>
      <c r="N5" s="149" t="s">
        <v>348</v>
      </c>
      <c r="O5" s="129">
        <v>2</v>
      </c>
      <c r="P5" s="129">
        <f>H5</f>
        <v>4</v>
      </c>
      <c r="Q5" s="129">
        <f>I5/O5</f>
        <v>1.5</v>
      </c>
      <c r="R5" s="158">
        <f>P5*Q5</f>
        <v>6</v>
      </c>
      <c r="S5" s="125"/>
    </row>
    <row r="6" spans="1:19" ht="29.5" thickBot="1">
      <c r="A6" s="565"/>
      <c r="B6" s="562"/>
      <c r="C6" s="607"/>
      <c r="D6" s="619"/>
      <c r="E6" s="131" t="s">
        <v>1062</v>
      </c>
      <c r="F6" s="173" t="s">
        <v>815</v>
      </c>
      <c r="G6" s="173" t="s">
        <v>361</v>
      </c>
      <c r="H6" s="129">
        <v>5</v>
      </c>
      <c r="I6" s="129">
        <v>2</v>
      </c>
      <c r="J6" s="158">
        <f t="shared" ref="J6:J30" si="0">H6*I6</f>
        <v>10</v>
      </c>
      <c r="K6" s="184"/>
      <c r="L6" s="131" t="s">
        <v>255</v>
      </c>
      <c r="M6" s="131" t="s">
        <v>525</v>
      </c>
      <c r="N6" s="149" t="s">
        <v>348</v>
      </c>
      <c r="O6" s="129">
        <v>1</v>
      </c>
      <c r="P6" s="129">
        <f t="shared" ref="P6:P28" si="1">H6</f>
        <v>5</v>
      </c>
      <c r="Q6" s="129">
        <f t="shared" ref="Q6:Q30" si="2">I6/O6</f>
        <v>2</v>
      </c>
      <c r="R6" s="158">
        <f t="shared" ref="R6:R31" si="3">P6*Q6</f>
        <v>10</v>
      </c>
      <c r="S6" s="125"/>
    </row>
    <row r="7" spans="1:19" ht="87.5" thickBot="1">
      <c r="A7" s="565"/>
      <c r="B7" s="562"/>
      <c r="C7" s="607"/>
      <c r="D7" s="143" t="s">
        <v>10</v>
      </c>
      <c r="E7" s="131" t="s">
        <v>213</v>
      </c>
      <c r="F7" s="173" t="s">
        <v>371</v>
      </c>
      <c r="G7" s="173" t="s">
        <v>800</v>
      </c>
      <c r="H7" s="129">
        <v>4</v>
      </c>
      <c r="I7" s="129">
        <v>4</v>
      </c>
      <c r="J7" s="158">
        <f t="shared" si="0"/>
        <v>16</v>
      </c>
      <c r="K7" s="184"/>
      <c r="L7" s="131" t="s">
        <v>260</v>
      </c>
      <c r="M7" s="131" t="s">
        <v>525</v>
      </c>
      <c r="N7" s="149" t="s">
        <v>349</v>
      </c>
      <c r="O7" s="129">
        <v>2</v>
      </c>
      <c r="P7" s="129">
        <f t="shared" si="1"/>
        <v>4</v>
      </c>
      <c r="Q7" s="129">
        <f t="shared" si="2"/>
        <v>2</v>
      </c>
      <c r="R7" s="158">
        <f t="shared" si="3"/>
        <v>8</v>
      </c>
      <c r="S7" s="125"/>
    </row>
    <row r="8" spans="1:19" ht="44" thickBot="1">
      <c r="A8" s="565"/>
      <c r="B8" s="562"/>
      <c r="C8" s="607"/>
      <c r="D8" s="619" t="s">
        <v>42</v>
      </c>
      <c r="E8" s="131" t="s">
        <v>214</v>
      </c>
      <c r="F8" s="173" t="s">
        <v>370</v>
      </c>
      <c r="G8" s="173" t="s">
        <v>800</v>
      </c>
      <c r="H8" s="129">
        <v>5</v>
      </c>
      <c r="I8" s="129">
        <v>2</v>
      </c>
      <c r="J8" s="158">
        <f t="shared" si="0"/>
        <v>10</v>
      </c>
      <c r="K8" s="184"/>
      <c r="L8" s="131" t="s">
        <v>261</v>
      </c>
      <c r="M8" s="131" t="s">
        <v>525</v>
      </c>
      <c r="N8" s="149" t="s">
        <v>349</v>
      </c>
      <c r="O8" s="129">
        <v>2</v>
      </c>
      <c r="P8" s="129">
        <f t="shared" si="1"/>
        <v>5</v>
      </c>
      <c r="Q8" s="129">
        <f t="shared" si="2"/>
        <v>1</v>
      </c>
      <c r="R8" s="158">
        <f t="shared" si="3"/>
        <v>5</v>
      </c>
      <c r="S8" s="125"/>
    </row>
    <row r="9" spans="1:19" ht="29.5" thickBot="1">
      <c r="A9" s="565"/>
      <c r="B9" s="562"/>
      <c r="C9" s="607"/>
      <c r="D9" s="619"/>
      <c r="E9" s="131" t="s">
        <v>262</v>
      </c>
      <c r="F9" s="173" t="s">
        <v>370</v>
      </c>
      <c r="G9" s="173" t="s">
        <v>800</v>
      </c>
      <c r="H9" s="129">
        <v>4</v>
      </c>
      <c r="I9" s="129">
        <v>3</v>
      </c>
      <c r="J9" s="158">
        <f t="shared" si="0"/>
        <v>12</v>
      </c>
      <c r="K9" s="184"/>
      <c r="L9" s="131"/>
      <c r="M9" s="131" t="s">
        <v>525</v>
      </c>
      <c r="N9" s="149"/>
      <c r="O9" s="129">
        <v>2</v>
      </c>
      <c r="P9" s="129">
        <f t="shared" si="1"/>
        <v>4</v>
      </c>
      <c r="Q9" s="129">
        <f t="shared" si="2"/>
        <v>1.5</v>
      </c>
      <c r="R9" s="158">
        <f t="shared" si="3"/>
        <v>6</v>
      </c>
      <c r="S9" s="125"/>
    </row>
    <row r="10" spans="1:19" ht="58.5" thickBot="1">
      <c r="A10" s="565"/>
      <c r="B10" s="562"/>
      <c r="C10" s="607"/>
      <c r="D10" s="619"/>
      <c r="E10" s="289" t="s">
        <v>263</v>
      </c>
      <c r="F10" s="173" t="s">
        <v>370</v>
      </c>
      <c r="G10" s="173" t="s">
        <v>800</v>
      </c>
      <c r="H10" s="129">
        <v>4</v>
      </c>
      <c r="I10" s="129">
        <v>4</v>
      </c>
      <c r="J10" s="158">
        <f t="shared" si="0"/>
        <v>16</v>
      </c>
      <c r="K10" s="184"/>
      <c r="L10" s="131" t="s">
        <v>678</v>
      </c>
      <c r="M10" s="131" t="s">
        <v>525</v>
      </c>
      <c r="N10" s="149" t="s">
        <v>349</v>
      </c>
      <c r="O10" s="129">
        <v>2</v>
      </c>
      <c r="P10" s="129">
        <f t="shared" si="1"/>
        <v>4</v>
      </c>
      <c r="Q10" s="129">
        <f t="shared" si="2"/>
        <v>2</v>
      </c>
      <c r="R10" s="158">
        <f t="shared" si="3"/>
        <v>8</v>
      </c>
      <c r="S10" s="125"/>
    </row>
    <row r="11" spans="1:19" ht="39.5" customHeight="1" thickBot="1">
      <c r="A11" s="565"/>
      <c r="B11" s="562"/>
      <c r="C11" s="607"/>
      <c r="D11" s="620" t="s">
        <v>648</v>
      </c>
      <c r="E11" s="131" t="s">
        <v>264</v>
      </c>
      <c r="F11" s="173" t="s">
        <v>384</v>
      </c>
      <c r="G11" s="173" t="s">
        <v>800</v>
      </c>
      <c r="H11" s="129">
        <v>4</v>
      </c>
      <c r="I11" s="129">
        <v>3</v>
      </c>
      <c r="J11" s="158">
        <f t="shared" si="0"/>
        <v>12</v>
      </c>
      <c r="K11" s="184"/>
      <c r="L11" s="131" t="s">
        <v>265</v>
      </c>
      <c r="M11" s="131" t="s">
        <v>525</v>
      </c>
      <c r="N11" s="149" t="s">
        <v>348</v>
      </c>
      <c r="O11" s="129">
        <v>2</v>
      </c>
      <c r="P11" s="129">
        <f t="shared" si="1"/>
        <v>4</v>
      </c>
      <c r="Q11" s="129">
        <f t="shared" si="2"/>
        <v>1.5</v>
      </c>
      <c r="R11" s="158">
        <f t="shared" si="3"/>
        <v>6</v>
      </c>
      <c r="S11" s="125"/>
    </row>
    <row r="12" spans="1:19" ht="44" thickBot="1">
      <c r="A12" s="565"/>
      <c r="B12" s="562"/>
      <c r="C12" s="607"/>
      <c r="D12" s="621"/>
      <c r="E12" s="131" t="s">
        <v>266</v>
      </c>
      <c r="F12" s="173" t="s">
        <v>385</v>
      </c>
      <c r="G12" s="173" t="s">
        <v>800</v>
      </c>
      <c r="H12" s="129">
        <v>4</v>
      </c>
      <c r="I12" s="129">
        <v>4</v>
      </c>
      <c r="J12" s="158">
        <f t="shared" si="0"/>
        <v>16</v>
      </c>
      <c r="K12" s="184"/>
      <c r="L12" s="131" t="s">
        <v>267</v>
      </c>
      <c r="M12" s="131" t="s">
        <v>525</v>
      </c>
      <c r="N12" s="149" t="s">
        <v>348</v>
      </c>
      <c r="O12" s="129">
        <v>2</v>
      </c>
      <c r="P12" s="129">
        <f t="shared" si="1"/>
        <v>4</v>
      </c>
      <c r="Q12" s="129">
        <f t="shared" si="2"/>
        <v>2</v>
      </c>
      <c r="R12" s="158">
        <f t="shared" si="3"/>
        <v>8</v>
      </c>
      <c r="S12" s="125"/>
    </row>
    <row r="13" spans="1:19" ht="29.5" thickBot="1">
      <c r="A13" s="565"/>
      <c r="B13" s="562"/>
      <c r="C13" s="607"/>
      <c r="D13" s="621"/>
      <c r="E13" s="131" t="s">
        <v>268</v>
      </c>
      <c r="F13" s="173" t="s">
        <v>386</v>
      </c>
      <c r="G13" s="173" t="s">
        <v>361</v>
      </c>
      <c r="H13" s="129">
        <v>3</v>
      </c>
      <c r="I13" s="129">
        <v>4</v>
      </c>
      <c r="J13" s="158">
        <f t="shared" si="0"/>
        <v>12</v>
      </c>
      <c r="K13" s="184"/>
      <c r="L13" s="131" t="s">
        <v>269</v>
      </c>
      <c r="M13" s="131" t="s">
        <v>525</v>
      </c>
      <c r="N13" s="149" t="s">
        <v>348</v>
      </c>
      <c r="O13" s="129">
        <v>2</v>
      </c>
      <c r="P13" s="129">
        <f t="shared" si="1"/>
        <v>3</v>
      </c>
      <c r="Q13" s="129">
        <f t="shared" si="2"/>
        <v>2</v>
      </c>
      <c r="R13" s="158">
        <f t="shared" si="3"/>
        <v>6</v>
      </c>
      <c r="S13" s="125"/>
    </row>
    <row r="14" spans="1:19" ht="29.5" thickBot="1">
      <c r="A14" s="565"/>
      <c r="B14" s="562"/>
      <c r="C14" s="607"/>
      <c r="D14" s="621"/>
      <c r="E14" s="131" t="s">
        <v>270</v>
      </c>
      <c r="F14" s="173" t="s">
        <v>387</v>
      </c>
      <c r="G14" s="173" t="s">
        <v>361</v>
      </c>
      <c r="H14" s="129">
        <v>3</v>
      </c>
      <c r="I14" s="129">
        <v>4</v>
      </c>
      <c r="J14" s="158">
        <f t="shared" si="0"/>
        <v>12</v>
      </c>
      <c r="K14" s="184"/>
      <c r="L14" s="131" t="s">
        <v>271</v>
      </c>
      <c r="M14" s="131" t="s">
        <v>525</v>
      </c>
      <c r="N14" s="149" t="s">
        <v>348</v>
      </c>
      <c r="O14" s="129">
        <v>2</v>
      </c>
      <c r="P14" s="129">
        <f t="shared" si="1"/>
        <v>3</v>
      </c>
      <c r="Q14" s="129">
        <f t="shared" si="2"/>
        <v>2</v>
      </c>
      <c r="R14" s="158">
        <f t="shared" si="3"/>
        <v>6</v>
      </c>
      <c r="S14" s="125"/>
    </row>
    <row r="15" spans="1:19" ht="44" thickBot="1">
      <c r="A15" s="565"/>
      <c r="B15" s="562"/>
      <c r="C15" s="607"/>
      <c r="D15" s="621"/>
      <c r="E15" s="131" t="s">
        <v>272</v>
      </c>
      <c r="F15" s="173" t="s">
        <v>387</v>
      </c>
      <c r="G15" s="173" t="s">
        <v>361</v>
      </c>
      <c r="H15" s="129">
        <v>4</v>
      </c>
      <c r="I15" s="129">
        <v>3</v>
      </c>
      <c r="J15" s="158">
        <f t="shared" si="0"/>
        <v>12</v>
      </c>
      <c r="K15" s="184"/>
      <c r="L15" s="131" t="s">
        <v>273</v>
      </c>
      <c r="M15" s="131" t="s">
        <v>525</v>
      </c>
      <c r="N15" s="149" t="s">
        <v>348</v>
      </c>
      <c r="O15" s="129">
        <v>2</v>
      </c>
      <c r="P15" s="129">
        <f t="shared" si="1"/>
        <v>4</v>
      </c>
      <c r="Q15" s="129">
        <f t="shared" si="2"/>
        <v>1.5</v>
      </c>
      <c r="R15" s="158">
        <f t="shared" si="3"/>
        <v>6</v>
      </c>
      <c r="S15" s="125"/>
    </row>
    <row r="16" spans="1:19" ht="29.5" thickBot="1">
      <c r="A16" s="565"/>
      <c r="B16" s="562"/>
      <c r="C16" s="607"/>
      <c r="D16" s="622"/>
      <c r="E16" s="131" t="s">
        <v>274</v>
      </c>
      <c r="F16" s="173" t="s">
        <v>386</v>
      </c>
      <c r="G16" s="173" t="s">
        <v>800</v>
      </c>
      <c r="H16" s="129">
        <v>4</v>
      </c>
      <c r="I16" s="129">
        <v>3</v>
      </c>
      <c r="J16" s="130">
        <f t="shared" si="0"/>
        <v>12</v>
      </c>
      <c r="K16" s="184"/>
      <c r="L16" s="131" t="s">
        <v>649</v>
      </c>
      <c r="M16" s="131" t="s">
        <v>525</v>
      </c>
      <c r="N16" s="149" t="s">
        <v>348</v>
      </c>
      <c r="O16" s="129">
        <v>1</v>
      </c>
      <c r="P16" s="129">
        <f t="shared" si="1"/>
        <v>4</v>
      </c>
      <c r="Q16" s="129">
        <f t="shared" si="2"/>
        <v>3</v>
      </c>
      <c r="R16" s="158">
        <f t="shared" si="3"/>
        <v>12</v>
      </c>
      <c r="S16" s="125"/>
    </row>
    <row r="17" spans="1:19" ht="44" thickBot="1">
      <c r="A17" s="565"/>
      <c r="B17" s="562"/>
      <c r="C17" s="607"/>
      <c r="D17" s="619" t="s">
        <v>11</v>
      </c>
      <c r="E17" s="128" t="s">
        <v>275</v>
      </c>
      <c r="F17" s="172" t="s">
        <v>370</v>
      </c>
      <c r="G17" s="172" t="s">
        <v>800</v>
      </c>
      <c r="H17" s="129">
        <v>5</v>
      </c>
      <c r="I17" s="129">
        <v>3</v>
      </c>
      <c r="J17" s="158">
        <f t="shared" si="0"/>
        <v>15</v>
      </c>
      <c r="K17" s="184"/>
      <c r="L17" s="131" t="s">
        <v>276</v>
      </c>
      <c r="M17" s="131" t="s">
        <v>525</v>
      </c>
      <c r="N17" s="149" t="s">
        <v>320</v>
      </c>
      <c r="O17" s="129">
        <v>2</v>
      </c>
      <c r="P17" s="129">
        <f t="shared" si="1"/>
        <v>5</v>
      </c>
      <c r="Q17" s="129">
        <f t="shared" si="2"/>
        <v>1.5</v>
      </c>
      <c r="R17" s="158">
        <f t="shared" si="3"/>
        <v>7.5</v>
      </c>
      <c r="S17" s="125"/>
    </row>
    <row r="18" spans="1:19" ht="44" thickBot="1">
      <c r="A18" s="565"/>
      <c r="B18" s="562"/>
      <c r="C18" s="607"/>
      <c r="D18" s="619"/>
      <c r="E18" s="131" t="s">
        <v>277</v>
      </c>
      <c r="F18" s="173" t="s">
        <v>388</v>
      </c>
      <c r="G18" s="173" t="s">
        <v>361</v>
      </c>
      <c r="H18" s="129">
        <v>4</v>
      </c>
      <c r="I18" s="129">
        <v>4</v>
      </c>
      <c r="J18" s="158">
        <f t="shared" si="0"/>
        <v>16</v>
      </c>
      <c r="K18" s="184"/>
      <c r="L18" s="131" t="s">
        <v>278</v>
      </c>
      <c r="M18" s="131" t="s">
        <v>525</v>
      </c>
      <c r="N18" s="149" t="s">
        <v>348</v>
      </c>
      <c r="O18" s="129">
        <v>1</v>
      </c>
      <c r="P18" s="129">
        <f t="shared" si="1"/>
        <v>4</v>
      </c>
      <c r="Q18" s="129">
        <f t="shared" si="2"/>
        <v>4</v>
      </c>
      <c r="R18" s="158">
        <f t="shared" si="3"/>
        <v>16</v>
      </c>
      <c r="S18" s="125"/>
    </row>
    <row r="19" spans="1:19" ht="44" thickBot="1">
      <c r="A19" s="565"/>
      <c r="B19" s="562"/>
      <c r="C19" s="607"/>
      <c r="D19" s="143" t="s">
        <v>650</v>
      </c>
      <c r="E19" s="131" t="s">
        <v>651</v>
      </c>
      <c r="F19" s="173" t="s">
        <v>361</v>
      </c>
      <c r="G19" s="173" t="s">
        <v>806</v>
      </c>
      <c r="H19" s="290">
        <v>3</v>
      </c>
      <c r="I19" s="290">
        <v>3</v>
      </c>
      <c r="J19" s="158">
        <f t="shared" si="0"/>
        <v>9</v>
      </c>
      <c r="K19" s="184"/>
      <c r="L19" s="291" t="s">
        <v>652</v>
      </c>
      <c r="M19" s="131" t="s">
        <v>525</v>
      </c>
      <c r="N19" s="149" t="s">
        <v>348</v>
      </c>
      <c r="O19" s="129">
        <v>1</v>
      </c>
      <c r="P19" s="129">
        <f t="shared" si="1"/>
        <v>3</v>
      </c>
      <c r="Q19" s="129">
        <f t="shared" si="2"/>
        <v>3</v>
      </c>
      <c r="R19" s="158">
        <f t="shared" si="3"/>
        <v>9</v>
      </c>
      <c r="S19" s="125"/>
    </row>
    <row r="20" spans="1:19" ht="58.5" thickBot="1">
      <c r="A20" s="565"/>
      <c r="B20" s="562"/>
      <c r="C20" s="607"/>
      <c r="D20" s="143" t="s">
        <v>653</v>
      </c>
      <c r="E20" s="131" t="s">
        <v>279</v>
      </c>
      <c r="F20" s="173" t="s">
        <v>361</v>
      </c>
      <c r="G20" s="173" t="s">
        <v>361</v>
      </c>
      <c r="H20" s="290">
        <v>3</v>
      </c>
      <c r="I20" s="290">
        <v>3</v>
      </c>
      <c r="J20" s="158">
        <f t="shared" si="0"/>
        <v>9</v>
      </c>
      <c r="K20" s="184"/>
      <c r="L20" s="291" t="s">
        <v>654</v>
      </c>
      <c r="M20" s="131" t="s">
        <v>525</v>
      </c>
      <c r="N20" s="149" t="s">
        <v>348</v>
      </c>
      <c r="O20" s="129">
        <v>2</v>
      </c>
      <c r="P20" s="129">
        <f t="shared" si="1"/>
        <v>3</v>
      </c>
      <c r="Q20" s="129">
        <f t="shared" si="2"/>
        <v>1.5</v>
      </c>
      <c r="R20" s="158">
        <f t="shared" si="3"/>
        <v>4.5</v>
      </c>
      <c r="S20" s="125"/>
    </row>
    <row r="21" spans="1:19" ht="29.5" thickBot="1">
      <c r="A21" s="565"/>
      <c r="B21" s="562"/>
      <c r="C21" s="607"/>
      <c r="D21" s="620" t="s">
        <v>655</v>
      </c>
      <c r="E21" s="131" t="s">
        <v>656</v>
      </c>
      <c r="F21" s="173" t="s">
        <v>361</v>
      </c>
      <c r="G21" s="173" t="s">
        <v>361</v>
      </c>
      <c r="H21" s="290">
        <v>4</v>
      </c>
      <c r="I21" s="290">
        <v>3</v>
      </c>
      <c r="J21" s="158">
        <f t="shared" si="0"/>
        <v>12</v>
      </c>
      <c r="K21" s="184"/>
      <c r="L21" s="291" t="s">
        <v>657</v>
      </c>
      <c r="M21" s="131" t="s">
        <v>525</v>
      </c>
      <c r="N21" s="149" t="s">
        <v>658</v>
      </c>
      <c r="O21" s="129">
        <v>2</v>
      </c>
      <c r="P21" s="129">
        <f t="shared" si="1"/>
        <v>4</v>
      </c>
      <c r="Q21" s="129">
        <f t="shared" si="2"/>
        <v>1.5</v>
      </c>
      <c r="R21" s="158">
        <f t="shared" si="3"/>
        <v>6</v>
      </c>
      <c r="S21" s="125"/>
    </row>
    <row r="22" spans="1:19" ht="29.5" thickBot="1">
      <c r="A22" s="565"/>
      <c r="B22" s="562"/>
      <c r="C22" s="607"/>
      <c r="D22" s="622"/>
      <c r="E22" s="283" t="s">
        <v>659</v>
      </c>
      <c r="F22" s="173" t="s">
        <v>666</v>
      </c>
      <c r="G22" s="173" t="s">
        <v>806</v>
      </c>
      <c r="H22" s="290">
        <v>4</v>
      </c>
      <c r="I22" s="290">
        <v>3</v>
      </c>
      <c r="J22" s="158">
        <f t="shared" si="0"/>
        <v>12</v>
      </c>
      <c r="K22" s="184"/>
      <c r="L22" s="291" t="s">
        <v>660</v>
      </c>
      <c r="M22" s="131" t="s">
        <v>525</v>
      </c>
      <c r="N22" s="149" t="s">
        <v>658</v>
      </c>
      <c r="O22" s="129">
        <v>2</v>
      </c>
      <c r="P22" s="129">
        <f t="shared" si="1"/>
        <v>4</v>
      </c>
      <c r="Q22" s="129">
        <f t="shared" si="2"/>
        <v>1.5</v>
      </c>
      <c r="R22" s="158">
        <f t="shared" si="3"/>
        <v>6</v>
      </c>
      <c r="S22" s="125"/>
    </row>
    <row r="23" spans="1:19" ht="44" thickBot="1">
      <c r="A23" s="565"/>
      <c r="B23" s="562"/>
      <c r="C23" s="607"/>
      <c r="D23" s="143" t="s">
        <v>661</v>
      </c>
      <c r="E23" s="131" t="s">
        <v>662</v>
      </c>
      <c r="F23" s="173" t="s">
        <v>666</v>
      </c>
      <c r="G23" s="173" t="s">
        <v>806</v>
      </c>
      <c r="H23" s="290">
        <v>4</v>
      </c>
      <c r="I23" s="290">
        <v>3</v>
      </c>
      <c r="J23" s="158">
        <f t="shared" si="0"/>
        <v>12</v>
      </c>
      <c r="K23" s="184"/>
      <c r="L23" s="291" t="s">
        <v>663</v>
      </c>
      <c r="M23" s="131" t="s">
        <v>525</v>
      </c>
      <c r="N23" s="149" t="s">
        <v>658</v>
      </c>
      <c r="O23" s="129">
        <v>2</v>
      </c>
      <c r="P23" s="129">
        <f t="shared" si="1"/>
        <v>4</v>
      </c>
      <c r="Q23" s="129">
        <f t="shared" si="2"/>
        <v>1.5</v>
      </c>
      <c r="R23" s="158">
        <f t="shared" si="3"/>
        <v>6</v>
      </c>
      <c r="S23" s="125"/>
    </row>
    <row r="24" spans="1:19" ht="29.5" thickBot="1">
      <c r="A24" s="565"/>
      <c r="B24" s="562"/>
      <c r="C24" s="607"/>
      <c r="D24" s="620" t="s">
        <v>664</v>
      </c>
      <c r="E24" s="131" t="s">
        <v>665</v>
      </c>
      <c r="F24" s="258" t="s">
        <v>666</v>
      </c>
      <c r="G24" s="173" t="s">
        <v>806</v>
      </c>
      <c r="H24" s="290">
        <v>4</v>
      </c>
      <c r="I24" s="290">
        <v>3</v>
      </c>
      <c r="J24" s="158">
        <f t="shared" si="0"/>
        <v>12</v>
      </c>
      <c r="K24" s="184"/>
      <c r="L24" s="291" t="s">
        <v>667</v>
      </c>
      <c r="M24" s="131" t="s">
        <v>525</v>
      </c>
      <c r="N24" s="149" t="s">
        <v>668</v>
      </c>
      <c r="O24" s="129">
        <v>2</v>
      </c>
      <c r="P24" s="129">
        <f t="shared" si="1"/>
        <v>4</v>
      </c>
      <c r="Q24" s="129">
        <f t="shared" si="2"/>
        <v>1.5</v>
      </c>
      <c r="R24" s="158">
        <f t="shared" si="3"/>
        <v>6</v>
      </c>
      <c r="S24" s="125"/>
    </row>
    <row r="25" spans="1:19" ht="44" thickBot="1">
      <c r="A25" s="565"/>
      <c r="B25" s="562"/>
      <c r="C25" s="607"/>
      <c r="D25" s="622"/>
      <c r="E25" s="131" t="s">
        <v>669</v>
      </c>
      <c r="F25" s="258" t="s">
        <v>666</v>
      </c>
      <c r="G25" s="173" t="s">
        <v>806</v>
      </c>
      <c r="H25" s="290">
        <v>4</v>
      </c>
      <c r="I25" s="290">
        <v>3</v>
      </c>
      <c r="J25" s="158">
        <f t="shared" si="0"/>
        <v>12</v>
      </c>
      <c r="K25" s="184"/>
      <c r="L25" s="291" t="s">
        <v>670</v>
      </c>
      <c r="M25" s="131" t="s">
        <v>525</v>
      </c>
      <c r="N25" s="149" t="s">
        <v>668</v>
      </c>
      <c r="O25" s="129">
        <v>2</v>
      </c>
      <c r="P25" s="129">
        <f t="shared" si="1"/>
        <v>4</v>
      </c>
      <c r="Q25" s="129">
        <f t="shared" si="2"/>
        <v>1.5</v>
      </c>
      <c r="R25" s="158">
        <f t="shared" si="3"/>
        <v>6</v>
      </c>
      <c r="S25" s="125"/>
    </row>
    <row r="26" spans="1:19" ht="160" thickBot="1">
      <c r="A26" s="565"/>
      <c r="B26" s="562"/>
      <c r="C26" s="607"/>
      <c r="D26" s="143" t="s">
        <v>671</v>
      </c>
      <c r="E26" s="259" t="s">
        <v>672</v>
      </c>
      <c r="F26" s="173" t="s">
        <v>361</v>
      </c>
      <c r="G26" s="173" t="s">
        <v>361</v>
      </c>
      <c r="H26" s="290">
        <v>5</v>
      </c>
      <c r="I26" s="290">
        <v>4</v>
      </c>
      <c r="J26" s="158">
        <f t="shared" si="0"/>
        <v>20</v>
      </c>
      <c r="K26" s="184"/>
      <c r="L26" s="291" t="s">
        <v>673</v>
      </c>
      <c r="M26" s="131" t="s">
        <v>525</v>
      </c>
      <c r="N26" s="149" t="s">
        <v>348</v>
      </c>
      <c r="O26" s="129">
        <v>2</v>
      </c>
      <c r="P26" s="129">
        <f t="shared" si="1"/>
        <v>5</v>
      </c>
      <c r="Q26" s="129">
        <f t="shared" si="2"/>
        <v>2</v>
      </c>
      <c r="R26" s="158">
        <f t="shared" si="3"/>
        <v>10</v>
      </c>
      <c r="S26" s="125"/>
    </row>
    <row r="27" spans="1:19" ht="46.5" customHeight="1" thickBot="1">
      <c r="A27" s="565"/>
      <c r="B27" s="562"/>
      <c r="C27" s="607"/>
      <c r="D27" s="620" t="s">
        <v>972</v>
      </c>
      <c r="E27" s="259" t="s">
        <v>973</v>
      </c>
      <c r="F27" s="193" t="s">
        <v>370</v>
      </c>
      <c r="G27" s="173" t="s">
        <v>800</v>
      </c>
      <c r="H27" s="290">
        <v>5</v>
      </c>
      <c r="I27" s="290">
        <v>4</v>
      </c>
      <c r="J27" s="158">
        <f t="shared" si="0"/>
        <v>20</v>
      </c>
      <c r="K27" s="185"/>
      <c r="L27" s="291" t="s">
        <v>974</v>
      </c>
      <c r="M27" s="291" t="s">
        <v>539</v>
      </c>
      <c r="N27" s="292" t="s">
        <v>975</v>
      </c>
      <c r="O27" s="129">
        <v>2</v>
      </c>
      <c r="P27" s="129">
        <f t="shared" si="1"/>
        <v>5</v>
      </c>
      <c r="Q27" s="129">
        <f t="shared" si="2"/>
        <v>2</v>
      </c>
      <c r="R27" s="158">
        <f t="shared" si="3"/>
        <v>10</v>
      </c>
      <c r="S27" s="125"/>
    </row>
    <row r="28" spans="1:19" ht="73" thickBot="1">
      <c r="A28" s="565"/>
      <c r="B28" s="562"/>
      <c r="C28" s="607"/>
      <c r="D28" s="621"/>
      <c r="E28" s="351" t="s">
        <v>976</v>
      </c>
      <c r="F28" s="193" t="s">
        <v>370</v>
      </c>
      <c r="G28" s="173" t="s">
        <v>800</v>
      </c>
      <c r="H28" s="290">
        <v>5</v>
      </c>
      <c r="I28" s="290">
        <v>5</v>
      </c>
      <c r="J28" s="158">
        <f t="shared" si="0"/>
        <v>25</v>
      </c>
      <c r="K28" s="185"/>
      <c r="L28" s="291" t="s">
        <v>977</v>
      </c>
      <c r="M28" s="291" t="s">
        <v>539</v>
      </c>
      <c r="N28" s="292" t="s">
        <v>975</v>
      </c>
      <c r="O28" s="129">
        <v>2</v>
      </c>
      <c r="P28" s="129">
        <f t="shared" si="1"/>
        <v>5</v>
      </c>
      <c r="Q28" s="129">
        <f t="shared" si="2"/>
        <v>2.5</v>
      </c>
      <c r="R28" s="158">
        <f t="shared" si="3"/>
        <v>12.5</v>
      </c>
      <c r="S28" s="125"/>
    </row>
    <row r="29" spans="1:19" ht="37" customHeight="1" thickBot="1">
      <c r="A29" s="565"/>
      <c r="B29" s="562"/>
      <c r="C29" s="607"/>
      <c r="D29" s="621"/>
      <c r="E29" s="259" t="s">
        <v>978</v>
      </c>
      <c r="F29" s="193" t="s">
        <v>370</v>
      </c>
      <c r="G29" s="173" t="s">
        <v>800</v>
      </c>
      <c r="H29" s="290">
        <v>5</v>
      </c>
      <c r="I29" s="290">
        <v>4</v>
      </c>
      <c r="J29" s="158">
        <f t="shared" si="0"/>
        <v>20</v>
      </c>
      <c r="K29" s="185"/>
      <c r="L29" s="291" t="s">
        <v>979</v>
      </c>
      <c r="M29" s="291" t="s">
        <v>539</v>
      </c>
      <c r="N29" s="292" t="s">
        <v>975</v>
      </c>
      <c r="O29" s="129">
        <v>2</v>
      </c>
      <c r="P29" s="129">
        <f>H29</f>
        <v>5</v>
      </c>
      <c r="Q29" s="129">
        <f t="shared" si="2"/>
        <v>2</v>
      </c>
      <c r="R29" s="158">
        <f t="shared" si="3"/>
        <v>10</v>
      </c>
      <c r="S29" s="125"/>
    </row>
    <row r="30" spans="1:19" ht="51.5" customHeight="1" thickBot="1">
      <c r="A30" s="566"/>
      <c r="B30" s="563"/>
      <c r="C30" s="608"/>
      <c r="D30" s="622"/>
      <c r="E30" s="259" t="s">
        <v>980</v>
      </c>
      <c r="F30" s="193" t="s">
        <v>370</v>
      </c>
      <c r="G30" s="173" t="s">
        <v>800</v>
      </c>
      <c r="H30" s="290">
        <v>4</v>
      </c>
      <c r="I30" s="290">
        <v>4</v>
      </c>
      <c r="J30" s="158">
        <f t="shared" si="0"/>
        <v>16</v>
      </c>
      <c r="K30" s="185"/>
      <c r="L30" s="291" t="s">
        <v>981</v>
      </c>
      <c r="M30" s="291" t="s">
        <v>539</v>
      </c>
      <c r="N30" s="292" t="s">
        <v>975</v>
      </c>
      <c r="O30" s="129">
        <v>2</v>
      </c>
      <c r="P30" s="129">
        <f>H30</f>
        <v>4</v>
      </c>
      <c r="Q30" s="129">
        <f t="shared" si="2"/>
        <v>2</v>
      </c>
      <c r="R30" s="158">
        <f t="shared" si="3"/>
        <v>8</v>
      </c>
      <c r="S30" s="125"/>
    </row>
    <row r="31" spans="1:19" ht="16" thickBot="1">
      <c r="A31" s="211" t="s">
        <v>315</v>
      </c>
      <c r="B31" s="211"/>
      <c r="C31" s="211"/>
      <c r="D31" s="211"/>
      <c r="E31" s="556" t="s">
        <v>243</v>
      </c>
      <c r="F31" s="557"/>
      <c r="G31" s="315"/>
      <c r="H31" s="133">
        <f>+ROUND(IFERROR(AVERAGE(H5:H30),0),0)</f>
        <v>4</v>
      </c>
      <c r="I31" s="133">
        <f>+ROUND(IFERROR(AVERAGE(I5:I30),0),0)</f>
        <v>3</v>
      </c>
      <c r="J31" s="158">
        <f>I31*H31</f>
        <v>12</v>
      </c>
      <c r="K31" s="185"/>
      <c r="L31" s="641" t="s">
        <v>244</v>
      </c>
      <c r="M31" s="642"/>
      <c r="N31" s="643"/>
      <c r="O31" s="133">
        <f>+ROUND(IFERROR(AVERAGE(O5:O30),0),0)</f>
        <v>2</v>
      </c>
      <c r="P31" s="133">
        <f>+ROUND(IFERROR(AVERAGE(P5:P30),0),0)</f>
        <v>4</v>
      </c>
      <c r="Q31" s="133">
        <f>+ROUND(IFERROR(AVERAGE(Q5:Q30),0),0)</f>
        <v>2</v>
      </c>
      <c r="R31" s="158">
        <f t="shared" si="3"/>
        <v>8</v>
      </c>
      <c r="S31" s="125"/>
    </row>
    <row r="32" spans="1:19" thickBot="1">
      <c r="A32" s="134"/>
      <c r="B32" s="134"/>
      <c r="C32" s="134"/>
      <c r="D32" s="147"/>
      <c r="E32" s="135"/>
      <c r="F32" s="135"/>
      <c r="G32" s="135"/>
      <c r="H32" s="136"/>
      <c r="I32" s="136"/>
      <c r="J32" s="136"/>
      <c r="K32" s="136"/>
      <c r="L32" s="135"/>
      <c r="M32" s="135"/>
      <c r="N32" s="167"/>
      <c r="O32" s="136"/>
      <c r="P32" s="136"/>
      <c r="Q32" s="136"/>
      <c r="R32" s="136"/>
    </row>
    <row r="34" spans="6:7" thickBot="1">
      <c r="F34" s="137" t="s">
        <v>800</v>
      </c>
      <c r="G34" s="137">
        <f>COUNTIF(G5:G30,F34)</f>
        <v>12</v>
      </c>
    </row>
    <row r="35" spans="6:7" thickBot="1">
      <c r="F35" s="137" t="s">
        <v>361</v>
      </c>
      <c r="G35" s="137">
        <f>COUNTIF(G5:G30,F35)</f>
        <v>9</v>
      </c>
    </row>
    <row r="36" spans="6:7" thickBot="1">
      <c r="F36" s="137" t="s">
        <v>806</v>
      </c>
      <c r="G36" s="137">
        <f>COUNTIF(G5:G30,F36)</f>
        <v>5</v>
      </c>
    </row>
    <row r="37" spans="6:7" thickBot="1">
      <c r="F37" s="137" t="s">
        <v>801</v>
      </c>
      <c r="G37" s="137">
        <f>COUNTIF(G5:G30,F37)</f>
        <v>0</v>
      </c>
    </row>
    <row r="38" spans="6:7" thickBot="1">
      <c r="F38" s="137" t="s">
        <v>780</v>
      </c>
      <c r="G38" s="137">
        <f>COUNTIF(G5:G30,F38)</f>
        <v>0</v>
      </c>
    </row>
    <row r="39" spans="6:7" thickBot="1">
      <c r="F39" s="137" t="s">
        <v>802</v>
      </c>
      <c r="G39" s="137">
        <f>COUNTIF(G5:G30,F39)</f>
        <v>0</v>
      </c>
    </row>
    <row r="40" spans="6:7" thickBot="1">
      <c r="F40" s="137" t="s">
        <v>808</v>
      </c>
      <c r="G40" s="137">
        <f>COUNTIF(G5:G30,F40)</f>
        <v>0</v>
      </c>
    </row>
  </sheetData>
  <mergeCells count="28">
    <mergeCell ref="A5:A30"/>
    <mergeCell ref="B5:B30"/>
    <mergeCell ref="C5:C30"/>
    <mergeCell ref="A1:R1"/>
    <mergeCell ref="A2:A4"/>
    <mergeCell ref="B2:B4"/>
    <mergeCell ref="C2:C4"/>
    <mergeCell ref="D2:D4"/>
    <mergeCell ref="E2:E4"/>
    <mergeCell ref="F2:F4"/>
    <mergeCell ref="H2:H3"/>
    <mergeCell ref="I2:I3"/>
    <mergeCell ref="J2:J3"/>
    <mergeCell ref="R2:R3"/>
    <mergeCell ref="Q2:Q3"/>
    <mergeCell ref="P2:P3"/>
    <mergeCell ref="D21:D22"/>
    <mergeCell ref="D24:D25"/>
    <mergeCell ref="E31:F31"/>
    <mergeCell ref="L31:N31"/>
    <mergeCell ref="K2:K4"/>
    <mergeCell ref="L2:O3"/>
    <mergeCell ref="G2:G4"/>
    <mergeCell ref="D5:D6"/>
    <mergeCell ref="D8:D10"/>
    <mergeCell ref="D11:D16"/>
    <mergeCell ref="D17:D18"/>
    <mergeCell ref="D27:D30"/>
  </mergeCells>
  <conditionalFormatting sqref="J5:J26 R5:R26 J31">
    <cfRule type="colorScale" priority="2">
      <colorScale>
        <cfvo type="num" val="1"/>
        <cfvo type="num" val="8"/>
        <cfvo type="num" val="22"/>
        <color rgb="FF00B050"/>
        <color rgb="FFFFFF00"/>
        <color rgb="FFC00000"/>
      </colorScale>
    </cfRule>
  </conditionalFormatting>
  <conditionalFormatting sqref="J27:J30 R27:R31">
    <cfRule type="colorScale" priority="1">
      <colorScale>
        <cfvo type="num" val="1"/>
        <cfvo type="num" val="8"/>
        <cfvo type="num" val="22"/>
        <color rgb="FF00B050"/>
        <color rgb="FFFFFF00"/>
        <color rgb="FFC00000"/>
      </colorScale>
    </cfRule>
  </conditionalFormatting>
  <pageMargins left="0.70866141732283472" right="0.70866141732283472" top="0.74803149606299213" bottom="0.74803149606299213" header="0.31496062992125984" footer="0.31496062992125984"/>
  <pageSetup paperSize="9" scale="60" orientation="landscape" verticalDpi="0" r:id="rId1"/>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rgb="FFC00000"/>
  </sheetPr>
  <dimension ref="D2:N21"/>
  <sheetViews>
    <sheetView topLeftCell="A4" zoomScale="90" zoomScaleNormal="90" workbookViewId="0">
      <selection activeCell="L29" sqref="L29"/>
    </sheetView>
  </sheetViews>
  <sheetFormatPr baseColWidth="10" defaultColWidth="11.54296875" defaultRowHeight="15" thickBottom="1"/>
  <cols>
    <col min="1" max="3" width="11.54296875" style="140"/>
    <col min="4" max="4" width="11.54296875" style="146"/>
    <col min="5" max="7" width="11.54296875" style="137"/>
    <col min="8" max="11" width="11.54296875" style="140"/>
    <col min="12" max="13" width="11.54296875" style="137"/>
    <col min="14" max="14" width="11.54296875" style="148"/>
    <col min="15" max="16384" width="11.54296875" style="140"/>
  </cols>
  <sheetData>
    <row r="2" ht="14.5"/>
    <row r="3" ht="14.5"/>
    <row r="4" ht="14.5"/>
    <row r="5" ht="14.5"/>
    <row r="6" ht="14.5"/>
    <row r="7" ht="14.5"/>
    <row r="8" ht="14.5"/>
    <row r="9" ht="14.5"/>
    <row r="10" ht="14.5"/>
    <row r="11" ht="14.5"/>
    <row r="12" ht="14.5"/>
    <row r="13" ht="14.5"/>
    <row r="14" ht="14.5"/>
    <row r="15" ht="14.5"/>
    <row r="16" ht="14.5"/>
    <row r="17" ht="14.5"/>
    <row r="18" ht="14.5"/>
    <row r="19" ht="14.5"/>
    <row r="20" ht="14.5"/>
    <row r="21" ht="14.5"/>
  </sheetData>
  <pageMargins left="0.70866141732283472" right="0.70866141732283472" top="0.74803149606299213" bottom="0.74803149606299213" header="0.31496062992125984" footer="0.31496062992125984"/>
  <pageSetup paperSize="9" scale="60" orientation="landscape" verticalDpi="0" r:id="rId1"/>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rgb="FFC00000"/>
  </sheetPr>
  <dimension ref="A1:S43"/>
  <sheetViews>
    <sheetView topLeftCell="K23" zoomScale="90" zoomScaleNormal="90" workbookViewId="0">
      <selection activeCell="R21" sqref="R21:R23"/>
    </sheetView>
  </sheetViews>
  <sheetFormatPr baseColWidth="10" defaultColWidth="11.54296875" defaultRowHeight="15" thickBottom="1"/>
  <cols>
    <col min="1" max="1" width="3.54296875" style="126" customWidth="1"/>
    <col min="2" max="2" width="15" style="126" customWidth="1"/>
    <col min="3" max="3" width="5.90625" style="126" customWidth="1"/>
    <col min="4" max="4" width="16.6328125" style="126" bestFit="1" customWidth="1"/>
    <col min="5" max="5" width="35.453125" style="137" customWidth="1"/>
    <col min="6" max="7" width="26.36328125" style="137" customWidth="1"/>
    <col min="8" max="8" width="7.453125" style="138" customWidth="1"/>
    <col min="9" max="9" width="9.36328125" style="138" customWidth="1"/>
    <col min="10" max="10" width="10.08984375" style="138" customWidth="1"/>
    <col min="11" max="11" width="27.54296875" style="183" customWidth="1"/>
    <col min="12" max="12" width="42.08984375" style="137" customWidth="1"/>
    <col min="13" max="13" width="28.08984375" style="137" customWidth="1"/>
    <col min="14" max="14" width="13.6328125" style="137" customWidth="1"/>
    <col min="15" max="15" width="8.54296875" style="138" customWidth="1"/>
    <col min="16" max="16" width="11.54296875" style="138"/>
    <col min="17" max="17" width="10" style="138" customWidth="1"/>
    <col min="18" max="18" width="11.54296875" style="138"/>
    <col min="19" max="16384" width="11.54296875" style="126"/>
  </cols>
  <sheetData>
    <row r="1" spans="1:19" ht="36.65" customHeight="1" thickBot="1">
      <c r="A1" s="514" t="s">
        <v>414</v>
      </c>
      <c r="B1" s="514"/>
      <c r="C1" s="514"/>
      <c r="D1" s="514"/>
      <c r="E1" s="514"/>
      <c r="F1" s="514"/>
      <c r="G1" s="514"/>
      <c r="H1" s="514"/>
      <c r="I1" s="514"/>
      <c r="J1" s="514"/>
      <c r="K1" s="514"/>
      <c r="L1" s="514"/>
      <c r="M1" s="514"/>
      <c r="N1" s="514"/>
      <c r="O1" s="514"/>
      <c r="P1" s="514"/>
      <c r="Q1" s="514"/>
      <c r="R1" s="514"/>
      <c r="S1" s="125"/>
    </row>
    <row r="2" spans="1:19" ht="30" customHeight="1" thickBot="1">
      <c r="A2" s="573" t="s">
        <v>71</v>
      </c>
      <c r="B2" s="576" t="s">
        <v>72</v>
      </c>
      <c r="C2" s="579" t="s">
        <v>73</v>
      </c>
      <c r="D2" s="573" t="s">
        <v>74</v>
      </c>
      <c r="E2" s="576" t="s">
        <v>350</v>
      </c>
      <c r="F2" s="582" t="s">
        <v>804</v>
      </c>
      <c r="G2" s="582" t="s">
        <v>809</v>
      </c>
      <c r="H2" s="585" t="s">
        <v>58</v>
      </c>
      <c r="I2" s="585" t="s">
        <v>43</v>
      </c>
      <c r="J2" s="585" t="s">
        <v>245</v>
      </c>
      <c r="K2" s="586" t="s">
        <v>455</v>
      </c>
      <c r="L2" s="585" t="s">
        <v>330</v>
      </c>
      <c r="M2" s="585"/>
      <c r="N2" s="585"/>
      <c r="O2" s="585"/>
      <c r="P2" s="585" t="s">
        <v>252</v>
      </c>
      <c r="Q2" s="585" t="s">
        <v>253</v>
      </c>
      <c r="R2" s="585" t="s">
        <v>246</v>
      </c>
      <c r="S2" s="125"/>
    </row>
    <row r="3" spans="1:19" ht="7.5" customHeight="1" thickBot="1">
      <c r="A3" s="574"/>
      <c r="B3" s="577"/>
      <c r="C3" s="580"/>
      <c r="D3" s="574"/>
      <c r="E3" s="577"/>
      <c r="F3" s="583"/>
      <c r="G3" s="583"/>
      <c r="H3" s="585"/>
      <c r="I3" s="585"/>
      <c r="J3" s="585"/>
      <c r="K3" s="587"/>
      <c r="L3" s="585"/>
      <c r="M3" s="585"/>
      <c r="N3" s="585"/>
      <c r="O3" s="585"/>
      <c r="P3" s="585"/>
      <c r="Q3" s="585"/>
      <c r="R3" s="585"/>
      <c r="S3" s="125"/>
    </row>
    <row r="4" spans="1:19" ht="24" customHeight="1" thickBot="1">
      <c r="A4" s="575"/>
      <c r="B4" s="578"/>
      <c r="C4" s="581"/>
      <c r="D4" s="575"/>
      <c r="E4" s="578"/>
      <c r="F4" s="584"/>
      <c r="G4" s="584"/>
      <c r="H4" s="127" t="s">
        <v>0</v>
      </c>
      <c r="I4" s="127" t="s">
        <v>1</v>
      </c>
      <c r="J4" s="127" t="s">
        <v>4</v>
      </c>
      <c r="K4" s="588"/>
      <c r="L4" s="127" t="s">
        <v>413</v>
      </c>
      <c r="M4" s="127" t="s">
        <v>405</v>
      </c>
      <c r="N4" s="159" t="s">
        <v>254</v>
      </c>
      <c r="O4" s="127" t="s">
        <v>225</v>
      </c>
      <c r="P4" s="127" t="s">
        <v>0</v>
      </c>
      <c r="Q4" s="127" t="s">
        <v>351</v>
      </c>
      <c r="R4" s="127" t="s">
        <v>4</v>
      </c>
      <c r="S4" s="125"/>
    </row>
    <row r="5" spans="1:19" ht="44" customHeight="1" thickBot="1">
      <c r="A5" s="564">
        <v>1</v>
      </c>
      <c r="B5" s="464" t="s">
        <v>519</v>
      </c>
      <c r="C5" s="462">
        <v>2.5000000000000001E-2</v>
      </c>
      <c r="D5" s="570" t="s">
        <v>460</v>
      </c>
      <c r="E5" s="272" t="s">
        <v>536</v>
      </c>
      <c r="F5" s="172" t="s">
        <v>371</v>
      </c>
      <c r="G5" s="172" t="s">
        <v>800</v>
      </c>
      <c r="H5" s="129">
        <v>5</v>
      </c>
      <c r="I5" s="129">
        <v>3</v>
      </c>
      <c r="J5" s="132">
        <f>H5*I5</f>
        <v>15</v>
      </c>
      <c r="K5" s="184"/>
      <c r="L5" s="276" t="s">
        <v>537</v>
      </c>
      <c r="M5" s="131" t="s">
        <v>525</v>
      </c>
      <c r="N5" s="149" t="s">
        <v>538</v>
      </c>
      <c r="O5" s="129">
        <v>3</v>
      </c>
      <c r="P5" s="129">
        <f>H5</f>
        <v>5</v>
      </c>
      <c r="Q5" s="268">
        <f>I5/O5</f>
        <v>1</v>
      </c>
      <c r="R5" s="267">
        <f>P5*Q5</f>
        <v>5</v>
      </c>
      <c r="S5" s="125"/>
    </row>
    <row r="6" spans="1:19" ht="44" thickBot="1">
      <c r="A6" s="565"/>
      <c r="B6" s="465"/>
      <c r="C6" s="463"/>
      <c r="D6" s="571"/>
      <c r="E6" s="273" t="s">
        <v>601</v>
      </c>
      <c r="F6" s="173" t="s">
        <v>361</v>
      </c>
      <c r="G6" s="173" t="s">
        <v>361</v>
      </c>
      <c r="H6" s="129">
        <v>4</v>
      </c>
      <c r="I6" s="129">
        <v>4</v>
      </c>
      <c r="J6" s="132">
        <f>H6*I6</f>
        <v>16</v>
      </c>
      <c r="K6" s="184"/>
      <c r="L6" s="277" t="s">
        <v>602</v>
      </c>
      <c r="M6" s="131" t="s">
        <v>1063</v>
      </c>
      <c r="N6" s="149" t="s">
        <v>1064</v>
      </c>
      <c r="O6" s="129">
        <v>2</v>
      </c>
      <c r="P6" s="129">
        <v>3</v>
      </c>
      <c r="Q6" s="268">
        <f t="shared" ref="Q6:Q11" si="0">I6/O6</f>
        <v>2</v>
      </c>
      <c r="R6" s="267">
        <f t="shared" ref="R6:R11" si="1">P6*Q6</f>
        <v>6</v>
      </c>
      <c r="S6" s="125"/>
    </row>
    <row r="7" spans="1:19" ht="39.5" thickBot="1">
      <c r="A7" s="565"/>
      <c r="B7" s="465"/>
      <c r="C7" s="463"/>
      <c r="D7" s="571"/>
      <c r="E7" s="273" t="s">
        <v>603</v>
      </c>
      <c r="F7" s="173" t="s">
        <v>361</v>
      </c>
      <c r="G7" s="173" t="s">
        <v>361</v>
      </c>
      <c r="H7" s="129">
        <v>4</v>
      </c>
      <c r="I7" s="129">
        <v>2</v>
      </c>
      <c r="J7" s="132">
        <f t="shared" ref="J7:J12" si="2">H7*I7</f>
        <v>8</v>
      </c>
      <c r="K7" s="184"/>
      <c r="L7" s="277" t="s">
        <v>604</v>
      </c>
      <c r="M7" s="131" t="s">
        <v>525</v>
      </c>
      <c r="N7" s="149" t="s">
        <v>1065</v>
      </c>
      <c r="O7" s="129">
        <v>2</v>
      </c>
      <c r="P7" s="129">
        <f t="shared" ref="P7:P12" si="3">H7</f>
        <v>4</v>
      </c>
      <c r="Q7" s="268">
        <f t="shared" si="0"/>
        <v>1</v>
      </c>
      <c r="R7" s="267">
        <f t="shared" si="1"/>
        <v>4</v>
      </c>
      <c r="S7" s="125"/>
    </row>
    <row r="8" spans="1:19" ht="44" thickBot="1">
      <c r="A8" s="565"/>
      <c r="B8" s="465"/>
      <c r="C8" s="463"/>
      <c r="D8" s="571"/>
      <c r="E8" s="273" t="s">
        <v>605</v>
      </c>
      <c r="F8" s="172" t="s">
        <v>409</v>
      </c>
      <c r="G8" s="173" t="s">
        <v>800</v>
      </c>
      <c r="H8" s="129">
        <v>4</v>
      </c>
      <c r="I8" s="129">
        <v>1</v>
      </c>
      <c r="J8" s="132">
        <f t="shared" si="2"/>
        <v>4</v>
      </c>
      <c r="K8" s="184"/>
      <c r="L8" s="277" t="s">
        <v>606</v>
      </c>
      <c r="M8" s="131" t="s">
        <v>525</v>
      </c>
      <c r="N8" s="149" t="s">
        <v>1065</v>
      </c>
      <c r="O8" s="129">
        <v>2</v>
      </c>
      <c r="P8" s="129">
        <f t="shared" si="3"/>
        <v>4</v>
      </c>
      <c r="Q8" s="268">
        <f t="shared" si="0"/>
        <v>0.5</v>
      </c>
      <c r="R8" s="267">
        <f t="shared" si="1"/>
        <v>2</v>
      </c>
      <c r="S8" s="125"/>
    </row>
    <row r="9" spans="1:19" ht="44" thickBot="1">
      <c r="A9" s="565"/>
      <c r="B9" s="465"/>
      <c r="C9" s="463"/>
      <c r="D9" s="571"/>
      <c r="E9" s="273" t="s">
        <v>607</v>
      </c>
      <c r="F9" s="173" t="s">
        <v>361</v>
      </c>
      <c r="G9" s="173" t="s">
        <v>361</v>
      </c>
      <c r="H9" s="129">
        <v>5</v>
      </c>
      <c r="I9" s="129">
        <v>2</v>
      </c>
      <c r="J9" s="132">
        <f t="shared" si="2"/>
        <v>10</v>
      </c>
      <c r="K9" s="184"/>
      <c r="L9" s="277" t="s">
        <v>608</v>
      </c>
      <c r="M9" s="131" t="s">
        <v>525</v>
      </c>
      <c r="N9" s="149" t="s">
        <v>1066</v>
      </c>
      <c r="O9" s="129">
        <v>2</v>
      </c>
      <c r="P9" s="129">
        <f t="shared" si="3"/>
        <v>5</v>
      </c>
      <c r="Q9" s="268">
        <f t="shared" si="0"/>
        <v>1</v>
      </c>
      <c r="R9" s="267">
        <f t="shared" si="1"/>
        <v>5</v>
      </c>
      <c r="S9" s="125"/>
    </row>
    <row r="10" spans="1:19" ht="29.5" thickBot="1">
      <c r="A10" s="565"/>
      <c r="B10" s="465"/>
      <c r="C10" s="463"/>
      <c r="D10" s="571"/>
      <c r="E10" s="402" t="s">
        <v>609</v>
      </c>
      <c r="F10" s="376" t="s">
        <v>370</v>
      </c>
      <c r="G10" s="376" t="s">
        <v>800</v>
      </c>
      <c r="H10" s="129">
        <v>3</v>
      </c>
      <c r="I10" s="129">
        <v>4</v>
      </c>
      <c r="J10" s="132">
        <f t="shared" si="2"/>
        <v>12</v>
      </c>
      <c r="K10" s="184"/>
      <c r="L10" s="277" t="s">
        <v>610</v>
      </c>
      <c r="M10" s="131"/>
      <c r="N10" s="149"/>
      <c r="O10" s="129">
        <v>3</v>
      </c>
      <c r="P10" s="129">
        <f t="shared" si="3"/>
        <v>3</v>
      </c>
      <c r="Q10" s="268">
        <f t="shared" si="0"/>
        <v>1.3333333333333333</v>
      </c>
      <c r="R10" s="267">
        <f t="shared" si="1"/>
        <v>4</v>
      </c>
      <c r="S10" s="125"/>
    </row>
    <row r="11" spans="1:19" ht="39.5" thickBot="1">
      <c r="A11" s="565"/>
      <c r="B11" s="465"/>
      <c r="C11" s="463"/>
      <c r="D11" s="571"/>
      <c r="E11" s="273" t="s">
        <v>611</v>
      </c>
      <c r="F11" s="173" t="s">
        <v>361</v>
      </c>
      <c r="G11" s="173" t="s">
        <v>361</v>
      </c>
      <c r="H11" s="129">
        <v>5</v>
      </c>
      <c r="I11" s="129">
        <v>2</v>
      </c>
      <c r="J11" s="132">
        <f t="shared" si="2"/>
        <v>10</v>
      </c>
      <c r="K11" s="184"/>
      <c r="L11" s="277" t="s">
        <v>612</v>
      </c>
      <c r="M11" s="131" t="s">
        <v>1067</v>
      </c>
      <c r="N11" s="149" t="s">
        <v>1068</v>
      </c>
      <c r="O11" s="129">
        <v>2</v>
      </c>
      <c r="P11" s="129">
        <f t="shared" si="3"/>
        <v>5</v>
      </c>
      <c r="Q11" s="268">
        <f t="shared" si="0"/>
        <v>1</v>
      </c>
      <c r="R11" s="267">
        <f t="shared" si="1"/>
        <v>5</v>
      </c>
      <c r="S11" s="125"/>
    </row>
    <row r="12" spans="1:19" ht="29.5" thickBot="1">
      <c r="A12" s="565"/>
      <c r="B12" s="465"/>
      <c r="C12" s="463"/>
      <c r="D12" s="571"/>
      <c r="E12" s="273" t="s">
        <v>613</v>
      </c>
      <c r="F12" s="173" t="s">
        <v>524</v>
      </c>
      <c r="G12" s="173" t="s">
        <v>806</v>
      </c>
      <c r="H12" s="129">
        <v>4</v>
      </c>
      <c r="I12" s="129">
        <v>1</v>
      </c>
      <c r="J12" s="132">
        <f t="shared" si="2"/>
        <v>4</v>
      </c>
      <c r="K12" s="184"/>
      <c r="L12" s="277" t="s">
        <v>614</v>
      </c>
      <c r="M12" s="131" t="s">
        <v>525</v>
      </c>
      <c r="N12" s="149" t="s">
        <v>1065</v>
      </c>
      <c r="O12" s="129">
        <v>2</v>
      </c>
      <c r="P12" s="129">
        <f t="shared" si="3"/>
        <v>4</v>
      </c>
      <c r="Q12" s="129">
        <f t="shared" ref="Q12:Q25" si="4">I12/O12</f>
        <v>0.5</v>
      </c>
      <c r="R12" s="132">
        <f t="shared" ref="R12:R25" si="5">P12*Q12</f>
        <v>2</v>
      </c>
      <c r="S12" s="125"/>
    </row>
    <row r="13" spans="1:19" ht="44" thickBot="1">
      <c r="A13" s="565"/>
      <c r="B13" s="465"/>
      <c r="C13" s="463"/>
      <c r="D13" s="571"/>
      <c r="E13" s="272" t="s">
        <v>615</v>
      </c>
      <c r="F13" s="172" t="s">
        <v>616</v>
      </c>
      <c r="G13" s="172" t="s">
        <v>800</v>
      </c>
      <c r="H13" s="129">
        <v>4</v>
      </c>
      <c r="I13" s="129">
        <v>2</v>
      </c>
      <c r="J13" s="132">
        <f>H13*I13</f>
        <v>8</v>
      </c>
      <c r="K13" s="184"/>
      <c r="L13" s="276" t="s">
        <v>617</v>
      </c>
      <c r="M13" s="131" t="s">
        <v>525</v>
      </c>
      <c r="N13" s="149" t="s">
        <v>1069</v>
      </c>
      <c r="O13" s="129">
        <v>2</v>
      </c>
      <c r="P13" s="129">
        <f>H13</f>
        <v>4</v>
      </c>
      <c r="Q13" s="129">
        <f t="shared" si="4"/>
        <v>1</v>
      </c>
      <c r="R13" s="132">
        <f t="shared" si="5"/>
        <v>4</v>
      </c>
      <c r="S13" s="125"/>
    </row>
    <row r="14" spans="1:19" ht="29.5" thickBot="1">
      <c r="A14" s="565"/>
      <c r="B14" s="465"/>
      <c r="C14" s="463"/>
      <c r="D14" s="572"/>
      <c r="E14" s="272" t="s">
        <v>619</v>
      </c>
      <c r="F14" s="172" t="s">
        <v>620</v>
      </c>
      <c r="G14" s="172" t="s">
        <v>800</v>
      </c>
      <c r="H14" s="129">
        <v>5</v>
      </c>
      <c r="I14" s="129">
        <v>2</v>
      </c>
      <c r="J14" s="132">
        <f>H14*I14</f>
        <v>10</v>
      </c>
      <c r="K14" s="184"/>
      <c r="L14" s="276" t="s">
        <v>621</v>
      </c>
      <c r="M14" s="131" t="s">
        <v>525</v>
      </c>
      <c r="N14" s="149" t="s">
        <v>318</v>
      </c>
      <c r="O14" s="129">
        <v>2</v>
      </c>
      <c r="P14" s="129">
        <f>H14</f>
        <v>5</v>
      </c>
      <c r="Q14" s="129">
        <f t="shared" si="4"/>
        <v>1</v>
      </c>
      <c r="R14" s="132">
        <f t="shared" si="5"/>
        <v>5</v>
      </c>
      <c r="S14" s="125"/>
    </row>
    <row r="15" spans="1:19" ht="58.5" thickBot="1">
      <c r="A15" s="565"/>
      <c r="B15" s="465"/>
      <c r="C15" s="463"/>
      <c r="D15" s="570" t="s">
        <v>518</v>
      </c>
      <c r="E15" s="131" t="s">
        <v>586</v>
      </c>
      <c r="F15" s="314" t="s">
        <v>798</v>
      </c>
      <c r="G15" s="314" t="s">
        <v>800</v>
      </c>
      <c r="H15" s="129">
        <v>4</v>
      </c>
      <c r="I15" s="129">
        <v>2</v>
      </c>
      <c r="J15" s="132">
        <f t="shared" ref="J15:J25" si="6">H15*I15</f>
        <v>8</v>
      </c>
      <c r="K15" s="184"/>
      <c r="L15" s="131" t="s">
        <v>587</v>
      </c>
      <c r="M15" s="131" t="s">
        <v>525</v>
      </c>
      <c r="N15" s="149" t="s">
        <v>1070</v>
      </c>
      <c r="O15" s="129">
        <v>1</v>
      </c>
      <c r="P15" s="129">
        <f t="shared" ref="P15:P25" si="7">H15</f>
        <v>4</v>
      </c>
      <c r="Q15" s="268">
        <f t="shared" si="4"/>
        <v>2</v>
      </c>
      <c r="R15" s="267">
        <f t="shared" si="5"/>
        <v>8</v>
      </c>
      <c r="S15" s="125"/>
    </row>
    <row r="16" spans="1:19" ht="58.5" thickBot="1">
      <c r="A16" s="565"/>
      <c r="B16" s="465"/>
      <c r="C16" s="463"/>
      <c r="D16" s="571"/>
      <c r="E16" s="347" t="s">
        <v>926</v>
      </c>
      <c r="F16" s="295" t="s">
        <v>927</v>
      </c>
      <c r="G16" s="295" t="s">
        <v>780</v>
      </c>
      <c r="H16" s="129">
        <v>4</v>
      </c>
      <c r="I16" s="129">
        <v>4</v>
      </c>
      <c r="J16" s="132">
        <f t="shared" si="6"/>
        <v>16</v>
      </c>
      <c r="K16" s="184"/>
      <c r="L16" s="131" t="s">
        <v>928</v>
      </c>
      <c r="M16" s="131" t="s">
        <v>525</v>
      </c>
      <c r="N16" s="149" t="s">
        <v>929</v>
      </c>
      <c r="O16" s="129">
        <v>3</v>
      </c>
      <c r="P16" s="339">
        <f t="shared" si="7"/>
        <v>4</v>
      </c>
      <c r="Q16" s="339">
        <f t="shared" si="4"/>
        <v>1.3333333333333333</v>
      </c>
      <c r="R16" s="341">
        <f t="shared" si="5"/>
        <v>5.333333333333333</v>
      </c>
      <c r="S16" s="125"/>
    </row>
    <row r="17" spans="1:19" ht="131" thickBot="1">
      <c r="A17" s="565"/>
      <c r="B17" s="465"/>
      <c r="C17" s="463"/>
      <c r="D17" s="571"/>
      <c r="E17" s="131" t="s">
        <v>588</v>
      </c>
      <c r="F17" s="314" t="s">
        <v>798</v>
      </c>
      <c r="G17" s="314" t="s">
        <v>800</v>
      </c>
      <c r="H17" s="129">
        <v>4</v>
      </c>
      <c r="I17" s="129">
        <v>4</v>
      </c>
      <c r="J17" s="132">
        <f t="shared" si="6"/>
        <v>16</v>
      </c>
      <c r="K17" s="184"/>
      <c r="L17" s="131" t="s">
        <v>589</v>
      </c>
      <c r="M17" s="131" t="s">
        <v>539</v>
      </c>
      <c r="N17" s="149" t="s">
        <v>1071</v>
      </c>
      <c r="O17" s="129">
        <v>1</v>
      </c>
      <c r="P17" s="129">
        <f t="shared" si="7"/>
        <v>4</v>
      </c>
      <c r="Q17" s="129">
        <f t="shared" si="4"/>
        <v>4</v>
      </c>
      <c r="R17" s="132">
        <f t="shared" si="5"/>
        <v>16</v>
      </c>
      <c r="S17" s="125"/>
    </row>
    <row r="18" spans="1:19" ht="44" thickBot="1">
      <c r="A18" s="565"/>
      <c r="B18" s="465"/>
      <c r="C18" s="463"/>
      <c r="D18" s="571"/>
      <c r="E18" s="403" t="s">
        <v>1072</v>
      </c>
      <c r="F18" s="404" t="s">
        <v>397</v>
      </c>
      <c r="G18" s="404" t="s">
        <v>361</v>
      </c>
      <c r="H18" s="129">
        <v>5</v>
      </c>
      <c r="I18" s="129">
        <v>4</v>
      </c>
      <c r="J18" s="132">
        <f t="shared" si="6"/>
        <v>20</v>
      </c>
      <c r="K18" s="184"/>
      <c r="L18" s="131" t="s">
        <v>1073</v>
      </c>
      <c r="M18" s="131" t="s">
        <v>539</v>
      </c>
      <c r="N18" s="149" t="s">
        <v>1074</v>
      </c>
      <c r="O18" s="129"/>
      <c r="P18" s="129">
        <f t="shared" si="7"/>
        <v>5</v>
      </c>
      <c r="Q18" s="129">
        <v>4</v>
      </c>
      <c r="R18" s="132">
        <f t="shared" si="5"/>
        <v>20</v>
      </c>
      <c r="S18" s="125"/>
    </row>
    <row r="19" spans="1:19" ht="73" thickBot="1">
      <c r="A19" s="565"/>
      <c r="B19" s="465"/>
      <c r="C19" s="463"/>
      <c r="D19" s="571"/>
      <c r="E19" s="347" t="s">
        <v>930</v>
      </c>
      <c r="F19" s="295" t="s">
        <v>798</v>
      </c>
      <c r="G19" s="295" t="s">
        <v>800</v>
      </c>
      <c r="H19" s="129">
        <v>4</v>
      </c>
      <c r="I19" s="129">
        <v>3</v>
      </c>
      <c r="J19" s="132">
        <f t="shared" si="6"/>
        <v>12</v>
      </c>
      <c r="K19" s="184"/>
      <c r="L19" s="340" t="s">
        <v>931</v>
      </c>
      <c r="M19" s="131" t="s">
        <v>525</v>
      </c>
      <c r="N19" s="149" t="s">
        <v>1075</v>
      </c>
      <c r="O19" s="129">
        <v>1</v>
      </c>
      <c r="P19" s="129">
        <f t="shared" si="7"/>
        <v>4</v>
      </c>
      <c r="Q19" s="129">
        <f t="shared" si="4"/>
        <v>3</v>
      </c>
      <c r="R19" s="132">
        <f t="shared" si="5"/>
        <v>12</v>
      </c>
      <c r="S19" s="125"/>
    </row>
    <row r="20" spans="1:19" ht="218" thickBot="1">
      <c r="A20" s="565"/>
      <c r="B20" s="465"/>
      <c r="C20" s="463"/>
      <c r="D20" s="571"/>
      <c r="E20" s="131" t="s">
        <v>590</v>
      </c>
      <c r="F20" s="314" t="s">
        <v>798</v>
      </c>
      <c r="G20" s="314" t="s">
        <v>800</v>
      </c>
      <c r="H20" s="129">
        <v>4</v>
      </c>
      <c r="I20" s="129">
        <v>2</v>
      </c>
      <c r="J20" s="132">
        <f t="shared" si="6"/>
        <v>8</v>
      </c>
      <c r="K20" s="184"/>
      <c r="L20" s="131" t="s">
        <v>591</v>
      </c>
      <c r="M20" s="131" t="s">
        <v>525</v>
      </c>
      <c r="N20" s="149" t="s">
        <v>1076</v>
      </c>
      <c r="O20" s="129">
        <v>2</v>
      </c>
      <c r="P20" s="129">
        <f t="shared" si="7"/>
        <v>4</v>
      </c>
      <c r="Q20" s="129">
        <f t="shared" si="4"/>
        <v>1</v>
      </c>
      <c r="R20" s="132">
        <f t="shared" si="5"/>
        <v>4</v>
      </c>
      <c r="S20" s="125"/>
    </row>
    <row r="21" spans="1:19" ht="116.5" thickBot="1">
      <c r="A21" s="565"/>
      <c r="B21" s="465"/>
      <c r="C21" s="463"/>
      <c r="D21" s="571"/>
      <c r="E21" s="131" t="s">
        <v>592</v>
      </c>
      <c r="F21" s="314" t="s">
        <v>798</v>
      </c>
      <c r="G21" s="314" t="s">
        <v>800</v>
      </c>
      <c r="H21" s="129">
        <v>4</v>
      </c>
      <c r="I21" s="129">
        <v>1</v>
      </c>
      <c r="J21" s="132">
        <f t="shared" si="6"/>
        <v>4</v>
      </c>
      <c r="K21" s="184"/>
      <c r="L21" s="131" t="s">
        <v>593</v>
      </c>
      <c r="M21" s="131" t="s">
        <v>525</v>
      </c>
      <c r="N21" s="149" t="s">
        <v>1077</v>
      </c>
      <c r="O21" s="129">
        <v>2</v>
      </c>
      <c r="P21" s="129">
        <f t="shared" si="7"/>
        <v>4</v>
      </c>
      <c r="Q21" s="129">
        <f t="shared" si="4"/>
        <v>0.5</v>
      </c>
      <c r="R21" s="132">
        <f t="shared" si="5"/>
        <v>2</v>
      </c>
      <c r="S21" s="125"/>
    </row>
    <row r="22" spans="1:19" ht="84.5" thickBot="1">
      <c r="A22" s="565"/>
      <c r="B22" s="465"/>
      <c r="C22" s="463"/>
      <c r="D22" s="571"/>
      <c r="E22" s="131" t="s">
        <v>594</v>
      </c>
      <c r="F22" s="314" t="s">
        <v>798</v>
      </c>
      <c r="G22" s="314" t="s">
        <v>800</v>
      </c>
      <c r="H22" s="129">
        <v>4</v>
      </c>
      <c r="I22" s="129">
        <v>3</v>
      </c>
      <c r="J22" s="132">
        <f t="shared" si="6"/>
        <v>12</v>
      </c>
      <c r="K22" s="184"/>
      <c r="L22" s="131" t="s">
        <v>595</v>
      </c>
      <c r="M22" s="131" t="s">
        <v>525</v>
      </c>
      <c r="N22" s="149" t="s">
        <v>1077</v>
      </c>
      <c r="O22" s="129">
        <v>1</v>
      </c>
      <c r="P22" s="129">
        <f t="shared" si="7"/>
        <v>4</v>
      </c>
      <c r="Q22" s="129">
        <f t="shared" si="4"/>
        <v>3</v>
      </c>
      <c r="R22" s="132">
        <f t="shared" si="5"/>
        <v>12</v>
      </c>
      <c r="S22" s="125"/>
    </row>
    <row r="23" spans="1:19" ht="116.5" thickBot="1">
      <c r="A23" s="565"/>
      <c r="B23" s="465"/>
      <c r="C23" s="463"/>
      <c r="D23" s="571"/>
      <c r="E23" s="131" t="s">
        <v>1078</v>
      </c>
      <c r="F23" s="314" t="s">
        <v>798</v>
      </c>
      <c r="G23" s="314" t="s">
        <v>800</v>
      </c>
      <c r="H23" s="129">
        <v>5</v>
      </c>
      <c r="I23" s="129">
        <v>3</v>
      </c>
      <c r="J23" s="132">
        <f t="shared" si="6"/>
        <v>15</v>
      </c>
      <c r="K23" s="184"/>
      <c r="L23" s="131" t="s">
        <v>596</v>
      </c>
      <c r="M23" s="131" t="s">
        <v>525</v>
      </c>
      <c r="N23" s="149" t="s">
        <v>1079</v>
      </c>
      <c r="O23" s="129">
        <v>2</v>
      </c>
      <c r="P23" s="129">
        <f t="shared" si="7"/>
        <v>5</v>
      </c>
      <c r="Q23" s="129">
        <f t="shared" si="4"/>
        <v>1.5</v>
      </c>
      <c r="R23" s="132">
        <f t="shared" si="5"/>
        <v>7.5</v>
      </c>
      <c r="S23" s="125"/>
    </row>
    <row r="24" spans="1:19" ht="102" thickBot="1">
      <c r="A24" s="565"/>
      <c r="B24" s="465"/>
      <c r="C24" s="463"/>
      <c r="D24" s="571"/>
      <c r="E24" s="131" t="s">
        <v>597</v>
      </c>
      <c r="F24" s="314" t="s">
        <v>798</v>
      </c>
      <c r="G24" s="314" t="s">
        <v>800</v>
      </c>
      <c r="H24" s="129">
        <v>4</v>
      </c>
      <c r="I24" s="129">
        <v>3</v>
      </c>
      <c r="J24" s="132">
        <f t="shared" si="6"/>
        <v>12</v>
      </c>
      <c r="K24" s="184"/>
      <c r="L24" s="131" t="s">
        <v>598</v>
      </c>
      <c r="M24" s="131" t="s">
        <v>525</v>
      </c>
      <c r="N24" s="149" t="s">
        <v>1080</v>
      </c>
      <c r="O24" s="129">
        <v>1</v>
      </c>
      <c r="P24" s="129">
        <f t="shared" si="7"/>
        <v>4</v>
      </c>
      <c r="Q24" s="129">
        <f t="shared" si="4"/>
        <v>3</v>
      </c>
      <c r="R24" s="132">
        <f t="shared" si="5"/>
        <v>12</v>
      </c>
      <c r="S24" s="125"/>
    </row>
    <row r="25" spans="1:19" ht="189" thickBot="1">
      <c r="A25" s="565"/>
      <c r="B25" s="465"/>
      <c r="C25" s="463"/>
      <c r="D25" s="572"/>
      <c r="E25" s="131" t="s">
        <v>599</v>
      </c>
      <c r="F25" s="314" t="s">
        <v>798</v>
      </c>
      <c r="G25" s="314" t="s">
        <v>800</v>
      </c>
      <c r="H25" s="129">
        <v>4</v>
      </c>
      <c r="I25" s="129">
        <v>2</v>
      </c>
      <c r="J25" s="132">
        <f t="shared" si="6"/>
        <v>8</v>
      </c>
      <c r="K25" s="184"/>
      <c r="L25" s="131" t="s">
        <v>600</v>
      </c>
      <c r="M25" s="131" t="s">
        <v>525</v>
      </c>
      <c r="N25" s="149" t="s">
        <v>1081</v>
      </c>
      <c r="O25" s="129">
        <v>1</v>
      </c>
      <c r="P25" s="129">
        <f t="shared" si="7"/>
        <v>4</v>
      </c>
      <c r="Q25" s="129">
        <f t="shared" si="4"/>
        <v>2</v>
      </c>
      <c r="R25" s="132">
        <f t="shared" si="5"/>
        <v>8</v>
      </c>
      <c r="S25" s="125"/>
    </row>
    <row r="26" spans="1:19" ht="16" thickBot="1">
      <c r="A26" s="211" t="s">
        <v>519</v>
      </c>
      <c r="B26" s="211"/>
      <c r="C26" s="211"/>
      <c r="D26" s="211"/>
      <c r="E26" s="556" t="s">
        <v>243</v>
      </c>
      <c r="F26" s="557"/>
      <c r="G26" s="315"/>
      <c r="H26" s="133">
        <f>+ROUND(IFERROR(AVERAGE(H5:H25),0),0)</f>
        <v>4</v>
      </c>
      <c r="I26" s="133">
        <f>+ROUND(IFERROR(AVERAGE(I5:I25),0),0)</f>
        <v>3</v>
      </c>
      <c r="J26" s="171">
        <f>H26*I26</f>
        <v>12</v>
      </c>
      <c r="K26" s="185"/>
      <c r="L26" s="558" t="s">
        <v>244</v>
      </c>
      <c r="M26" s="559"/>
      <c r="N26" s="560"/>
      <c r="O26" s="133">
        <f>+ROUND(IFERROR(AVERAGE(O5:O25),0),0)</f>
        <v>2</v>
      </c>
      <c r="P26" s="133">
        <f>+ROUND(IFERROR(AVERAGE(P5:P25),0),0)</f>
        <v>4</v>
      </c>
      <c r="Q26" s="133">
        <f>+ROUND(IFERROR(AVERAGE(Q5:Q25),0),0)</f>
        <v>2</v>
      </c>
      <c r="R26" s="132">
        <f>+ROUND(IFERROR(AVERAGE(R5:R25),0),0)</f>
        <v>7</v>
      </c>
      <c r="S26" s="125"/>
    </row>
    <row r="27" spans="1:19" thickBot="1">
      <c r="A27" s="134"/>
      <c r="B27" s="134"/>
      <c r="C27" s="134"/>
      <c r="D27" s="134"/>
      <c r="E27" s="135"/>
      <c r="F27" s="135"/>
      <c r="G27" s="135"/>
      <c r="H27" s="136"/>
      <c r="I27" s="136"/>
      <c r="J27" s="136"/>
      <c r="K27" s="182"/>
      <c r="L27" s="135"/>
      <c r="M27" s="135"/>
      <c r="N27" s="135"/>
      <c r="O27" s="136"/>
      <c r="P27" s="136"/>
      <c r="Q27" s="136"/>
      <c r="R27" s="136"/>
    </row>
    <row r="29" spans="1:19" thickBot="1">
      <c r="F29" s="137" t="s">
        <v>800</v>
      </c>
      <c r="G29" s="137">
        <f>COUNTIF(G5:G25,F29)</f>
        <v>14</v>
      </c>
    </row>
    <row r="30" spans="1:19" thickBot="1">
      <c r="F30" s="137" t="s">
        <v>361</v>
      </c>
      <c r="G30" s="137">
        <f>COUNTIF(G5:G25,F30)</f>
        <v>5</v>
      </c>
    </row>
    <row r="31" spans="1:19" thickBot="1">
      <c r="F31" s="137" t="s">
        <v>806</v>
      </c>
      <c r="G31" s="137">
        <f>COUNTIF(G5:G25,F31)</f>
        <v>1</v>
      </c>
    </row>
    <row r="32" spans="1:19" thickBot="1">
      <c r="F32" s="137" t="s">
        <v>801</v>
      </c>
      <c r="G32" s="137">
        <f>COUNTIF(G5:G25,F32)</f>
        <v>0</v>
      </c>
    </row>
    <row r="33" spans="6:7" thickBot="1">
      <c r="F33" s="137" t="s">
        <v>780</v>
      </c>
      <c r="G33" s="137">
        <f>COUNTIF(G5:G25,F33)</f>
        <v>1</v>
      </c>
    </row>
    <row r="34" spans="6:7" thickBot="1">
      <c r="F34" s="137" t="s">
        <v>802</v>
      </c>
      <c r="G34" s="137">
        <f>COUNTIF(G5:G25,F34)</f>
        <v>0</v>
      </c>
    </row>
    <row r="35" spans="6:7" thickBot="1">
      <c r="F35" s="137" t="s">
        <v>808</v>
      </c>
      <c r="G35" s="137">
        <f>COUNTIF(G5:G25,F35)</f>
        <v>0</v>
      </c>
    </row>
    <row r="36" spans="6:7" ht="14.5"/>
    <row r="37" spans="6:7" ht="14.5"/>
    <row r="38" spans="6:7" ht="14.5"/>
    <row r="40" spans="6:7" ht="14.5"/>
    <row r="41" spans="6:7" ht="14.5"/>
    <row r="42" spans="6:7" ht="14.5"/>
    <row r="43" spans="6:7" ht="14.5"/>
  </sheetData>
  <mergeCells count="21">
    <mergeCell ref="E26:F26"/>
    <mergeCell ref="L26:N26"/>
    <mergeCell ref="A1:R1"/>
    <mergeCell ref="A2:A4"/>
    <mergeCell ref="B2:B4"/>
    <mergeCell ref="C2:C4"/>
    <mergeCell ref="D2:D4"/>
    <mergeCell ref="E2:E4"/>
    <mergeCell ref="F2:F4"/>
    <mergeCell ref="H2:H3"/>
    <mergeCell ref="I2:I3"/>
    <mergeCell ref="J2:J3"/>
    <mergeCell ref="P2:P3"/>
    <mergeCell ref="Q2:Q3"/>
    <mergeCell ref="R2:R3"/>
    <mergeCell ref="G2:G4"/>
    <mergeCell ref="K2:K4"/>
    <mergeCell ref="L2:O3"/>
    <mergeCell ref="D5:D14"/>
    <mergeCell ref="A5:A25"/>
    <mergeCell ref="D15:D25"/>
  </mergeCells>
  <conditionalFormatting sqref="J6:J12 R17:R26">
    <cfRule type="colorScale" priority="8">
      <colorScale>
        <cfvo type="num" val="1"/>
        <cfvo type="num" val="8"/>
        <cfvo type="num" val="22"/>
        <color rgb="FF00B050"/>
        <color rgb="FFFFFF00"/>
        <color rgb="FFC00000"/>
      </colorScale>
    </cfRule>
  </conditionalFormatting>
  <conditionalFormatting sqref="J13">
    <cfRule type="colorScale" priority="7">
      <colorScale>
        <cfvo type="num" val="1"/>
        <cfvo type="num" val="8"/>
        <cfvo type="num" val="22"/>
        <color rgb="FF00B050"/>
        <color rgb="FFFFFF00"/>
        <color rgb="FFC00000"/>
      </colorScale>
    </cfRule>
  </conditionalFormatting>
  <conditionalFormatting sqref="J14">
    <cfRule type="colorScale" priority="6">
      <colorScale>
        <cfvo type="num" val="1"/>
        <cfvo type="num" val="8"/>
        <cfvo type="num" val="22"/>
        <color rgb="FF00B050"/>
        <color rgb="FFFFFF00"/>
        <color rgb="FFC00000"/>
      </colorScale>
    </cfRule>
  </conditionalFormatting>
  <conditionalFormatting sqref="J16">
    <cfRule type="colorScale" priority="2">
      <colorScale>
        <cfvo type="num" val="1"/>
        <cfvo type="num" val="8"/>
        <cfvo type="num" val="22"/>
        <color rgb="FF00B050"/>
        <color rgb="FFFFFF00"/>
        <color rgb="FFC00000"/>
      </colorScale>
    </cfRule>
  </conditionalFormatting>
  <conditionalFormatting sqref="J19">
    <cfRule type="colorScale" priority="1">
      <colorScale>
        <cfvo type="num" val="1"/>
        <cfvo type="num" val="8"/>
        <cfvo type="num" val="22"/>
        <color rgb="FF00B050"/>
        <color rgb="FFFFFF00"/>
        <color rgb="FFC00000"/>
      </colorScale>
    </cfRule>
  </conditionalFormatting>
  <conditionalFormatting sqref="J20:J25 J15 J17:J18">
    <cfRule type="colorScale" priority="9">
      <colorScale>
        <cfvo type="num" val="1"/>
        <cfvo type="num" val="8"/>
        <cfvo type="num" val="22"/>
        <color rgb="FF00B050"/>
        <color rgb="FFFFFF00"/>
        <color rgb="FFC00000"/>
      </colorScale>
    </cfRule>
  </conditionalFormatting>
  <conditionalFormatting sqref="J5 J26 R5:R15">
    <cfRule type="colorScale" priority="10">
      <colorScale>
        <cfvo type="num" val="1"/>
        <cfvo type="num" val="8"/>
        <cfvo type="num" val="22"/>
        <color rgb="FF00B050"/>
        <color rgb="FFFFFF00"/>
        <color rgb="FFC00000"/>
      </colorScale>
    </cfRule>
  </conditionalFormatting>
  <conditionalFormatting sqref="R16">
    <cfRule type="colorScale" priority="3">
      <colorScale>
        <cfvo type="num" val="1"/>
        <cfvo type="num" val="8"/>
        <cfvo type="num" val="22"/>
        <color rgb="FF00B050"/>
        <color rgb="FFFFFF00"/>
        <color rgb="FFC00000"/>
      </colorScale>
    </cfRule>
  </conditionalFormatting>
  <pageMargins left="0.70866141732283472" right="0.70866141732283472" top="0.74803149606299213" bottom="0.74803149606299213" header="0.31496062992125984" footer="0.31496062992125984"/>
  <pageSetup paperSize="9" scale="60" orientation="landscape" r:id="rId1"/>
  <drawing r:id="rId2"/>
  <legacyDrawing r:id="rId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rgb="FFC00000"/>
  </sheetPr>
  <dimension ref="A1:S36"/>
  <sheetViews>
    <sheetView topLeftCell="J21" zoomScale="90" zoomScaleNormal="90" workbookViewId="0">
      <selection activeCell="Q17" sqref="Q17:Q19"/>
    </sheetView>
  </sheetViews>
  <sheetFormatPr baseColWidth="10" defaultColWidth="11.54296875" defaultRowHeight="15" thickBottom="1"/>
  <cols>
    <col min="1" max="1" width="3.36328125" style="140" customWidth="1"/>
    <col min="2" max="2" width="12.6328125" style="140" customWidth="1"/>
    <col min="3" max="3" width="7.08984375" style="140" customWidth="1"/>
    <col min="4" max="4" width="14.81640625" style="146" customWidth="1"/>
    <col min="5" max="5" width="40.81640625" style="137" customWidth="1"/>
    <col min="6" max="7" width="22.6328125" style="137" customWidth="1"/>
    <col min="8" max="8" width="7.08984375" style="138" customWidth="1"/>
    <col min="9" max="9" width="9.36328125" style="138" customWidth="1"/>
    <col min="10" max="10" width="11.54296875" style="138"/>
    <col min="11" max="11" width="27.1796875" style="138" customWidth="1"/>
    <col min="12" max="13" width="32.6328125" style="137" customWidth="1"/>
    <col min="14" max="14" width="13.90625" style="138" bestFit="1" customWidth="1"/>
    <col min="15" max="15" width="9" style="138" customWidth="1"/>
    <col min="16" max="16" width="9.6328125" style="138" customWidth="1"/>
    <col min="17" max="17" width="10.1796875" style="138" customWidth="1"/>
    <col min="18" max="18" width="10.81640625" style="138" customWidth="1"/>
    <col min="19" max="16384" width="11.54296875" style="140"/>
  </cols>
  <sheetData>
    <row r="1" spans="1:19" ht="31.5" thickBot="1">
      <c r="A1" s="514" t="s">
        <v>321</v>
      </c>
      <c r="B1" s="514"/>
      <c r="C1" s="514"/>
      <c r="D1" s="514"/>
      <c r="E1" s="514"/>
      <c r="F1" s="514"/>
      <c r="G1" s="514"/>
      <c r="H1" s="514"/>
      <c r="I1" s="514"/>
      <c r="J1" s="514"/>
      <c r="K1" s="514"/>
      <c r="L1" s="514"/>
      <c r="M1" s="514"/>
      <c r="N1" s="514"/>
      <c r="O1" s="514"/>
      <c r="P1" s="514"/>
      <c r="Q1" s="514"/>
      <c r="R1" s="514"/>
      <c r="S1" s="139"/>
    </row>
    <row r="2" spans="1:19" ht="21.5" customHeight="1" thickBot="1">
      <c r="A2" s="591" t="s">
        <v>71</v>
      </c>
      <c r="B2" s="589" t="s">
        <v>72</v>
      </c>
      <c r="C2" s="590" t="s">
        <v>73</v>
      </c>
      <c r="D2" s="589" t="s">
        <v>74</v>
      </c>
      <c r="E2" s="589" t="s">
        <v>350</v>
      </c>
      <c r="F2" s="582" t="s">
        <v>804</v>
      </c>
      <c r="G2" s="582" t="s">
        <v>809</v>
      </c>
      <c r="H2" s="585" t="s">
        <v>58</v>
      </c>
      <c r="I2" s="585" t="s">
        <v>43</v>
      </c>
      <c r="J2" s="585" t="s">
        <v>245</v>
      </c>
      <c r="K2" s="586" t="s">
        <v>455</v>
      </c>
      <c r="L2" s="585" t="s">
        <v>251</v>
      </c>
      <c r="M2" s="585"/>
      <c r="N2" s="585"/>
      <c r="O2" s="585"/>
      <c r="P2" s="585" t="s">
        <v>252</v>
      </c>
      <c r="Q2" s="585" t="s">
        <v>253</v>
      </c>
      <c r="R2" s="585" t="s">
        <v>246</v>
      </c>
      <c r="S2" s="139"/>
    </row>
    <row r="3" spans="1:19" thickBot="1">
      <c r="A3" s="591"/>
      <c r="B3" s="589"/>
      <c r="C3" s="590"/>
      <c r="D3" s="589"/>
      <c r="E3" s="589"/>
      <c r="F3" s="583"/>
      <c r="G3" s="583"/>
      <c r="H3" s="585"/>
      <c r="I3" s="585"/>
      <c r="J3" s="585"/>
      <c r="K3" s="587"/>
      <c r="L3" s="585"/>
      <c r="M3" s="585"/>
      <c r="N3" s="585"/>
      <c r="O3" s="585"/>
      <c r="P3" s="585"/>
      <c r="Q3" s="585"/>
      <c r="R3" s="585"/>
      <c r="S3" s="139"/>
    </row>
    <row r="4" spans="1:19" ht="26.5" customHeight="1" thickBot="1">
      <c r="A4" s="591"/>
      <c r="B4" s="589"/>
      <c r="C4" s="590"/>
      <c r="D4" s="589"/>
      <c r="E4" s="589"/>
      <c r="F4" s="584"/>
      <c r="G4" s="584"/>
      <c r="H4" s="127" t="s">
        <v>0</v>
      </c>
      <c r="I4" s="127" t="s">
        <v>1</v>
      </c>
      <c r="J4" s="127" t="s">
        <v>4</v>
      </c>
      <c r="K4" s="588"/>
      <c r="L4" s="127" t="s">
        <v>230</v>
      </c>
      <c r="M4" s="127" t="s">
        <v>405</v>
      </c>
      <c r="N4" s="159" t="s">
        <v>254</v>
      </c>
      <c r="O4" s="127" t="s">
        <v>225</v>
      </c>
      <c r="P4" s="127" t="s">
        <v>0</v>
      </c>
      <c r="Q4" s="127" t="s">
        <v>351</v>
      </c>
      <c r="R4" s="127" t="s">
        <v>4</v>
      </c>
      <c r="S4" s="139"/>
    </row>
    <row r="5" spans="1:19" ht="72" customHeight="1" thickBot="1">
      <c r="A5" s="564">
        <v>6</v>
      </c>
      <c r="B5" s="609" t="s">
        <v>497</v>
      </c>
      <c r="C5" s="567">
        <v>2.5000000000000001E-2</v>
      </c>
      <c r="D5" s="594" t="s">
        <v>157</v>
      </c>
      <c r="E5" s="128" t="s">
        <v>844</v>
      </c>
      <c r="F5" s="173" t="s">
        <v>367</v>
      </c>
      <c r="G5" s="173" t="s">
        <v>780</v>
      </c>
      <c r="H5" s="129">
        <v>4</v>
      </c>
      <c r="I5" s="129">
        <v>4</v>
      </c>
      <c r="J5" s="132">
        <f>H5*I5</f>
        <v>16</v>
      </c>
      <c r="K5" s="184"/>
      <c r="L5" s="131" t="s">
        <v>325</v>
      </c>
      <c r="M5" s="255" t="s">
        <v>525</v>
      </c>
      <c r="N5" s="149" t="s">
        <v>921</v>
      </c>
      <c r="O5" s="256">
        <v>1</v>
      </c>
      <c r="P5" s="129">
        <f>H5</f>
        <v>4</v>
      </c>
      <c r="Q5" s="129">
        <f>I5/O5</f>
        <v>4</v>
      </c>
      <c r="R5" s="132">
        <f>P5*Q5</f>
        <v>16</v>
      </c>
      <c r="S5" s="139"/>
    </row>
    <row r="6" spans="1:19" ht="58.5" thickBot="1">
      <c r="A6" s="565"/>
      <c r="B6" s="610"/>
      <c r="C6" s="568"/>
      <c r="D6" s="594"/>
      <c r="E6" s="131" t="s">
        <v>296</v>
      </c>
      <c r="F6" s="173" t="s">
        <v>367</v>
      </c>
      <c r="G6" s="173" t="s">
        <v>780</v>
      </c>
      <c r="H6" s="129">
        <v>4</v>
      </c>
      <c r="I6" s="129">
        <v>2</v>
      </c>
      <c r="J6" s="132">
        <f t="shared" ref="J6:J24" si="0">H6*I6</f>
        <v>8</v>
      </c>
      <c r="K6" s="184"/>
      <c r="L6" s="131" t="s">
        <v>325</v>
      </c>
      <c r="M6" s="255" t="s">
        <v>525</v>
      </c>
      <c r="N6" s="149" t="s">
        <v>921</v>
      </c>
      <c r="O6" s="129">
        <v>1</v>
      </c>
      <c r="P6" s="129">
        <f t="shared" ref="P6:P22" si="1">H6</f>
        <v>4</v>
      </c>
      <c r="Q6" s="129">
        <f t="shared" ref="Q6:Q22" si="2">I6/O6</f>
        <v>2</v>
      </c>
      <c r="R6" s="132">
        <f t="shared" ref="R6:R21" si="3">P6*Q6</f>
        <v>8</v>
      </c>
      <c r="S6" s="139"/>
    </row>
    <row r="7" spans="1:19" ht="44" thickBot="1">
      <c r="A7" s="565"/>
      <c r="B7" s="610"/>
      <c r="C7" s="568"/>
      <c r="D7" s="594"/>
      <c r="E7" s="131" t="s">
        <v>845</v>
      </c>
      <c r="F7" s="173" t="s">
        <v>367</v>
      </c>
      <c r="G7" s="173" t="s">
        <v>780</v>
      </c>
      <c r="H7" s="129">
        <v>4</v>
      </c>
      <c r="I7" s="129">
        <v>3</v>
      </c>
      <c r="J7" s="158">
        <f t="shared" si="0"/>
        <v>12</v>
      </c>
      <c r="K7" s="184"/>
      <c r="L7" s="131" t="s">
        <v>1295</v>
      </c>
      <c r="M7" s="131" t="s">
        <v>525</v>
      </c>
      <c r="N7" s="149" t="s">
        <v>921</v>
      </c>
      <c r="O7" s="129">
        <v>2</v>
      </c>
      <c r="P7" s="129">
        <f t="shared" si="1"/>
        <v>4</v>
      </c>
      <c r="Q7" s="129">
        <f t="shared" si="2"/>
        <v>1.5</v>
      </c>
      <c r="R7" s="132">
        <f t="shared" si="3"/>
        <v>6</v>
      </c>
      <c r="S7" s="139"/>
    </row>
    <row r="8" spans="1:19" ht="44" thickBot="1">
      <c r="A8" s="565"/>
      <c r="B8" s="610"/>
      <c r="C8" s="568"/>
      <c r="D8" s="594"/>
      <c r="E8" s="274" t="s">
        <v>846</v>
      </c>
      <c r="F8" s="314" t="s">
        <v>361</v>
      </c>
      <c r="G8" s="173" t="s">
        <v>361</v>
      </c>
      <c r="H8" s="129">
        <v>4</v>
      </c>
      <c r="I8" s="129">
        <v>3</v>
      </c>
      <c r="J8" s="158">
        <f t="shared" si="0"/>
        <v>12</v>
      </c>
      <c r="K8" s="184"/>
      <c r="L8" s="142" t="s">
        <v>1296</v>
      </c>
      <c r="M8" s="131" t="s">
        <v>525</v>
      </c>
      <c r="N8" s="149" t="s">
        <v>921</v>
      </c>
      <c r="O8" s="129">
        <v>2</v>
      </c>
      <c r="P8" s="129">
        <f t="shared" si="1"/>
        <v>4</v>
      </c>
      <c r="Q8" s="129">
        <f t="shared" si="2"/>
        <v>1.5</v>
      </c>
      <c r="R8" s="132">
        <f t="shared" si="3"/>
        <v>6</v>
      </c>
      <c r="S8" s="139"/>
    </row>
    <row r="9" spans="1:19" ht="44" thickBot="1">
      <c r="A9" s="565"/>
      <c r="B9" s="610"/>
      <c r="C9" s="568"/>
      <c r="D9" s="594"/>
      <c r="E9" s="274" t="s">
        <v>742</v>
      </c>
      <c r="F9" s="314" t="s">
        <v>361</v>
      </c>
      <c r="G9" s="173" t="s">
        <v>361</v>
      </c>
      <c r="H9" s="129">
        <v>4</v>
      </c>
      <c r="I9" s="129">
        <v>2</v>
      </c>
      <c r="J9" s="158">
        <f t="shared" si="0"/>
        <v>8</v>
      </c>
      <c r="K9" s="184"/>
      <c r="L9" s="142" t="s">
        <v>1296</v>
      </c>
      <c r="M9" s="131" t="s">
        <v>525</v>
      </c>
      <c r="N9" s="149" t="s">
        <v>921</v>
      </c>
      <c r="O9" s="129">
        <v>2</v>
      </c>
      <c r="P9" s="129">
        <f t="shared" si="1"/>
        <v>4</v>
      </c>
      <c r="Q9" s="129">
        <f t="shared" si="2"/>
        <v>1</v>
      </c>
      <c r="R9" s="132">
        <f t="shared" si="3"/>
        <v>4</v>
      </c>
      <c r="S9" s="139"/>
    </row>
    <row r="10" spans="1:19" ht="58.5" thickBot="1">
      <c r="A10" s="565"/>
      <c r="B10" s="610"/>
      <c r="C10" s="568"/>
      <c r="D10" s="594"/>
      <c r="E10" s="274" t="s">
        <v>743</v>
      </c>
      <c r="F10" s="314" t="s">
        <v>803</v>
      </c>
      <c r="G10" s="173" t="s">
        <v>806</v>
      </c>
      <c r="H10" s="129">
        <v>4</v>
      </c>
      <c r="I10" s="129">
        <v>2</v>
      </c>
      <c r="J10" s="158">
        <f t="shared" si="0"/>
        <v>8</v>
      </c>
      <c r="K10" s="184"/>
      <c r="L10" s="142" t="s">
        <v>746</v>
      </c>
      <c r="M10" s="131" t="s">
        <v>525</v>
      </c>
      <c r="N10" s="149" t="s">
        <v>921</v>
      </c>
      <c r="O10" s="129">
        <v>2</v>
      </c>
      <c r="P10" s="129">
        <f t="shared" si="1"/>
        <v>4</v>
      </c>
      <c r="Q10" s="129">
        <f t="shared" si="2"/>
        <v>1</v>
      </c>
      <c r="R10" s="132">
        <f t="shared" si="3"/>
        <v>4</v>
      </c>
      <c r="S10" s="139"/>
    </row>
    <row r="11" spans="1:19" ht="73" thickBot="1">
      <c r="A11" s="565"/>
      <c r="B11" s="610"/>
      <c r="C11" s="568"/>
      <c r="D11" s="594"/>
      <c r="E11" s="274" t="s">
        <v>744</v>
      </c>
      <c r="F11" s="314" t="s">
        <v>745</v>
      </c>
      <c r="G11" s="173" t="s">
        <v>806</v>
      </c>
      <c r="H11" s="129">
        <v>3</v>
      </c>
      <c r="I11" s="129">
        <v>3</v>
      </c>
      <c r="J11" s="158">
        <f t="shared" si="0"/>
        <v>9</v>
      </c>
      <c r="K11" s="184"/>
      <c r="L11" s="142" t="s">
        <v>747</v>
      </c>
      <c r="M11" s="131" t="s">
        <v>525</v>
      </c>
      <c r="N11" s="149" t="s">
        <v>921</v>
      </c>
      <c r="O11" s="129">
        <v>2</v>
      </c>
      <c r="P11" s="129">
        <f t="shared" si="1"/>
        <v>3</v>
      </c>
      <c r="Q11" s="129">
        <f t="shared" si="2"/>
        <v>1.5</v>
      </c>
      <c r="R11" s="132">
        <f t="shared" si="3"/>
        <v>4.5</v>
      </c>
      <c r="S11" s="139"/>
    </row>
    <row r="12" spans="1:19" ht="57.65" customHeight="1" thickBot="1">
      <c r="A12" s="565"/>
      <c r="B12" s="610"/>
      <c r="C12" s="568"/>
      <c r="D12" s="594"/>
      <c r="E12" s="131" t="s">
        <v>297</v>
      </c>
      <c r="F12" s="314" t="s">
        <v>367</v>
      </c>
      <c r="G12" s="173" t="s">
        <v>780</v>
      </c>
      <c r="H12" s="129">
        <v>4</v>
      </c>
      <c r="I12" s="129">
        <v>2</v>
      </c>
      <c r="J12" s="158">
        <f t="shared" si="0"/>
        <v>8</v>
      </c>
      <c r="K12" s="184"/>
      <c r="L12" s="131" t="s">
        <v>326</v>
      </c>
      <c r="M12" s="131" t="s">
        <v>525</v>
      </c>
      <c r="N12" s="149" t="s">
        <v>921</v>
      </c>
      <c r="O12" s="129">
        <v>2</v>
      </c>
      <c r="P12" s="129">
        <f t="shared" si="1"/>
        <v>4</v>
      </c>
      <c r="Q12" s="129">
        <f t="shared" si="2"/>
        <v>1</v>
      </c>
      <c r="R12" s="132">
        <f t="shared" si="3"/>
        <v>4</v>
      </c>
      <c r="S12" s="139"/>
    </row>
    <row r="13" spans="1:19" ht="44" thickBot="1">
      <c r="A13" s="565"/>
      <c r="B13" s="610"/>
      <c r="C13" s="568"/>
      <c r="D13" s="594" t="s">
        <v>161</v>
      </c>
      <c r="E13" s="278" t="s">
        <v>322</v>
      </c>
      <c r="F13" s="314" t="s">
        <v>367</v>
      </c>
      <c r="G13" s="173" t="s">
        <v>780</v>
      </c>
      <c r="H13" s="129">
        <v>4</v>
      </c>
      <c r="I13" s="129">
        <v>3</v>
      </c>
      <c r="J13" s="158">
        <f t="shared" si="0"/>
        <v>12</v>
      </c>
      <c r="K13" s="184"/>
      <c r="L13" s="131" t="s">
        <v>328</v>
      </c>
      <c r="M13" s="131" t="s">
        <v>539</v>
      </c>
      <c r="N13" s="149" t="s">
        <v>921</v>
      </c>
      <c r="O13" s="129">
        <v>2</v>
      </c>
      <c r="P13" s="129">
        <f t="shared" si="1"/>
        <v>4</v>
      </c>
      <c r="Q13" s="129">
        <f t="shared" si="2"/>
        <v>1.5</v>
      </c>
      <c r="R13" s="132">
        <f t="shared" si="3"/>
        <v>6</v>
      </c>
      <c r="S13" s="139"/>
    </row>
    <row r="14" spans="1:19" ht="58.5" thickBot="1">
      <c r="A14" s="565"/>
      <c r="B14" s="610"/>
      <c r="C14" s="568"/>
      <c r="D14" s="594"/>
      <c r="E14" s="131" t="s">
        <v>343</v>
      </c>
      <c r="F14" s="314" t="s">
        <v>368</v>
      </c>
      <c r="G14" s="173" t="s">
        <v>361</v>
      </c>
      <c r="H14" s="129">
        <v>4</v>
      </c>
      <c r="I14" s="129">
        <v>3</v>
      </c>
      <c r="J14" s="158">
        <f t="shared" si="0"/>
        <v>12</v>
      </c>
      <c r="K14" s="184"/>
      <c r="L14" s="131" t="s">
        <v>327</v>
      </c>
      <c r="M14" s="131" t="s">
        <v>525</v>
      </c>
      <c r="N14" s="149" t="s">
        <v>921</v>
      </c>
      <c r="O14" s="129">
        <v>2</v>
      </c>
      <c r="P14" s="129">
        <f t="shared" si="1"/>
        <v>4</v>
      </c>
      <c r="Q14" s="129">
        <f t="shared" si="2"/>
        <v>1.5</v>
      </c>
      <c r="R14" s="132">
        <f t="shared" si="3"/>
        <v>6</v>
      </c>
      <c r="S14" s="139"/>
    </row>
    <row r="15" spans="1:19" ht="44" thickBot="1">
      <c r="A15" s="565"/>
      <c r="B15" s="610"/>
      <c r="C15" s="568"/>
      <c r="D15" s="594"/>
      <c r="E15" s="274" t="s">
        <v>748</v>
      </c>
      <c r="F15" s="314" t="s">
        <v>361</v>
      </c>
      <c r="G15" s="173" t="s">
        <v>361</v>
      </c>
      <c r="H15" s="129">
        <v>4</v>
      </c>
      <c r="I15" s="129">
        <v>3</v>
      </c>
      <c r="J15" s="158">
        <f t="shared" si="0"/>
        <v>12</v>
      </c>
      <c r="K15" s="184"/>
      <c r="L15" s="142" t="s">
        <v>753</v>
      </c>
      <c r="M15" s="131" t="s">
        <v>525</v>
      </c>
      <c r="N15" s="149" t="s">
        <v>921</v>
      </c>
      <c r="O15" s="129">
        <v>2</v>
      </c>
      <c r="P15" s="129">
        <f t="shared" si="1"/>
        <v>4</v>
      </c>
      <c r="Q15" s="129">
        <f t="shared" si="2"/>
        <v>1.5</v>
      </c>
      <c r="R15" s="132">
        <f t="shared" si="3"/>
        <v>6</v>
      </c>
      <c r="S15" s="139"/>
    </row>
    <row r="16" spans="1:19" ht="44" thickBot="1">
      <c r="A16" s="565"/>
      <c r="B16" s="610"/>
      <c r="C16" s="568"/>
      <c r="D16" s="594"/>
      <c r="E16" s="274" t="s">
        <v>749</v>
      </c>
      <c r="F16" s="314" t="s">
        <v>418</v>
      </c>
      <c r="G16" s="173" t="s">
        <v>361</v>
      </c>
      <c r="H16" s="129">
        <v>4</v>
      </c>
      <c r="I16" s="129">
        <v>2</v>
      </c>
      <c r="J16" s="158">
        <f t="shared" si="0"/>
        <v>8</v>
      </c>
      <c r="K16" s="184"/>
      <c r="L16" s="142" t="s">
        <v>754</v>
      </c>
      <c r="M16" s="131" t="s">
        <v>525</v>
      </c>
      <c r="N16" s="149" t="s">
        <v>921</v>
      </c>
      <c r="O16" s="129">
        <v>2</v>
      </c>
      <c r="P16" s="129">
        <f t="shared" si="1"/>
        <v>4</v>
      </c>
      <c r="Q16" s="129">
        <f t="shared" si="2"/>
        <v>1</v>
      </c>
      <c r="R16" s="132">
        <f t="shared" si="3"/>
        <v>4</v>
      </c>
      <c r="S16" s="139"/>
    </row>
    <row r="17" spans="1:19" ht="58.5" thickBot="1">
      <c r="A17" s="565"/>
      <c r="B17" s="610"/>
      <c r="C17" s="568"/>
      <c r="D17" s="594"/>
      <c r="E17" s="274" t="s">
        <v>750</v>
      </c>
      <c r="F17" s="314" t="s">
        <v>418</v>
      </c>
      <c r="G17" s="173" t="s">
        <v>806</v>
      </c>
      <c r="H17" s="129">
        <v>4</v>
      </c>
      <c r="I17" s="129">
        <v>3</v>
      </c>
      <c r="J17" s="158">
        <f t="shared" si="0"/>
        <v>12</v>
      </c>
      <c r="K17" s="184"/>
      <c r="L17" s="142" t="s">
        <v>755</v>
      </c>
      <c r="M17" s="131" t="s">
        <v>525</v>
      </c>
      <c r="N17" s="149" t="s">
        <v>921</v>
      </c>
      <c r="O17" s="129">
        <v>2</v>
      </c>
      <c r="P17" s="129">
        <f t="shared" si="1"/>
        <v>4</v>
      </c>
      <c r="Q17" s="129">
        <f t="shared" si="2"/>
        <v>1.5</v>
      </c>
      <c r="R17" s="132">
        <f t="shared" si="3"/>
        <v>6</v>
      </c>
      <c r="S17" s="139"/>
    </row>
    <row r="18" spans="1:19" ht="29.5" thickBot="1">
      <c r="A18" s="565"/>
      <c r="B18" s="610"/>
      <c r="C18" s="568"/>
      <c r="D18" s="594"/>
      <c r="E18" s="294" t="s">
        <v>937</v>
      </c>
      <c r="F18" s="295" t="s">
        <v>418</v>
      </c>
      <c r="G18" s="295" t="s">
        <v>780</v>
      </c>
      <c r="H18" s="129">
        <v>4</v>
      </c>
      <c r="I18" s="129">
        <v>3</v>
      </c>
      <c r="J18" s="158">
        <v>12</v>
      </c>
      <c r="K18" s="184"/>
      <c r="L18" s="142" t="s">
        <v>938</v>
      </c>
      <c r="M18" s="131" t="s">
        <v>525</v>
      </c>
      <c r="N18" s="149" t="s">
        <v>281</v>
      </c>
      <c r="O18" s="129">
        <v>3</v>
      </c>
      <c r="P18" s="129">
        <v>4</v>
      </c>
      <c r="Q18" s="129">
        <f t="shared" si="2"/>
        <v>1</v>
      </c>
      <c r="R18" s="132">
        <f t="shared" si="3"/>
        <v>4</v>
      </c>
      <c r="S18" s="139"/>
    </row>
    <row r="19" spans="1:19" ht="29.5" thickBot="1">
      <c r="A19" s="565"/>
      <c r="B19" s="610"/>
      <c r="C19" s="568"/>
      <c r="D19" s="594"/>
      <c r="E19" s="294" t="s">
        <v>939</v>
      </c>
      <c r="F19" s="295" t="s">
        <v>418</v>
      </c>
      <c r="G19" s="295" t="s">
        <v>780</v>
      </c>
      <c r="H19" s="129">
        <v>4</v>
      </c>
      <c r="I19" s="129">
        <v>2</v>
      </c>
      <c r="J19" s="158">
        <v>8</v>
      </c>
      <c r="K19" s="184"/>
      <c r="L19" s="142" t="s">
        <v>940</v>
      </c>
      <c r="M19" s="131" t="s">
        <v>525</v>
      </c>
      <c r="N19" s="149" t="s">
        <v>281</v>
      </c>
      <c r="O19" s="129">
        <v>2</v>
      </c>
      <c r="P19" s="129">
        <v>4</v>
      </c>
      <c r="Q19" s="129">
        <f t="shared" si="2"/>
        <v>1</v>
      </c>
      <c r="R19" s="132">
        <f t="shared" si="3"/>
        <v>4</v>
      </c>
      <c r="S19" s="139"/>
    </row>
    <row r="20" spans="1:19" ht="102" thickBot="1">
      <c r="A20" s="565"/>
      <c r="B20" s="610"/>
      <c r="C20" s="568"/>
      <c r="D20" s="594"/>
      <c r="E20" s="294" t="s">
        <v>751</v>
      </c>
      <c r="F20" s="295" t="s">
        <v>418</v>
      </c>
      <c r="G20" s="295" t="s">
        <v>361</v>
      </c>
      <c r="H20" s="129">
        <v>4</v>
      </c>
      <c r="I20" s="129">
        <v>3</v>
      </c>
      <c r="J20" s="158">
        <f t="shared" si="0"/>
        <v>12</v>
      </c>
      <c r="K20" s="184"/>
      <c r="L20" s="142" t="s">
        <v>756</v>
      </c>
      <c r="M20" s="131" t="s">
        <v>525</v>
      </c>
      <c r="N20" s="149" t="s">
        <v>921</v>
      </c>
      <c r="O20" s="129">
        <v>2</v>
      </c>
      <c r="P20" s="129">
        <f t="shared" si="1"/>
        <v>4</v>
      </c>
      <c r="Q20" s="129">
        <f t="shared" si="2"/>
        <v>1.5</v>
      </c>
      <c r="R20" s="132">
        <f t="shared" si="3"/>
        <v>6</v>
      </c>
      <c r="S20" s="139"/>
    </row>
    <row r="21" spans="1:19" ht="44" thickBot="1">
      <c r="A21" s="565"/>
      <c r="B21" s="610"/>
      <c r="C21" s="568"/>
      <c r="D21" s="594"/>
      <c r="E21" s="294" t="s">
        <v>752</v>
      </c>
      <c r="F21" s="295" t="s">
        <v>418</v>
      </c>
      <c r="G21" s="295" t="s">
        <v>780</v>
      </c>
      <c r="H21" s="129">
        <v>4</v>
      </c>
      <c r="I21" s="129">
        <v>3</v>
      </c>
      <c r="J21" s="158">
        <f t="shared" si="0"/>
        <v>12</v>
      </c>
      <c r="K21" s="184"/>
      <c r="L21" s="142" t="s">
        <v>757</v>
      </c>
      <c r="M21" s="131" t="s">
        <v>525</v>
      </c>
      <c r="N21" s="149" t="s">
        <v>921</v>
      </c>
      <c r="O21" s="129">
        <v>2</v>
      </c>
      <c r="P21" s="129">
        <f t="shared" si="1"/>
        <v>4</v>
      </c>
      <c r="Q21" s="129">
        <f t="shared" si="2"/>
        <v>1.5</v>
      </c>
      <c r="R21" s="132">
        <f t="shared" si="3"/>
        <v>6</v>
      </c>
      <c r="S21" s="139"/>
    </row>
    <row r="22" spans="1:19" ht="116.5" thickBot="1">
      <c r="A22" s="565"/>
      <c r="B22" s="610"/>
      <c r="C22" s="568"/>
      <c r="D22" s="594"/>
      <c r="E22" s="131" t="s">
        <v>340</v>
      </c>
      <c r="F22" s="314" t="s">
        <v>817</v>
      </c>
      <c r="G22" s="173" t="s">
        <v>780</v>
      </c>
      <c r="H22" s="129">
        <v>4</v>
      </c>
      <c r="I22" s="129">
        <v>3</v>
      </c>
      <c r="J22" s="158">
        <f t="shared" si="0"/>
        <v>12</v>
      </c>
      <c r="K22" s="184"/>
      <c r="L22" s="131" t="s">
        <v>541</v>
      </c>
      <c r="M22" s="131" t="s">
        <v>540</v>
      </c>
      <c r="N22" s="149" t="s">
        <v>921</v>
      </c>
      <c r="O22" s="129">
        <v>2</v>
      </c>
      <c r="P22" s="129">
        <f t="shared" si="1"/>
        <v>4</v>
      </c>
      <c r="Q22" s="129">
        <f t="shared" si="2"/>
        <v>1.5</v>
      </c>
      <c r="R22" s="132">
        <f>P22*Q22</f>
        <v>6</v>
      </c>
      <c r="S22" s="139"/>
    </row>
    <row r="23" spans="1:19" ht="44" thickBot="1">
      <c r="A23" s="565"/>
      <c r="B23" s="610"/>
      <c r="C23" s="568"/>
      <c r="D23" s="594"/>
      <c r="E23" s="131" t="s">
        <v>298</v>
      </c>
      <c r="F23" s="314" t="s">
        <v>418</v>
      </c>
      <c r="G23" s="173" t="s">
        <v>780</v>
      </c>
      <c r="H23" s="129">
        <v>4</v>
      </c>
      <c r="I23" s="129">
        <v>2</v>
      </c>
      <c r="J23" s="132">
        <f t="shared" si="0"/>
        <v>8</v>
      </c>
      <c r="K23" s="184"/>
      <c r="L23" s="131" t="s">
        <v>329</v>
      </c>
      <c r="M23" s="131" t="s">
        <v>525</v>
      </c>
      <c r="N23" s="149" t="s">
        <v>921</v>
      </c>
      <c r="O23" s="129">
        <v>2</v>
      </c>
      <c r="P23" s="129">
        <f>H23</f>
        <v>4</v>
      </c>
      <c r="Q23" s="129">
        <f>I23/O23</f>
        <v>1</v>
      </c>
      <c r="R23" s="132">
        <f>P23*Q23</f>
        <v>4</v>
      </c>
      <c r="S23" s="139"/>
    </row>
    <row r="24" spans="1:19" ht="44" thickBot="1">
      <c r="A24" s="566"/>
      <c r="B24" s="611"/>
      <c r="C24" s="569"/>
      <c r="D24" s="594"/>
      <c r="E24" s="131" t="s">
        <v>847</v>
      </c>
      <c r="F24" s="314" t="s">
        <v>816</v>
      </c>
      <c r="G24" s="173" t="s">
        <v>780</v>
      </c>
      <c r="H24" s="129">
        <v>4</v>
      </c>
      <c r="I24" s="129">
        <v>2</v>
      </c>
      <c r="J24" s="132">
        <f t="shared" si="0"/>
        <v>8</v>
      </c>
      <c r="K24" s="184"/>
      <c r="L24" s="131" t="s">
        <v>579</v>
      </c>
      <c r="M24" s="131" t="s">
        <v>525</v>
      </c>
      <c r="N24" s="149" t="s">
        <v>921</v>
      </c>
      <c r="O24" s="129">
        <v>2</v>
      </c>
      <c r="P24" s="129">
        <f>H24</f>
        <v>4</v>
      </c>
      <c r="Q24" s="129">
        <f>I24/O24</f>
        <v>1</v>
      </c>
      <c r="R24" s="132">
        <f>P24*Q24</f>
        <v>4</v>
      </c>
      <c r="S24" s="139"/>
    </row>
    <row r="25" spans="1:19" ht="16" thickBot="1">
      <c r="A25" s="212" t="s">
        <v>497</v>
      </c>
      <c r="B25" s="212"/>
      <c r="C25" s="212"/>
      <c r="D25" s="212"/>
      <c r="E25" s="161" t="s">
        <v>243</v>
      </c>
      <c r="F25" s="161"/>
      <c r="G25" s="161"/>
      <c r="H25" s="133">
        <f>+ROUND(IFERROR(AVERAGE(H5:H23),0),0)</f>
        <v>4</v>
      </c>
      <c r="I25" s="133">
        <f>+ROUND(IFERROR(AVERAGE(I5:I23),0),0)</f>
        <v>3</v>
      </c>
      <c r="J25" s="132">
        <f>H25*I25</f>
        <v>12</v>
      </c>
      <c r="K25" s="184"/>
      <c r="L25" s="644" t="s">
        <v>244</v>
      </c>
      <c r="M25" s="644"/>
      <c r="N25" s="644"/>
      <c r="O25" s="133">
        <f>+ROUND(IFERROR(AVERAGE(O5:O23),0),0)</f>
        <v>2</v>
      </c>
      <c r="P25" s="133">
        <f>+ROUND(IFERROR(AVERAGE(P5:P23),0),0)</f>
        <v>4</v>
      </c>
      <c r="Q25" s="133">
        <f>+ROUND(IFERROR(AVERAGE(Q5:Q23),0),0)</f>
        <v>1</v>
      </c>
      <c r="R25" s="132">
        <f>Q25*P25</f>
        <v>4</v>
      </c>
      <c r="S25" s="139"/>
    </row>
    <row r="26" spans="1:19" thickBot="1">
      <c r="A26" s="144"/>
      <c r="B26" s="144"/>
      <c r="C26" s="144"/>
      <c r="D26" s="145"/>
      <c r="E26" s="135"/>
      <c r="F26" s="135"/>
      <c r="G26" s="135"/>
      <c r="H26" s="136"/>
      <c r="I26" s="136"/>
      <c r="J26" s="136"/>
      <c r="K26" s="136"/>
      <c r="L26" s="135"/>
      <c r="M26" s="135"/>
      <c r="N26" s="136"/>
      <c r="O26" s="136"/>
      <c r="P26" s="136"/>
      <c r="Q26" s="136"/>
      <c r="R26" s="136"/>
    </row>
    <row r="28" spans="1:19" ht="14.5">
      <c r="F28" s="137" t="s">
        <v>800</v>
      </c>
      <c r="G28" s="137">
        <f>COUNTIF(G5:G24,F28)</f>
        <v>0</v>
      </c>
    </row>
    <row r="29" spans="1:19" thickBot="1">
      <c r="F29" s="137" t="s">
        <v>361</v>
      </c>
      <c r="G29" s="137">
        <f>COUNTIF(G5:G24,F29)</f>
        <v>6</v>
      </c>
    </row>
    <row r="30" spans="1:19" thickBot="1">
      <c r="F30" s="137" t="s">
        <v>806</v>
      </c>
      <c r="G30" s="137">
        <f>COUNTIF(G5:G24,F30)</f>
        <v>3</v>
      </c>
    </row>
    <row r="31" spans="1:19" thickBot="1">
      <c r="F31" s="137" t="s">
        <v>801</v>
      </c>
      <c r="G31" s="137">
        <f>COUNTIF(G5:G24,F31)</f>
        <v>0</v>
      </c>
    </row>
    <row r="32" spans="1:19" thickBot="1">
      <c r="F32" s="137" t="s">
        <v>780</v>
      </c>
      <c r="G32" s="137">
        <f>COUNTIF(G5:G24,F32)</f>
        <v>11</v>
      </c>
    </row>
    <row r="33" spans="6:7" thickBot="1">
      <c r="F33" s="137" t="s">
        <v>802</v>
      </c>
      <c r="G33" s="137">
        <f>COUNTIF(G5:G24,F33)</f>
        <v>0</v>
      </c>
    </row>
    <row r="34" spans="6:7" thickBot="1">
      <c r="F34" s="137" t="s">
        <v>808</v>
      </c>
      <c r="G34" s="137">
        <f>COUNTIF(G5:G24,F34)</f>
        <v>0</v>
      </c>
    </row>
    <row r="35" spans="6:7" ht="14.5"/>
    <row r="36" spans="6:7" ht="14.5"/>
  </sheetData>
  <mergeCells count="22">
    <mergeCell ref="A5:A24"/>
    <mergeCell ref="L25:N25"/>
    <mergeCell ref="D5:D12"/>
    <mergeCell ref="D13:D24"/>
    <mergeCell ref="C5:C24"/>
    <mergeCell ref="B5:B24"/>
    <mergeCell ref="A1:R1"/>
    <mergeCell ref="I2:I3"/>
    <mergeCell ref="J2:J3"/>
    <mergeCell ref="L2:O3"/>
    <mergeCell ref="P2:P3"/>
    <mergeCell ref="Q2:Q3"/>
    <mergeCell ref="R2:R3"/>
    <mergeCell ref="A2:A4"/>
    <mergeCell ref="B2:B4"/>
    <mergeCell ref="C2:C4"/>
    <mergeCell ref="D2:D4"/>
    <mergeCell ref="E2:E4"/>
    <mergeCell ref="H2:H3"/>
    <mergeCell ref="F2:F4"/>
    <mergeCell ref="K2:K4"/>
    <mergeCell ref="G2:G4"/>
  </mergeCells>
  <conditionalFormatting sqref="J5:J25 R5:R25">
    <cfRule type="colorScale" priority="2">
      <colorScale>
        <cfvo type="num" val="1"/>
        <cfvo type="num" val="8"/>
        <cfvo type="num" val="22"/>
        <color rgb="FF00B050"/>
        <color rgb="FFFFFF00"/>
        <color rgb="FFC00000"/>
      </colorScale>
    </cfRule>
  </conditionalFormatting>
  <pageMargins left="0.70866141732283472" right="0.70866141732283472" top="0.74803149606299213" bottom="0.74803149606299213" header="0.31496062992125984" footer="0.31496062992125984"/>
  <pageSetup paperSize="9" scale="60" orientation="landscape" verticalDpi="0"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1500-000000000000}">
          <x14:formula1>
            <xm:f>Feuil2!$A$1:$A$7</xm:f>
          </x14:formula1>
          <xm:sqref>G5:G24</xm:sqref>
        </x14:dataValidation>
      </x14:dataValidations>
    </ext>
  </extLst>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rgb="FFC00000"/>
  </sheetPr>
  <dimension ref="A1:S31"/>
  <sheetViews>
    <sheetView topLeftCell="K15" zoomScale="90" zoomScaleNormal="90" workbookViewId="0">
      <selection activeCell="R5" sqref="R5:R6"/>
    </sheetView>
  </sheetViews>
  <sheetFormatPr baseColWidth="10" defaultColWidth="11.54296875" defaultRowHeight="15" thickBottom="1"/>
  <cols>
    <col min="1" max="1" width="3.90625" style="140" customWidth="1"/>
    <col min="2" max="2" width="15.81640625" style="140" customWidth="1"/>
    <col min="3" max="3" width="6.81640625" style="140" customWidth="1"/>
    <col min="4" max="4" width="17.6328125" style="151" bestFit="1" customWidth="1"/>
    <col min="5" max="5" width="41" style="140" customWidth="1"/>
    <col min="6" max="7" width="19.453125" style="140" customWidth="1"/>
    <col min="8" max="8" width="7.36328125" style="140" customWidth="1"/>
    <col min="9" max="9" width="9.6328125" style="140" customWidth="1"/>
    <col min="10" max="10" width="10.6328125" style="140" customWidth="1"/>
    <col min="11" max="11" width="30.08984375" style="140" customWidth="1"/>
    <col min="12" max="12" width="35.90625" style="140" customWidth="1"/>
    <col min="13" max="13" width="27" style="140" customWidth="1"/>
    <col min="14" max="14" width="13.90625" style="140" bestFit="1" customWidth="1"/>
    <col min="15" max="15" width="11.54296875" style="140"/>
    <col min="16" max="16" width="9.90625" style="140" customWidth="1"/>
    <col min="17" max="17" width="9.54296875" style="140" customWidth="1"/>
    <col min="18" max="16384" width="11.54296875" style="140"/>
  </cols>
  <sheetData>
    <row r="1" spans="1:19" ht="31.5" thickBot="1">
      <c r="A1" s="514" t="s">
        <v>331</v>
      </c>
      <c r="B1" s="514"/>
      <c r="C1" s="514"/>
      <c r="D1" s="514"/>
      <c r="E1" s="514"/>
      <c r="F1" s="514"/>
      <c r="G1" s="514"/>
      <c r="H1" s="514"/>
      <c r="I1" s="514"/>
      <c r="J1" s="514"/>
      <c r="K1" s="514"/>
      <c r="L1" s="514"/>
      <c r="M1" s="514"/>
      <c r="N1" s="514"/>
      <c r="O1" s="514"/>
      <c r="P1" s="514"/>
      <c r="Q1" s="514"/>
      <c r="R1" s="514"/>
      <c r="S1" s="139"/>
    </row>
    <row r="2" spans="1:19" thickBot="1">
      <c r="A2" s="591" t="s">
        <v>71</v>
      </c>
      <c r="B2" s="589" t="s">
        <v>72</v>
      </c>
      <c r="C2" s="590" t="s">
        <v>73</v>
      </c>
      <c r="D2" s="589" t="s">
        <v>74</v>
      </c>
      <c r="E2" s="589" t="s">
        <v>350</v>
      </c>
      <c r="F2" s="582" t="s">
        <v>804</v>
      </c>
      <c r="G2" s="582" t="s">
        <v>809</v>
      </c>
      <c r="H2" s="585" t="s">
        <v>58</v>
      </c>
      <c r="I2" s="585" t="s">
        <v>43</v>
      </c>
      <c r="J2" s="585" t="s">
        <v>245</v>
      </c>
      <c r="K2" s="586" t="s">
        <v>455</v>
      </c>
      <c r="L2" s="585" t="s">
        <v>251</v>
      </c>
      <c r="M2" s="585"/>
      <c r="N2" s="585"/>
      <c r="O2" s="585"/>
      <c r="P2" s="585" t="s">
        <v>252</v>
      </c>
      <c r="Q2" s="585" t="s">
        <v>253</v>
      </c>
      <c r="R2" s="585" t="s">
        <v>246</v>
      </c>
      <c r="S2" s="139"/>
    </row>
    <row r="3" spans="1:19" thickBot="1">
      <c r="A3" s="591"/>
      <c r="B3" s="589"/>
      <c r="C3" s="590"/>
      <c r="D3" s="589"/>
      <c r="E3" s="589"/>
      <c r="F3" s="583"/>
      <c r="G3" s="583"/>
      <c r="H3" s="585"/>
      <c r="I3" s="585"/>
      <c r="J3" s="585"/>
      <c r="K3" s="587"/>
      <c r="L3" s="585"/>
      <c r="M3" s="585"/>
      <c r="N3" s="585"/>
      <c r="O3" s="585"/>
      <c r="P3" s="585"/>
      <c r="Q3" s="585"/>
      <c r="R3" s="585"/>
      <c r="S3" s="139"/>
    </row>
    <row r="4" spans="1:19" ht="23.5" thickBot="1">
      <c r="A4" s="591"/>
      <c r="B4" s="589"/>
      <c r="C4" s="590"/>
      <c r="D4" s="589"/>
      <c r="E4" s="589"/>
      <c r="F4" s="584"/>
      <c r="G4" s="584"/>
      <c r="H4" s="127" t="s">
        <v>0</v>
      </c>
      <c r="I4" s="127" t="s">
        <v>1</v>
      </c>
      <c r="J4" s="127" t="s">
        <v>4</v>
      </c>
      <c r="K4" s="588"/>
      <c r="L4" s="127" t="s">
        <v>230</v>
      </c>
      <c r="M4" s="127" t="s">
        <v>405</v>
      </c>
      <c r="N4" s="159" t="s">
        <v>254</v>
      </c>
      <c r="O4" s="127" t="s">
        <v>225</v>
      </c>
      <c r="P4" s="127" t="s">
        <v>0</v>
      </c>
      <c r="Q4" s="127" t="s">
        <v>351</v>
      </c>
      <c r="R4" s="127" t="s">
        <v>4</v>
      </c>
      <c r="S4" s="139"/>
    </row>
    <row r="5" spans="1:19" ht="73" thickBot="1">
      <c r="A5" s="592">
        <v>7</v>
      </c>
      <c r="B5" s="303" t="s">
        <v>492</v>
      </c>
      <c r="C5" s="466">
        <v>2.5000000000000001E-2</v>
      </c>
      <c r="D5" s="594" t="s">
        <v>19</v>
      </c>
      <c r="E5" s="275" t="s">
        <v>1082</v>
      </c>
      <c r="F5" s="173" t="s">
        <v>365</v>
      </c>
      <c r="G5" s="173" t="s">
        <v>801</v>
      </c>
      <c r="H5" s="129">
        <v>4</v>
      </c>
      <c r="I5" s="129">
        <v>4</v>
      </c>
      <c r="J5" s="132">
        <f>H5*I5</f>
        <v>16</v>
      </c>
      <c r="K5" s="184"/>
      <c r="L5" s="131" t="s">
        <v>458</v>
      </c>
      <c r="M5" s="131" t="s">
        <v>525</v>
      </c>
      <c r="N5" s="160" t="s">
        <v>1303</v>
      </c>
      <c r="O5" s="129">
        <v>1</v>
      </c>
      <c r="P5" s="129">
        <f>H5</f>
        <v>4</v>
      </c>
      <c r="Q5" s="129">
        <f>I5/O5</f>
        <v>4</v>
      </c>
      <c r="R5" s="132">
        <f>P5*Q5</f>
        <v>16</v>
      </c>
      <c r="S5" s="139"/>
    </row>
    <row r="6" spans="1:19" ht="29.5" thickBot="1">
      <c r="A6" s="592"/>
      <c r="B6" s="303"/>
      <c r="C6" s="466"/>
      <c r="D6" s="594"/>
      <c r="E6" s="294" t="s">
        <v>848</v>
      </c>
      <c r="F6" s="295" t="s">
        <v>370</v>
      </c>
      <c r="G6" s="295" t="s">
        <v>800</v>
      </c>
      <c r="H6" s="129">
        <v>4</v>
      </c>
      <c r="I6" s="129">
        <v>4</v>
      </c>
      <c r="J6" s="132">
        <f>H6*I6</f>
        <v>16</v>
      </c>
      <c r="K6" s="184"/>
      <c r="L6" s="403" t="s">
        <v>1083</v>
      </c>
      <c r="M6" s="131" t="s">
        <v>581</v>
      </c>
      <c r="N6" s="160" t="s">
        <v>1303</v>
      </c>
      <c r="O6" s="129">
        <v>2</v>
      </c>
      <c r="P6" s="129">
        <f>H6</f>
        <v>4</v>
      </c>
      <c r="Q6" s="129">
        <f>I6/O6</f>
        <v>2</v>
      </c>
      <c r="R6" s="132">
        <f>P6*Q6</f>
        <v>8</v>
      </c>
      <c r="S6" s="139"/>
    </row>
    <row r="7" spans="1:19" ht="58.5" thickBot="1">
      <c r="A7" s="592"/>
      <c r="B7" s="303"/>
      <c r="C7" s="466"/>
      <c r="D7" s="594" t="s">
        <v>20</v>
      </c>
      <c r="E7" s="275" t="s">
        <v>215</v>
      </c>
      <c r="F7" s="173" t="s">
        <v>366</v>
      </c>
      <c r="G7" s="173" t="s">
        <v>800</v>
      </c>
      <c r="H7" s="129">
        <v>4</v>
      </c>
      <c r="I7" s="129">
        <v>1</v>
      </c>
      <c r="J7" s="132">
        <f t="shared" ref="J7:J20" si="0">H7*I7</f>
        <v>4</v>
      </c>
      <c r="K7" s="184"/>
      <c r="L7" s="131" t="s">
        <v>332</v>
      </c>
      <c r="M7" s="131" t="s">
        <v>525</v>
      </c>
      <c r="N7" s="160" t="s">
        <v>320</v>
      </c>
      <c r="O7" s="129">
        <v>2</v>
      </c>
      <c r="P7" s="129">
        <f t="shared" ref="P7:P18" si="1">H7</f>
        <v>4</v>
      </c>
      <c r="Q7" s="129">
        <f t="shared" ref="Q7:Q18" si="2">I7/O7</f>
        <v>0.5</v>
      </c>
      <c r="R7" s="132">
        <f t="shared" ref="R7:R20" si="3">P7*Q7</f>
        <v>2</v>
      </c>
      <c r="S7" s="139"/>
    </row>
    <row r="8" spans="1:19" ht="44" thickBot="1">
      <c r="A8" s="592"/>
      <c r="B8" s="303"/>
      <c r="C8" s="466"/>
      <c r="D8" s="594"/>
      <c r="E8" s="275" t="s">
        <v>799</v>
      </c>
      <c r="F8" s="173" t="s">
        <v>834</v>
      </c>
      <c r="G8" s="173" t="s">
        <v>800</v>
      </c>
      <c r="H8" s="129">
        <v>3</v>
      </c>
      <c r="I8" s="129">
        <v>3</v>
      </c>
      <c r="J8" s="132">
        <f t="shared" si="0"/>
        <v>9</v>
      </c>
      <c r="K8" s="184"/>
      <c r="L8" s="131" t="s">
        <v>1297</v>
      </c>
      <c r="M8" s="131" t="s">
        <v>525</v>
      </c>
      <c r="N8" s="160" t="s">
        <v>320</v>
      </c>
      <c r="O8" s="129">
        <v>1</v>
      </c>
      <c r="P8" s="129">
        <v>4</v>
      </c>
      <c r="Q8" s="129">
        <f>I8/O8</f>
        <v>3</v>
      </c>
      <c r="R8" s="132">
        <f t="shared" si="3"/>
        <v>12</v>
      </c>
      <c r="S8" s="139"/>
    </row>
    <row r="9" spans="1:19" ht="73" customHeight="1" thickBot="1">
      <c r="A9" s="592"/>
      <c r="B9" s="303"/>
      <c r="C9" s="466"/>
      <c r="D9" s="570" t="s">
        <v>21</v>
      </c>
      <c r="E9" s="274" t="s">
        <v>792</v>
      </c>
      <c r="F9" s="173" t="s">
        <v>365</v>
      </c>
      <c r="G9" s="173" t="s">
        <v>801</v>
      </c>
      <c r="H9" s="129">
        <v>4</v>
      </c>
      <c r="I9" s="129">
        <v>4</v>
      </c>
      <c r="J9" s="132">
        <f t="shared" si="0"/>
        <v>16</v>
      </c>
      <c r="K9" s="184"/>
      <c r="L9" s="131" t="s">
        <v>459</v>
      </c>
      <c r="M9" s="131" t="s">
        <v>525</v>
      </c>
      <c r="N9" s="160" t="s">
        <v>320</v>
      </c>
      <c r="O9" s="129">
        <v>2</v>
      </c>
      <c r="P9" s="129">
        <f t="shared" si="1"/>
        <v>4</v>
      </c>
      <c r="Q9" s="129">
        <f t="shared" si="2"/>
        <v>2</v>
      </c>
      <c r="R9" s="132">
        <f t="shared" si="3"/>
        <v>8</v>
      </c>
      <c r="S9" s="139"/>
    </row>
    <row r="10" spans="1:19" ht="73" thickBot="1">
      <c r="A10" s="592"/>
      <c r="B10" s="303"/>
      <c r="C10" s="466"/>
      <c r="D10" s="571"/>
      <c r="E10" s="131" t="s">
        <v>1084</v>
      </c>
      <c r="F10" s="173" t="s">
        <v>365</v>
      </c>
      <c r="G10" s="173" t="s">
        <v>801</v>
      </c>
      <c r="H10" s="129">
        <v>4</v>
      </c>
      <c r="I10" s="129">
        <v>3</v>
      </c>
      <c r="J10" s="132">
        <f>H10*I10</f>
        <v>12</v>
      </c>
      <c r="K10" s="184"/>
      <c r="L10" s="131" t="s">
        <v>793</v>
      </c>
      <c r="M10" s="131" t="s">
        <v>525</v>
      </c>
      <c r="N10" s="160" t="s">
        <v>320</v>
      </c>
      <c r="O10" s="129">
        <v>2</v>
      </c>
      <c r="P10" s="129">
        <f>H10</f>
        <v>4</v>
      </c>
      <c r="Q10" s="129">
        <f>I10/O10</f>
        <v>1.5</v>
      </c>
      <c r="R10" s="132">
        <f>P10*Q10</f>
        <v>6</v>
      </c>
      <c r="S10" s="139"/>
    </row>
    <row r="11" spans="1:19" ht="44" thickBot="1">
      <c r="A11" s="592"/>
      <c r="B11" s="303"/>
      <c r="C11" s="466"/>
      <c r="D11" s="571"/>
      <c r="E11" s="294" t="s">
        <v>758</v>
      </c>
      <c r="F11" s="173" t="s">
        <v>377</v>
      </c>
      <c r="G11" s="173" t="s">
        <v>801</v>
      </c>
      <c r="H11" s="129">
        <v>4</v>
      </c>
      <c r="I11" s="129">
        <v>4</v>
      </c>
      <c r="J11" s="132">
        <f>H11*I11</f>
        <v>16</v>
      </c>
      <c r="K11" s="184"/>
      <c r="L11" s="131" t="s">
        <v>1298</v>
      </c>
      <c r="M11" s="131" t="s">
        <v>581</v>
      </c>
      <c r="N11" s="160" t="s">
        <v>1303</v>
      </c>
      <c r="O11" s="129">
        <v>2</v>
      </c>
      <c r="P11" s="129">
        <f>H11</f>
        <v>4</v>
      </c>
      <c r="Q11" s="129">
        <f>I11/O11</f>
        <v>2</v>
      </c>
      <c r="R11" s="132">
        <f>P11*Q11</f>
        <v>8</v>
      </c>
      <c r="S11" s="139"/>
    </row>
    <row r="12" spans="1:19" ht="29.5" thickBot="1">
      <c r="A12" s="592"/>
      <c r="B12" s="303"/>
      <c r="C12" s="466"/>
      <c r="D12" s="571"/>
      <c r="E12" s="294" t="s">
        <v>759</v>
      </c>
      <c r="F12" s="173" t="s">
        <v>835</v>
      </c>
      <c r="G12" s="173" t="s">
        <v>801</v>
      </c>
      <c r="H12" s="129">
        <v>4</v>
      </c>
      <c r="I12" s="129">
        <v>3</v>
      </c>
      <c r="J12" s="132">
        <f>H12*I12</f>
        <v>12</v>
      </c>
      <c r="K12" s="184"/>
      <c r="L12" s="131" t="s">
        <v>1299</v>
      </c>
      <c r="M12" s="131" t="s">
        <v>525</v>
      </c>
      <c r="N12" s="160" t="s">
        <v>1303</v>
      </c>
      <c r="O12" s="129">
        <v>2</v>
      </c>
      <c r="P12" s="129">
        <f>H12</f>
        <v>4</v>
      </c>
      <c r="Q12" s="129">
        <f>I12/O12</f>
        <v>1.5</v>
      </c>
      <c r="R12" s="132">
        <f>P12*Q12</f>
        <v>6</v>
      </c>
      <c r="S12" s="139"/>
    </row>
    <row r="13" spans="1:19" ht="87.5" thickBot="1">
      <c r="A13" s="592"/>
      <c r="B13" s="303"/>
      <c r="C13" s="466"/>
      <c r="D13" s="572"/>
      <c r="E13" s="294" t="s">
        <v>836</v>
      </c>
      <c r="F13" s="173" t="s">
        <v>837</v>
      </c>
      <c r="G13" s="173" t="s">
        <v>801</v>
      </c>
      <c r="H13" s="129">
        <v>4</v>
      </c>
      <c r="I13" s="129">
        <v>4</v>
      </c>
      <c r="J13" s="132">
        <f>H13*I13</f>
        <v>16</v>
      </c>
      <c r="K13" s="184"/>
      <c r="L13" s="131" t="s">
        <v>1085</v>
      </c>
      <c r="M13" s="131" t="s">
        <v>525</v>
      </c>
      <c r="N13" s="160" t="s">
        <v>1303</v>
      </c>
      <c r="O13" s="129">
        <v>2</v>
      </c>
      <c r="P13" s="129">
        <f>H13</f>
        <v>4</v>
      </c>
      <c r="Q13" s="129">
        <f>I13/O13</f>
        <v>2</v>
      </c>
      <c r="R13" s="132">
        <f>P13*Q13</f>
        <v>8</v>
      </c>
      <c r="S13" s="139"/>
    </row>
    <row r="14" spans="1:19" ht="69.5" thickBot="1">
      <c r="A14" s="592"/>
      <c r="B14" s="303"/>
      <c r="C14" s="466"/>
      <c r="D14" s="162" t="s">
        <v>179</v>
      </c>
      <c r="E14" s="141" t="s">
        <v>216</v>
      </c>
      <c r="F14" s="173" t="s">
        <v>366</v>
      </c>
      <c r="G14" s="173" t="s">
        <v>801</v>
      </c>
      <c r="H14" s="129">
        <v>4</v>
      </c>
      <c r="I14" s="129">
        <v>2</v>
      </c>
      <c r="J14" s="132">
        <f t="shared" si="0"/>
        <v>8</v>
      </c>
      <c r="K14" s="184"/>
      <c r="L14" s="131" t="s">
        <v>1300</v>
      </c>
      <c r="M14" s="131" t="s">
        <v>525</v>
      </c>
      <c r="N14" s="160" t="s">
        <v>320</v>
      </c>
      <c r="O14" s="129">
        <v>2</v>
      </c>
      <c r="P14" s="129">
        <f t="shared" si="1"/>
        <v>4</v>
      </c>
      <c r="Q14" s="129">
        <f t="shared" si="2"/>
        <v>1</v>
      </c>
      <c r="R14" s="132">
        <f t="shared" si="3"/>
        <v>4</v>
      </c>
      <c r="S14" s="139"/>
    </row>
    <row r="15" spans="1:19" ht="58.5" thickBot="1">
      <c r="A15" s="592"/>
      <c r="B15" s="303"/>
      <c r="C15" s="466"/>
      <c r="D15" s="301" t="s">
        <v>760</v>
      </c>
      <c r="E15" s="294" t="s">
        <v>968</v>
      </c>
      <c r="F15" s="295" t="s">
        <v>1086</v>
      </c>
      <c r="G15" s="173" t="s">
        <v>361</v>
      </c>
      <c r="H15" s="129">
        <v>4</v>
      </c>
      <c r="I15" s="129">
        <v>4</v>
      </c>
      <c r="J15" s="132">
        <f t="shared" si="0"/>
        <v>16</v>
      </c>
      <c r="K15" s="184"/>
      <c r="L15" s="142" t="s">
        <v>1301</v>
      </c>
      <c r="M15" s="131" t="s">
        <v>581</v>
      </c>
      <c r="N15" s="160" t="s">
        <v>1303</v>
      </c>
      <c r="O15" s="129">
        <v>2</v>
      </c>
      <c r="P15" s="129">
        <f t="shared" si="1"/>
        <v>4</v>
      </c>
      <c r="Q15" s="129">
        <f t="shared" si="2"/>
        <v>2</v>
      </c>
      <c r="R15" s="132">
        <f t="shared" si="3"/>
        <v>8</v>
      </c>
      <c r="S15" s="139"/>
    </row>
    <row r="16" spans="1:19" ht="29.5" thickBot="1">
      <c r="A16" s="354"/>
      <c r="B16" s="360"/>
      <c r="C16" s="353"/>
      <c r="D16" s="301"/>
      <c r="E16" s="397" t="s">
        <v>1087</v>
      </c>
      <c r="F16" s="314" t="s">
        <v>355</v>
      </c>
      <c r="G16" s="173" t="s">
        <v>1302</v>
      </c>
      <c r="H16" s="223">
        <v>4</v>
      </c>
      <c r="I16" s="129">
        <v>2</v>
      </c>
      <c r="J16" s="132">
        <f t="shared" si="0"/>
        <v>8</v>
      </c>
      <c r="K16" s="184"/>
      <c r="L16" s="142" t="s">
        <v>1088</v>
      </c>
      <c r="M16" s="131" t="s">
        <v>525</v>
      </c>
      <c r="N16" s="160" t="s">
        <v>1303</v>
      </c>
      <c r="O16" s="129">
        <v>2</v>
      </c>
      <c r="P16" s="129">
        <f t="shared" si="1"/>
        <v>4</v>
      </c>
      <c r="Q16" s="129">
        <f t="shared" si="2"/>
        <v>1</v>
      </c>
      <c r="R16" s="132">
        <f t="shared" si="3"/>
        <v>4</v>
      </c>
      <c r="S16" s="139"/>
    </row>
    <row r="17" spans="1:19" ht="44" thickBot="1">
      <c r="A17" s="354"/>
      <c r="B17" s="360"/>
      <c r="C17" s="353"/>
      <c r="D17" s="301"/>
      <c r="E17" s="397" t="s">
        <v>1089</v>
      </c>
      <c r="F17" s="314" t="s">
        <v>780</v>
      </c>
      <c r="G17" s="173" t="s">
        <v>361</v>
      </c>
      <c r="H17" s="129">
        <v>3</v>
      </c>
      <c r="I17" s="129">
        <v>2</v>
      </c>
      <c r="J17" s="132">
        <f t="shared" si="0"/>
        <v>6</v>
      </c>
      <c r="K17" s="184"/>
      <c r="L17" s="142" t="s">
        <v>1304</v>
      </c>
      <c r="M17" s="131" t="s">
        <v>525</v>
      </c>
      <c r="N17" s="160" t="s">
        <v>1303</v>
      </c>
      <c r="O17" s="129">
        <v>2</v>
      </c>
      <c r="P17" s="129">
        <f t="shared" si="1"/>
        <v>3</v>
      </c>
      <c r="Q17" s="129">
        <f t="shared" si="2"/>
        <v>1</v>
      </c>
      <c r="R17" s="132">
        <f t="shared" si="3"/>
        <v>3</v>
      </c>
      <c r="S17" s="139"/>
    </row>
    <row r="18" spans="1:19" ht="44" thickBot="1">
      <c r="A18" s="354"/>
      <c r="B18" s="360"/>
      <c r="C18" s="353"/>
      <c r="D18" s="301"/>
      <c r="E18" s="397" t="s">
        <v>1090</v>
      </c>
      <c r="F18" s="314" t="s">
        <v>780</v>
      </c>
      <c r="G18" s="173" t="s">
        <v>1305</v>
      </c>
      <c r="H18" s="129">
        <v>2</v>
      </c>
      <c r="I18" s="129">
        <v>2</v>
      </c>
      <c r="J18" s="132">
        <f t="shared" si="0"/>
        <v>4</v>
      </c>
      <c r="K18" s="184"/>
      <c r="L18" s="142" t="s">
        <v>1091</v>
      </c>
      <c r="M18" s="131" t="s">
        <v>581</v>
      </c>
      <c r="N18" s="160" t="s">
        <v>1303</v>
      </c>
      <c r="O18" s="129">
        <v>2</v>
      </c>
      <c r="P18" s="129">
        <f t="shared" si="1"/>
        <v>2</v>
      </c>
      <c r="Q18" s="129">
        <f t="shared" si="2"/>
        <v>1</v>
      </c>
      <c r="R18" s="132">
        <f t="shared" si="3"/>
        <v>2</v>
      </c>
      <c r="S18" s="139"/>
    </row>
    <row r="19" spans="1:19" thickBot="1">
      <c r="A19" s="354"/>
      <c r="B19" s="360"/>
      <c r="C19" s="353"/>
      <c r="D19" s="301"/>
      <c r="E19" s="274"/>
      <c r="F19" s="314"/>
      <c r="G19" s="173"/>
      <c r="H19" s="129"/>
      <c r="I19" s="129"/>
      <c r="J19" s="132"/>
      <c r="K19" s="184"/>
      <c r="L19" s="142"/>
      <c r="M19" s="131"/>
      <c r="N19" s="160"/>
      <c r="O19" s="129"/>
      <c r="P19" s="129"/>
      <c r="Q19" s="129"/>
      <c r="R19" s="132"/>
      <c r="S19" s="139"/>
    </row>
    <row r="20" spans="1:19" ht="16" thickBot="1">
      <c r="A20" s="302" t="s">
        <v>492</v>
      </c>
      <c r="B20" s="303"/>
      <c r="C20" s="303"/>
      <c r="D20" s="645" t="s">
        <v>243</v>
      </c>
      <c r="E20" s="645"/>
      <c r="F20" s="645"/>
      <c r="G20" s="320"/>
      <c r="H20" s="133">
        <f>+ROUND(IFERROR(AVERAGE(H5:H14),0),0)</f>
        <v>4</v>
      </c>
      <c r="I20" s="133">
        <f>+ROUND(IFERROR(AVERAGE(I5:I14),0),0)</f>
        <v>3</v>
      </c>
      <c r="J20" s="132">
        <f t="shared" si="0"/>
        <v>12</v>
      </c>
      <c r="K20" s="184"/>
      <c r="L20" s="599" t="s">
        <v>244</v>
      </c>
      <c r="M20" s="599"/>
      <c r="N20" s="599"/>
      <c r="O20" s="133">
        <f>+ROUND(IFERROR(AVERAGE(O5:O14),0),0)</f>
        <v>2</v>
      </c>
      <c r="P20" s="133">
        <f>+ROUND(IFERROR(AVERAGE(P5:P14),0),0)</f>
        <v>4</v>
      </c>
      <c r="Q20" s="133">
        <f>+ROUND(IFERROR(AVERAGE(Q5:Q14),0),0)</f>
        <v>2</v>
      </c>
      <c r="R20" s="132">
        <f t="shared" si="3"/>
        <v>8</v>
      </c>
      <c r="S20" s="139"/>
    </row>
    <row r="21" spans="1:19" thickBot="1">
      <c r="A21" s="144"/>
      <c r="B21" s="144"/>
      <c r="C21" s="144"/>
      <c r="D21" s="150"/>
      <c r="E21" s="144"/>
      <c r="F21" s="144"/>
      <c r="G21" s="144"/>
      <c r="H21" s="144"/>
      <c r="I21" s="144"/>
      <c r="J21" s="144"/>
      <c r="K21" s="144"/>
      <c r="L21" s="144"/>
      <c r="M21" s="144"/>
      <c r="N21" s="144"/>
      <c r="O21" s="144"/>
      <c r="P21" s="144"/>
      <c r="Q21" s="144"/>
      <c r="R21" s="144"/>
    </row>
    <row r="23" spans="1:19" thickBot="1">
      <c r="F23" s="137" t="s">
        <v>800</v>
      </c>
      <c r="G23" s="137">
        <f>COUNTIF(G5:G15,F23)</f>
        <v>3</v>
      </c>
    </row>
    <row r="24" spans="1:19" thickBot="1">
      <c r="F24" s="137" t="s">
        <v>361</v>
      </c>
      <c r="G24" s="137">
        <f>COUNTIF(G5:G20,F24)</f>
        <v>3</v>
      </c>
    </row>
    <row r="25" spans="1:19" thickBot="1">
      <c r="F25" s="137" t="s">
        <v>806</v>
      </c>
      <c r="G25" s="137">
        <f>COUNTIF(G5:G15,F25)</f>
        <v>0</v>
      </c>
    </row>
    <row r="26" spans="1:19" thickBot="1">
      <c r="F26" s="137" t="s">
        <v>801</v>
      </c>
      <c r="G26" s="137">
        <f>COUNTIF(G5:G15,F26)</f>
        <v>7</v>
      </c>
    </row>
    <row r="27" spans="1:19" thickBot="1">
      <c r="F27" s="137" t="s">
        <v>780</v>
      </c>
      <c r="G27" s="137">
        <f>COUNTIF(G5:G15,F27)</f>
        <v>0</v>
      </c>
    </row>
    <row r="28" spans="1:19" thickBot="1">
      <c r="F28" s="137" t="s">
        <v>802</v>
      </c>
      <c r="G28" s="137">
        <f>COUNTIF(G5:G15,F28)</f>
        <v>0</v>
      </c>
    </row>
    <row r="29" spans="1:19" thickBot="1">
      <c r="F29" s="137" t="s">
        <v>808</v>
      </c>
      <c r="G29" s="137">
        <f>COUNTIF(G5:G15,F29)</f>
        <v>0</v>
      </c>
    </row>
    <row r="30" spans="1:19" ht="14.5"/>
    <row r="31" spans="1:19" ht="14.5"/>
  </sheetData>
  <mergeCells count="22">
    <mergeCell ref="D9:D13"/>
    <mergeCell ref="D20:F20"/>
    <mergeCell ref="L20:N20"/>
    <mergeCell ref="A5:A15"/>
    <mergeCell ref="A1:R1"/>
    <mergeCell ref="D7:D8"/>
    <mergeCell ref="I2:I3"/>
    <mergeCell ref="J2:J3"/>
    <mergeCell ref="L2:O3"/>
    <mergeCell ref="P2:P3"/>
    <mergeCell ref="Q2:Q3"/>
    <mergeCell ref="R2:R3"/>
    <mergeCell ref="A2:A4"/>
    <mergeCell ref="B2:B4"/>
    <mergeCell ref="C2:C4"/>
    <mergeCell ref="D2:D4"/>
    <mergeCell ref="E2:E4"/>
    <mergeCell ref="K2:K4"/>
    <mergeCell ref="F2:F4"/>
    <mergeCell ref="D5:D6"/>
    <mergeCell ref="H2:H3"/>
    <mergeCell ref="G2:G4"/>
  </mergeCells>
  <conditionalFormatting sqref="J5:J20 R5:R20">
    <cfRule type="colorScale" priority="1">
      <colorScale>
        <cfvo type="num" val="1"/>
        <cfvo type="num" val="8"/>
        <cfvo type="num" val="22"/>
        <color rgb="FF00B050"/>
        <color rgb="FFFFFF00"/>
        <color rgb="FFC00000"/>
      </colorScale>
    </cfRule>
  </conditionalFormatting>
  <pageMargins left="0.70866141732283472" right="0.70866141732283472" top="0.74803149606299213" bottom="0.74803149606299213" header="0.31496062992125984" footer="0.31496062992125984"/>
  <pageSetup paperSize="9" scale="60" orientation="landscape" verticalDpi="0" r:id="rId1"/>
  <drawing r:id="rId2"/>
  <legacyDrawing r:id="rId3"/>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rgb="FFC00000"/>
  </sheetPr>
  <dimension ref="A1:S31"/>
  <sheetViews>
    <sheetView topLeftCell="K17" zoomScale="90" zoomScaleNormal="90" workbookViewId="0">
      <selection activeCell="E12" sqref="E12:J12"/>
    </sheetView>
  </sheetViews>
  <sheetFormatPr baseColWidth="10" defaultColWidth="11.54296875" defaultRowHeight="15" thickBottom="1"/>
  <cols>
    <col min="1" max="1" width="3.90625" style="140" customWidth="1"/>
    <col min="2" max="2" width="12" style="140" bestFit="1" customWidth="1"/>
    <col min="3" max="3" width="7.08984375" style="140" customWidth="1"/>
    <col min="4" max="4" width="17.1796875" style="170" customWidth="1"/>
    <col min="5" max="5" width="40.1796875" style="140" customWidth="1"/>
    <col min="6" max="7" width="23.26953125" style="140" customWidth="1"/>
    <col min="8" max="8" width="7.81640625" style="140" customWidth="1"/>
    <col min="9" max="9" width="10.08984375" style="140" customWidth="1"/>
    <col min="10" max="10" width="10.1796875" style="140" customWidth="1"/>
    <col min="11" max="11" width="29.1796875" style="140" customWidth="1"/>
    <col min="12" max="12" width="32.54296875" style="146" customWidth="1"/>
    <col min="13" max="13" width="30.08984375" style="146" customWidth="1"/>
    <col min="14" max="14" width="11.54296875" style="151"/>
    <col min="15" max="15" width="10.54296875" style="140" customWidth="1"/>
    <col min="16" max="16" width="9" style="140" customWidth="1"/>
    <col min="17" max="17" width="9.90625" style="140" customWidth="1"/>
    <col min="18" max="16384" width="11.54296875" style="140"/>
  </cols>
  <sheetData>
    <row r="1" spans="1:19" ht="31.5" thickBot="1">
      <c r="A1" s="514" t="s">
        <v>324</v>
      </c>
      <c r="B1" s="514"/>
      <c r="C1" s="514"/>
      <c r="D1" s="514"/>
      <c r="E1" s="514"/>
      <c r="F1" s="514"/>
      <c r="G1" s="514"/>
      <c r="H1" s="514"/>
      <c r="I1" s="514"/>
      <c r="J1" s="514"/>
      <c r="K1" s="514"/>
      <c r="L1" s="514"/>
      <c r="M1" s="514"/>
      <c r="N1" s="514"/>
      <c r="O1" s="514"/>
      <c r="P1" s="514"/>
      <c r="Q1" s="514"/>
      <c r="R1" s="514"/>
      <c r="S1" s="139"/>
    </row>
    <row r="2" spans="1:19" ht="21" customHeight="1" thickBot="1">
      <c r="A2" s="591" t="s">
        <v>71</v>
      </c>
      <c r="B2" s="589" t="s">
        <v>72</v>
      </c>
      <c r="C2" s="590" t="s">
        <v>73</v>
      </c>
      <c r="D2" s="591" t="s">
        <v>74</v>
      </c>
      <c r="E2" s="589" t="s">
        <v>350</v>
      </c>
      <c r="F2" s="582" t="s">
        <v>804</v>
      </c>
      <c r="G2" s="582" t="s">
        <v>809</v>
      </c>
      <c r="H2" s="585" t="s">
        <v>58</v>
      </c>
      <c r="I2" s="585" t="s">
        <v>43</v>
      </c>
      <c r="J2" s="585" t="s">
        <v>245</v>
      </c>
      <c r="K2" s="586" t="s">
        <v>455</v>
      </c>
      <c r="L2" s="585" t="s">
        <v>251</v>
      </c>
      <c r="M2" s="585"/>
      <c r="N2" s="585"/>
      <c r="O2" s="585"/>
      <c r="P2" s="585" t="s">
        <v>252</v>
      </c>
      <c r="Q2" s="585" t="s">
        <v>253</v>
      </c>
      <c r="R2" s="585" t="s">
        <v>246</v>
      </c>
      <c r="S2" s="139"/>
    </row>
    <row r="3" spans="1:19" thickBot="1">
      <c r="A3" s="591"/>
      <c r="B3" s="589"/>
      <c r="C3" s="590"/>
      <c r="D3" s="591"/>
      <c r="E3" s="589"/>
      <c r="F3" s="583"/>
      <c r="G3" s="583"/>
      <c r="H3" s="585"/>
      <c r="I3" s="585"/>
      <c r="J3" s="585"/>
      <c r="K3" s="587"/>
      <c r="L3" s="585"/>
      <c r="M3" s="585"/>
      <c r="N3" s="585"/>
      <c r="O3" s="585"/>
      <c r="P3" s="585"/>
      <c r="Q3" s="585"/>
      <c r="R3" s="585"/>
      <c r="S3" s="139"/>
    </row>
    <row r="4" spans="1:19" ht="27.5" customHeight="1" thickBot="1">
      <c r="A4" s="591"/>
      <c r="B4" s="589"/>
      <c r="C4" s="590"/>
      <c r="D4" s="591"/>
      <c r="E4" s="589"/>
      <c r="F4" s="584"/>
      <c r="G4" s="584"/>
      <c r="H4" s="127" t="s">
        <v>0</v>
      </c>
      <c r="I4" s="127" t="s">
        <v>1</v>
      </c>
      <c r="J4" s="127" t="s">
        <v>4</v>
      </c>
      <c r="K4" s="588"/>
      <c r="L4" s="127" t="s">
        <v>230</v>
      </c>
      <c r="M4" s="127" t="s">
        <v>405</v>
      </c>
      <c r="N4" s="159" t="s">
        <v>254</v>
      </c>
      <c r="O4" s="127" t="s">
        <v>225</v>
      </c>
      <c r="P4" s="127" t="s">
        <v>0</v>
      </c>
      <c r="Q4" s="127" t="s">
        <v>351</v>
      </c>
      <c r="R4" s="127" t="s">
        <v>4</v>
      </c>
      <c r="S4" s="139"/>
    </row>
    <row r="5" spans="1:19" ht="44" customHeight="1" thickBot="1">
      <c r="A5" s="592">
        <v>9</v>
      </c>
      <c r="B5" s="648" t="s">
        <v>498</v>
      </c>
      <c r="C5" s="649">
        <v>0.05</v>
      </c>
      <c r="D5" s="594" t="s">
        <v>6</v>
      </c>
      <c r="E5" s="128" t="s">
        <v>507</v>
      </c>
      <c r="F5" s="173" t="s">
        <v>352</v>
      </c>
      <c r="G5" s="173" t="s">
        <v>800</v>
      </c>
      <c r="H5" s="129">
        <v>4</v>
      </c>
      <c r="I5" s="129">
        <v>2</v>
      </c>
      <c r="J5" s="132">
        <f>H5*I5</f>
        <v>8</v>
      </c>
      <c r="K5" s="184"/>
      <c r="L5" s="131" t="s">
        <v>260</v>
      </c>
      <c r="M5" s="131" t="s">
        <v>525</v>
      </c>
      <c r="N5" s="149" t="s">
        <v>346</v>
      </c>
      <c r="O5" s="129">
        <v>2</v>
      </c>
      <c r="P5" s="129">
        <f>H5</f>
        <v>4</v>
      </c>
      <c r="Q5" s="268">
        <f>I5/O5</f>
        <v>1</v>
      </c>
      <c r="R5" s="267">
        <f>P5*Q5</f>
        <v>4</v>
      </c>
      <c r="S5" s="139"/>
    </row>
    <row r="6" spans="1:19" ht="44" customHeight="1" thickBot="1">
      <c r="A6" s="592"/>
      <c r="B6" s="648"/>
      <c r="C6" s="649"/>
      <c r="D6" s="594"/>
      <c r="E6" s="405" t="s">
        <v>1092</v>
      </c>
      <c r="F6" s="404" t="s">
        <v>1093</v>
      </c>
      <c r="G6" s="404" t="s">
        <v>800</v>
      </c>
      <c r="H6" s="129">
        <v>3</v>
      </c>
      <c r="I6" s="129">
        <v>3</v>
      </c>
      <c r="J6" s="132">
        <f>H6*I6</f>
        <v>9</v>
      </c>
      <c r="K6" s="184"/>
      <c r="L6" s="131" t="s">
        <v>1306</v>
      </c>
      <c r="M6" s="131" t="s">
        <v>525</v>
      </c>
      <c r="N6" s="149" t="s">
        <v>346</v>
      </c>
      <c r="O6" s="129">
        <v>3</v>
      </c>
      <c r="P6" s="129">
        <v>3</v>
      </c>
      <c r="Q6" s="268">
        <f>I6/O6</f>
        <v>1</v>
      </c>
      <c r="R6" s="267">
        <f>P6*Q6</f>
        <v>3</v>
      </c>
      <c r="S6" s="139"/>
    </row>
    <row r="7" spans="1:19" ht="96" customHeight="1" thickBot="1">
      <c r="A7" s="592"/>
      <c r="B7" s="648"/>
      <c r="C7" s="649"/>
      <c r="D7" s="594"/>
      <c r="E7" s="128" t="s">
        <v>543</v>
      </c>
      <c r="F7" s="173" t="s">
        <v>544</v>
      </c>
      <c r="G7" s="173" t="s">
        <v>806</v>
      </c>
      <c r="H7" s="129">
        <v>4</v>
      </c>
      <c r="I7" s="129">
        <v>1</v>
      </c>
      <c r="J7" s="132">
        <f>H7*I7</f>
        <v>4</v>
      </c>
      <c r="K7" s="184"/>
      <c r="L7" s="131" t="s">
        <v>1307</v>
      </c>
      <c r="M7" s="131" t="s">
        <v>525</v>
      </c>
      <c r="N7" s="149" t="s">
        <v>346</v>
      </c>
      <c r="O7" s="129">
        <v>2</v>
      </c>
      <c r="P7" s="129">
        <f>+H7</f>
        <v>4</v>
      </c>
      <c r="Q7" s="129">
        <f>I7/O7</f>
        <v>0.5</v>
      </c>
      <c r="R7" s="132">
        <f>P7*Q7</f>
        <v>2</v>
      </c>
      <c r="S7" s="139"/>
    </row>
    <row r="8" spans="1:19" ht="82.25" customHeight="1" thickBot="1">
      <c r="A8" s="592"/>
      <c r="B8" s="648"/>
      <c r="C8" s="649"/>
      <c r="D8" s="594"/>
      <c r="E8" s="128" t="s">
        <v>794</v>
      </c>
      <c r="F8" s="173" t="s">
        <v>409</v>
      </c>
      <c r="G8" s="173" t="s">
        <v>800</v>
      </c>
      <c r="H8" s="129">
        <v>4</v>
      </c>
      <c r="I8" s="129">
        <v>3</v>
      </c>
      <c r="J8" s="132">
        <f>H8*I8</f>
        <v>12</v>
      </c>
      <c r="K8" s="184"/>
      <c r="L8" s="131" t="s">
        <v>1308</v>
      </c>
      <c r="M8" s="131" t="s">
        <v>525</v>
      </c>
      <c r="N8" s="149" t="s">
        <v>346</v>
      </c>
      <c r="O8" s="129">
        <v>2</v>
      </c>
      <c r="P8" s="129">
        <f>H8</f>
        <v>4</v>
      </c>
      <c r="Q8" s="129">
        <f>I8/O8</f>
        <v>1.5</v>
      </c>
      <c r="R8" s="132">
        <f>P8*Q8</f>
        <v>6</v>
      </c>
      <c r="S8" s="139"/>
    </row>
    <row r="9" spans="1:19" ht="44" thickBot="1">
      <c r="A9" s="592"/>
      <c r="B9" s="648"/>
      <c r="C9" s="649"/>
      <c r="D9" s="594"/>
      <c r="E9" s="274" t="s">
        <v>305</v>
      </c>
      <c r="F9" s="173" t="s">
        <v>352</v>
      </c>
      <c r="G9" s="173" t="s">
        <v>800</v>
      </c>
      <c r="H9" s="129">
        <v>4</v>
      </c>
      <c r="I9" s="129">
        <v>2</v>
      </c>
      <c r="J9" s="132">
        <f t="shared" ref="J9:J21" si="0">H9*I9</f>
        <v>8</v>
      </c>
      <c r="K9" s="184"/>
      <c r="L9" s="131" t="s">
        <v>1309</v>
      </c>
      <c r="M9" s="131" t="s">
        <v>525</v>
      </c>
      <c r="N9" s="149" t="s">
        <v>346</v>
      </c>
      <c r="O9" s="129">
        <v>3</v>
      </c>
      <c r="P9" s="129">
        <f t="shared" ref="P9:P21" si="1">H9</f>
        <v>4</v>
      </c>
      <c r="Q9" s="268">
        <f t="shared" ref="Q9:Q22" si="2">I9/O9</f>
        <v>0.66666666666666663</v>
      </c>
      <c r="R9" s="267">
        <f t="shared" ref="R9:R22" si="3">P9*Q9</f>
        <v>2.6666666666666665</v>
      </c>
      <c r="S9" s="139"/>
    </row>
    <row r="10" spans="1:19" ht="29.5" thickBot="1">
      <c r="A10" s="592"/>
      <c r="B10" s="648"/>
      <c r="C10" s="649"/>
      <c r="D10" s="594"/>
      <c r="E10" s="274" t="s">
        <v>306</v>
      </c>
      <c r="F10" s="173" t="s">
        <v>353</v>
      </c>
      <c r="G10" s="173" t="s">
        <v>800</v>
      </c>
      <c r="H10" s="129">
        <v>4</v>
      </c>
      <c r="I10" s="129">
        <v>3</v>
      </c>
      <c r="J10" s="132">
        <f t="shared" si="0"/>
        <v>12</v>
      </c>
      <c r="K10" s="184"/>
      <c r="L10" s="131" t="s">
        <v>260</v>
      </c>
      <c r="M10" s="131" t="s">
        <v>525</v>
      </c>
      <c r="N10" s="149" t="s">
        <v>346</v>
      </c>
      <c r="O10" s="129">
        <v>3</v>
      </c>
      <c r="P10" s="129">
        <f t="shared" si="1"/>
        <v>4</v>
      </c>
      <c r="Q10" s="268">
        <f t="shared" si="2"/>
        <v>1</v>
      </c>
      <c r="R10" s="267">
        <f t="shared" si="3"/>
        <v>4</v>
      </c>
      <c r="S10" s="139"/>
    </row>
    <row r="11" spans="1:19" ht="44" thickBot="1">
      <c r="A11" s="592"/>
      <c r="B11" s="648"/>
      <c r="C11" s="649"/>
      <c r="D11" s="594"/>
      <c r="E11" s="274" t="s">
        <v>932</v>
      </c>
      <c r="F11" s="173" t="s">
        <v>361</v>
      </c>
      <c r="G11" s="173" t="s">
        <v>361</v>
      </c>
      <c r="H11" s="129">
        <v>4</v>
      </c>
      <c r="I11" s="129">
        <v>3</v>
      </c>
      <c r="J11" s="132">
        <f t="shared" si="0"/>
        <v>12</v>
      </c>
      <c r="K11" s="184"/>
      <c r="L11" s="131" t="s">
        <v>1310</v>
      </c>
      <c r="M11" s="131" t="s">
        <v>525</v>
      </c>
      <c r="N11" s="149" t="s">
        <v>346</v>
      </c>
      <c r="O11" s="129">
        <v>2</v>
      </c>
      <c r="P11" s="129">
        <v>4</v>
      </c>
      <c r="Q11" s="268">
        <f t="shared" si="2"/>
        <v>1.5</v>
      </c>
      <c r="R11" s="267">
        <f t="shared" si="3"/>
        <v>6</v>
      </c>
      <c r="S11" s="139" t="s">
        <v>1094</v>
      </c>
    </row>
    <row r="12" spans="1:19" ht="29.5" thickBot="1">
      <c r="A12" s="592"/>
      <c r="B12" s="648"/>
      <c r="C12" s="649"/>
      <c r="D12" s="594"/>
      <c r="E12" s="274" t="s">
        <v>933</v>
      </c>
      <c r="F12" s="173" t="s">
        <v>934</v>
      </c>
      <c r="G12" s="173" t="s">
        <v>800</v>
      </c>
      <c r="H12" s="129">
        <v>4</v>
      </c>
      <c r="I12" s="129">
        <v>4</v>
      </c>
      <c r="J12" s="132">
        <f t="shared" si="0"/>
        <v>16</v>
      </c>
      <c r="K12" s="184"/>
      <c r="L12" s="131" t="s">
        <v>935</v>
      </c>
      <c r="M12" s="131"/>
      <c r="N12" s="149" t="s">
        <v>505</v>
      </c>
      <c r="O12" s="129">
        <v>2</v>
      </c>
      <c r="P12" s="129">
        <v>4</v>
      </c>
      <c r="Q12" s="268">
        <f t="shared" si="2"/>
        <v>2</v>
      </c>
      <c r="R12" s="267">
        <f t="shared" si="3"/>
        <v>8</v>
      </c>
      <c r="S12" s="139"/>
    </row>
    <row r="13" spans="1:19" ht="44" thickBot="1">
      <c r="A13" s="592"/>
      <c r="B13" s="648"/>
      <c r="C13" s="649"/>
      <c r="D13" s="594"/>
      <c r="E13" s="131" t="s">
        <v>506</v>
      </c>
      <c r="F13" s="173" t="s">
        <v>353</v>
      </c>
      <c r="G13" s="173" t="s">
        <v>800</v>
      </c>
      <c r="H13" s="129">
        <v>4</v>
      </c>
      <c r="I13" s="129">
        <v>3</v>
      </c>
      <c r="J13" s="132">
        <f t="shared" si="0"/>
        <v>12</v>
      </c>
      <c r="K13" s="184"/>
      <c r="L13" s="131" t="s">
        <v>1311</v>
      </c>
      <c r="M13" s="131" t="s">
        <v>525</v>
      </c>
      <c r="N13" s="149" t="s">
        <v>1095</v>
      </c>
      <c r="O13" s="129">
        <v>3</v>
      </c>
      <c r="P13" s="129">
        <f t="shared" si="1"/>
        <v>4</v>
      </c>
      <c r="Q13" s="268">
        <f>I13/O13</f>
        <v>1</v>
      </c>
      <c r="R13" s="267">
        <f>P13*Q13</f>
        <v>4</v>
      </c>
      <c r="S13" s="139"/>
    </row>
    <row r="14" spans="1:19" ht="54" customHeight="1" thickBot="1">
      <c r="A14" s="592"/>
      <c r="B14" s="648"/>
      <c r="C14" s="649"/>
      <c r="D14" s="594"/>
      <c r="E14" s="131" t="s">
        <v>344</v>
      </c>
      <c r="F14" s="173" t="s">
        <v>354</v>
      </c>
      <c r="G14" s="173" t="s">
        <v>361</v>
      </c>
      <c r="H14" s="129">
        <v>3</v>
      </c>
      <c r="I14" s="129">
        <v>2</v>
      </c>
      <c r="J14" s="132">
        <f t="shared" si="0"/>
        <v>6</v>
      </c>
      <c r="K14" s="184"/>
      <c r="L14" s="131" t="s">
        <v>1312</v>
      </c>
      <c r="M14" s="131" t="s">
        <v>525</v>
      </c>
      <c r="N14" s="149" t="s">
        <v>346</v>
      </c>
      <c r="O14" s="129">
        <v>2</v>
      </c>
      <c r="P14" s="129">
        <f t="shared" si="1"/>
        <v>3</v>
      </c>
      <c r="Q14" s="129">
        <f t="shared" si="2"/>
        <v>1</v>
      </c>
      <c r="R14" s="132">
        <f t="shared" si="3"/>
        <v>3</v>
      </c>
      <c r="S14" s="139"/>
    </row>
    <row r="15" spans="1:19" ht="73" customHeight="1" thickBot="1">
      <c r="A15" s="592"/>
      <c r="B15" s="648"/>
      <c r="C15" s="649"/>
      <c r="D15" s="594" t="s">
        <v>7</v>
      </c>
      <c r="E15" s="131" t="s">
        <v>307</v>
      </c>
      <c r="F15" s="173" t="s">
        <v>355</v>
      </c>
      <c r="G15" s="173" t="s">
        <v>800</v>
      </c>
      <c r="H15" s="129">
        <v>4</v>
      </c>
      <c r="I15" s="129">
        <v>2</v>
      </c>
      <c r="J15" s="132">
        <f t="shared" si="0"/>
        <v>8</v>
      </c>
      <c r="K15" s="184"/>
      <c r="L15" s="131" t="s">
        <v>574</v>
      </c>
      <c r="M15" s="131" t="s">
        <v>525</v>
      </c>
      <c r="N15" s="149" t="s">
        <v>346</v>
      </c>
      <c r="O15" s="129">
        <v>2</v>
      </c>
      <c r="P15" s="129">
        <f t="shared" si="1"/>
        <v>4</v>
      </c>
      <c r="Q15" s="129">
        <f t="shared" si="2"/>
        <v>1</v>
      </c>
      <c r="R15" s="132">
        <f t="shared" si="3"/>
        <v>4</v>
      </c>
      <c r="S15" s="139"/>
    </row>
    <row r="16" spans="1:19" ht="38.4" customHeight="1" thickBot="1">
      <c r="A16" s="592"/>
      <c r="B16" s="648"/>
      <c r="C16" s="649"/>
      <c r="D16" s="594"/>
      <c r="E16" s="131" t="s">
        <v>677</v>
      </c>
      <c r="F16" s="173" t="s">
        <v>542</v>
      </c>
      <c r="G16" s="173" t="s">
        <v>800</v>
      </c>
      <c r="H16" s="129">
        <v>4</v>
      </c>
      <c r="I16" s="129">
        <v>1</v>
      </c>
      <c r="J16" s="132">
        <f t="shared" si="0"/>
        <v>4</v>
      </c>
      <c r="K16" s="184"/>
      <c r="L16" s="131" t="s">
        <v>1313</v>
      </c>
      <c r="M16" s="131" t="s">
        <v>525</v>
      </c>
      <c r="N16" s="149" t="s">
        <v>346</v>
      </c>
      <c r="O16" s="129">
        <v>2</v>
      </c>
      <c r="P16" s="129">
        <f t="shared" si="1"/>
        <v>4</v>
      </c>
      <c r="Q16" s="129">
        <f t="shared" si="2"/>
        <v>0.5</v>
      </c>
      <c r="R16" s="132">
        <f t="shared" si="3"/>
        <v>2</v>
      </c>
      <c r="S16" s="139"/>
    </row>
    <row r="17" spans="1:19" ht="58.5" thickBot="1">
      <c r="A17" s="592"/>
      <c r="B17" s="648"/>
      <c r="C17" s="649"/>
      <c r="D17" s="594"/>
      <c r="E17" s="131" t="s">
        <v>308</v>
      </c>
      <c r="F17" s="173" t="s">
        <v>356</v>
      </c>
      <c r="G17" s="173" t="s">
        <v>361</v>
      </c>
      <c r="H17" s="129">
        <v>4</v>
      </c>
      <c r="I17" s="129">
        <v>3</v>
      </c>
      <c r="J17" s="130">
        <f t="shared" si="0"/>
        <v>12</v>
      </c>
      <c r="K17" s="184"/>
      <c r="L17" s="131" t="s">
        <v>345</v>
      </c>
      <c r="M17" s="131" t="s">
        <v>525</v>
      </c>
      <c r="N17" s="149" t="s">
        <v>346</v>
      </c>
      <c r="O17" s="129">
        <v>1</v>
      </c>
      <c r="P17" s="129">
        <f t="shared" si="1"/>
        <v>4</v>
      </c>
      <c r="Q17" s="129">
        <f t="shared" si="2"/>
        <v>3</v>
      </c>
      <c r="R17" s="132">
        <f t="shared" si="3"/>
        <v>12</v>
      </c>
      <c r="S17" s="139"/>
    </row>
    <row r="18" spans="1:19" ht="44" thickBot="1">
      <c r="A18" s="592"/>
      <c r="B18" s="648"/>
      <c r="C18" s="649"/>
      <c r="D18" s="162" t="s">
        <v>8</v>
      </c>
      <c r="E18" s="274" t="s">
        <v>217</v>
      </c>
      <c r="F18" s="173" t="s">
        <v>357</v>
      </c>
      <c r="G18" s="173" t="s">
        <v>361</v>
      </c>
      <c r="H18" s="129">
        <v>4</v>
      </c>
      <c r="I18" s="129">
        <v>2</v>
      </c>
      <c r="J18" s="132">
        <f t="shared" si="0"/>
        <v>8</v>
      </c>
      <c r="K18" s="184"/>
      <c r="L18" s="131" t="s">
        <v>1314</v>
      </c>
      <c r="M18" s="131" t="s">
        <v>525</v>
      </c>
      <c r="N18" s="149" t="s">
        <v>346</v>
      </c>
      <c r="O18" s="129">
        <v>2</v>
      </c>
      <c r="P18" s="129">
        <f t="shared" si="1"/>
        <v>4</v>
      </c>
      <c r="Q18" s="129">
        <f t="shared" si="2"/>
        <v>1</v>
      </c>
      <c r="R18" s="132">
        <f t="shared" si="3"/>
        <v>4</v>
      </c>
      <c r="S18" s="139"/>
    </row>
    <row r="19" spans="1:19" ht="58.5" thickBot="1">
      <c r="A19" s="592"/>
      <c r="B19" s="648"/>
      <c r="C19" s="649"/>
      <c r="D19" s="342" t="s">
        <v>761</v>
      </c>
      <c r="E19" s="274" t="s">
        <v>762</v>
      </c>
      <c r="F19" s="314" t="s">
        <v>763</v>
      </c>
      <c r="G19" s="314" t="s">
        <v>800</v>
      </c>
      <c r="H19" s="129">
        <v>4</v>
      </c>
      <c r="I19" s="129">
        <v>3</v>
      </c>
      <c r="J19" s="132">
        <f t="shared" si="0"/>
        <v>12</v>
      </c>
      <c r="K19" s="184"/>
      <c r="L19" s="142" t="s">
        <v>1315</v>
      </c>
      <c r="M19" s="131" t="s">
        <v>525</v>
      </c>
      <c r="N19" s="149" t="s">
        <v>1316</v>
      </c>
      <c r="O19" s="129">
        <v>2</v>
      </c>
      <c r="P19" s="129">
        <f t="shared" si="1"/>
        <v>4</v>
      </c>
      <c r="Q19" s="129">
        <f t="shared" si="2"/>
        <v>1.5</v>
      </c>
      <c r="R19" s="132">
        <f t="shared" si="3"/>
        <v>6</v>
      </c>
      <c r="S19" s="139"/>
    </row>
    <row r="20" spans="1:19" ht="73" thickBot="1">
      <c r="A20" s="592"/>
      <c r="B20" s="648"/>
      <c r="C20" s="649"/>
      <c r="D20" s="342" t="s">
        <v>764</v>
      </c>
      <c r="E20" s="274" t="s">
        <v>765</v>
      </c>
      <c r="F20" s="314" t="s">
        <v>766</v>
      </c>
      <c r="G20" s="314" t="s">
        <v>361</v>
      </c>
      <c r="H20" s="129">
        <v>4</v>
      </c>
      <c r="I20" s="129">
        <v>3</v>
      </c>
      <c r="J20" s="132">
        <f t="shared" si="0"/>
        <v>12</v>
      </c>
      <c r="K20" s="184"/>
      <c r="L20" s="142" t="s">
        <v>1317</v>
      </c>
      <c r="M20" s="131" t="s">
        <v>539</v>
      </c>
      <c r="N20" s="149" t="s">
        <v>346</v>
      </c>
      <c r="O20" s="129">
        <v>2</v>
      </c>
      <c r="P20" s="129">
        <f t="shared" si="1"/>
        <v>4</v>
      </c>
      <c r="Q20" s="129">
        <f t="shared" si="2"/>
        <v>1.5</v>
      </c>
      <c r="R20" s="132">
        <f t="shared" si="3"/>
        <v>6</v>
      </c>
      <c r="S20" s="139"/>
    </row>
    <row r="21" spans="1:19" ht="73" thickBot="1">
      <c r="A21" s="592"/>
      <c r="B21" s="648"/>
      <c r="C21" s="649"/>
      <c r="D21" s="342" t="s">
        <v>767</v>
      </c>
      <c r="E21" s="274" t="s">
        <v>768</v>
      </c>
      <c r="F21" s="314" t="s">
        <v>769</v>
      </c>
      <c r="G21" s="314" t="s">
        <v>361</v>
      </c>
      <c r="H21" s="129">
        <v>4</v>
      </c>
      <c r="I21" s="129">
        <v>2</v>
      </c>
      <c r="J21" s="132">
        <f t="shared" si="0"/>
        <v>8</v>
      </c>
      <c r="K21" s="184"/>
      <c r="L21" s="142" t="s">
        <v>770</v>
      </c>
      <c r="M21" s="131" t="s">
        <v>525</v>
      </c>
      <c r="N21" s="149" t="s">
        <v>346</v>
      </c>
      <c r="O21" s="129">
        <v>2</v>
      </c>
      <c r="P21" s="129">
        <f t="shared" si="1"/>
        <v>4</v>
      </c>
      <c r="Q21" s="129">
        <f t="shared" si="2"/>
        <v>1</v>
      </c>
      <c r="R21" s="132">
        <f t="shared" si="3"/>
        <v>4</v>
      </c>
      <c r="S21" s="139"/>
    </row>
    <row r="22" spans="1:19" thickBot="1">
      <c r="A22" s="212" t="s">
        <v>498</v>
      </c>
      <c r="B22" s="212"/>
      <c r="C22" s="212"/>
      <c r="D22" s="212"/>
      <c r="E22" s="646" t="s">
        <v>243</v>
      </c>
      <c r="F22" s="646"/>
      <c r="G22" s="132"/>
      <c r="H22" s="133">
        <f>+ROUND(IFERROR(AVERAGE(H5:H18),0),0)</f>
        <v>4</v>
      </c>
      <c r="I22" s="133">
        <f>+ROUND(IFERROR(AVERAGE(I5:I18),0),0)</f>
        <v>2</v>
      </c>
      <c r="J22" s="132">
        <f>H22*I22</f>
        <v>8</v>
      </c>
      <c r="K22" s="184"/>
      <c r="L22" s="647" t="s">
        <v>244</v>
      </c>
      <c r="M22" s="647"/>
      <c r="N22" s="647"/>
      <c r="O22" s="133">
        <f>+ROUND(IFERROR(AVERAGE(O5:O18),0),0)</f>
        <v>2</v>
      </c>
      <c r="P22" s="133">
        <f>+ROUND(IFERROR(AVERAGE(P5:P18),0),0)</f>
        <v>4</v>
      </c>
      <c r="Q22" s="129">
        <f t="shared" si="2"/>
        <v>1</v>
      </c>
      <c r="R22" s="132">
        <f t="shared" si="3"/>
        <v>4</v>
      </c>
    </row>
    <row r="23" spans="1:19" thickBot="1">
      <c r="E23" s="144"/>
      <c r="F23" s="144"/>
    </row>
    <row r="24" spans="1:19" thickBot="1">
      <c r="F24" s="144"/>
    </row>
    <row r="25" spans="1:19" thickBot="1">
      <c r="F25" s="137" t="s">
        <v>800</v>
      </c>
      <c r="G25" s="137">
        <f>COUNTIF(G5:G21,F25)</f>
        <v>10</v>
      </c>
    </row>
    <row r="26" spans="1:19" thickBot="1">
      <c r="F26" s="137" t="s">
        <v>361</v>
      </c>
      <c r="G26" s="137">
        <f>COUNTIF(G5:G22,F26)</f>
        <v>6</v>
      </c>
    </row>
    <row r="27" spans="1:19" thickBot="1">
      <c r="F27" s="137" t="s">
        <v>806</v>
      </c>
      <c r="G27" s="137">
        <f>COUNTIF(G5:G21,F27)</f>
        <v>1</v>
      </c>
    </row>
    <row r="28" spans="1:19" thickBot="1">
      <c r="F28" s="137" t="s">
        <v>801</v>
      </c>
      <c r="G28" s="137">
        <f>COUNTIF(G5:G21,F28)</f>
        <v>0</v>
      </c>
    </row>
    <row r="29" spans="1:19" thickBot="1">
      <c r="F29" s="137" t="s">
        <v>780</v>
      </c>
      <c r="G29" s="137">
        <f>COUNTIF(G5:G21,F29)</f>
        <v>0</v>
      </c>
    </row>
    <row r="30" spans="1:19" thickBot="1">
      <c r="F30" s="137" t="s">
        <v>802</v>
      </c>
      <c r="G30" s="137">
        <f>COUNTIF(G5:G21,F30)</f>
        <v>0</v>
      </c>
    </row>
    <row r="31" spans="1:19" thickBot="1">
      <c r="F31" s="137" t="s">
        <v>808</v>
      </c>
      <c r="G31" s="137">
        <f>COUNTIF(G5:G21,F31)</f>
        <v>0</v>
      </c>
    </row>
  </sheetData>
  <mergeCells count="23">
    <mergeCell ref="E22:F22"/>
    <mergeCell ref="L22:N22"/>
    <mergeCell ref="G2:G4"/>
    <mergeCell ref="A5:A21"/>
    <mergeCell ref="B5:B21"/>
    <mergeCell ref="C5:C21"/>
    <mergeCell ref="D5:D14"/>
    <mergeCell ref="D15:D17"/>
    <mergeCell ref="A1:R1"/>
    <mergeCell ref="I2:I3"/>
    <mergeCell ref="J2:J3"/>
    <mergeCell ref="L2:O3"/>
    <mergeCell ref="P2:P3"/>
    <mergeCell ref="Q2:Q3"/>
    <mergeCell ref="R2:R3"/>
    <mergeCell ref="A2:A4"/>
    <mergeCell ref="B2:B4"/>
    <mergeCell ref="C2:C4"/>
    <mergeCell ref="D2:D4"/>
    <mergeCell ref="E2:E4"/>
    <mergeCell ref="H2:H3"/>
    <mergeCell ref="F2:F4"/>
    <mergeCell ref="K2:K4"/>
  </mergeCells>
  <conditionalFormatting sqref="J5:J22">
    <cfRule type="colorScale" priority="2">
      <colorScale>
        <cfvo type="num" val="1"/>
        <cfvo type="num" val="8"/>
        <cfvo type="num" val="22"/>
        <color rgb="FF00B050"/>
        <color rgb="FFFFFF00"/>
        <color rgb="FFFF0000"/>
      </colorScale>
    </cfRule>
  </conditionalFormatting>
  <conditionalFormatting sqref="R5:R22">
    <cfRule type="colorScale" priority="1">
      <colorScale>
        <cfvo type="num" val="1"/>
        <cfvo type="num" val="8"/>
        <cfvo type="num" val="22"/>
        <color rgb="FF00B050"/>
        <color rgb="FFFFFF00"/>
        <color rgb="FFFF0000"/>
      </colorScale>
    </cfRule>
  </conditionalFormatting>
  <pageMargins left="0.70866141732283472" right="0.70866141732283472" top="0.74803149606299213" bottom="0.74803149606299213" header="0.31496062992125984" footer="0.31496062992125984"/>
  <pageSetup paperSize="9" scale="60" orientation="landscape" verticalDpi="0" r:id="rId1"/>
  <drawing r:id="rId2"/>
  <legacyDrawing r:id="rId3"/>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rgb="FFC00000"/>
  </sheetPr>
  <dimension ref="A1:S36"/>
  <sheetViews>
    <sheetView topLeftCell="K18" zoomScale="90" zoomScaleNormal="90" workbookViewId="0">
      <selection activeCell="H25" sqref="H25"/>
    </sheetView>
  </sheetViews>
  <sheetFormatPr baseColWidth="10" defaultColWidth="11.54296875" defaultRowHeight="15" thickBottom="1"/>
  <cols>
    <col min="1" max="1" width="3.90625" style="140" customWidth="1"/>
    <col min="2" max="2" width="17.81640625" style="140" customWidth="1"/>
    <col min="3" max="3" width="7.08984375" style="140" customWidth="1"/>
    <col min="4" max="4" width="17.1796875" style="170" customWidth="1"/>
    <col min="5" max="5" width="40.1796875" style="140" customWidth="1"/>
    <col min="6" max="7" width="22.7265625" style="140" customWidth="1"/>
    <col min="8" max="8" width="7.81640625" style="140" customWidth="1"/>
    <col min="9" max="9" width="10.08984375" style="140" customWidth="1"/>
    <col min="10" max="10" width="10.1796875" style="140" customWidth="1"/>
    <col min="11" max="11" width="29.1796875" style="140" customWidth="1"/>
    <col min="12" max="12" width="32.54296875" style="146" customWidth="1"/>
    <col min="13" max="13" width="30.08984375" style="146" customWidth="1"/>
    <col min="14" max="14" width="13.90625" style="264" customWidth="1"/>
    <col min="15" max="15" width="10.54296875" style="140" customWidth="1"/>
    <col min="16" max="16" width="9" style="140" customWidth="1"/>
    <col min="17" max="17" width="9.90625" style="140" customWidth="1"/>
    <col min="18" max="16384" width="11.54296875" style="140"/>
  </cols>
  <sheetData>
    <row r="1" spans="1:19" ht="31.5" thickBot="1">
      <c r="A1" s="514" t="s">
        <v>324</v>
      </c>
      <c r="B1" s="514"/>
      <c r="C1" s="514"/>
      <c r="D1" s="514"/>
      <c r="E1" s="514"/>
      <c r="F1" s="514"/>
      <c r="G1" s="514"/>
      <c r="H1" s="514"/>
      <c r="I1" s="514"/>
      <c r="J1" s="514"/>
      <c r="K1" s="514"/>
      <c r="L1" s="514"/>
      <c r="M1" s="514"/>
      <c r="N1" s="514"/>
      <c r="O1" s="514"/>
      <c r="P1" s="514"/>
      <c r="Q1" s="514"/>
      <c r="R1" s="514"/>
      <c r="S1" s="139"/>
    </row>
    <row r="2" spans="1:19" ht="21" customHeight="1" thickBot="1">
      <c r="A2" s="591" t="s">
        <v>71</v>
      </c>
      <c r="B2" s="589" t="s">
        <v>72</v>
      </c>
      <c r="C2" s="590" t="s">
        <v>73</v>
      </c>
      <c r="D2" s="591" t="s">
        <v>74</v>
      </c>
      <c r="E2" s="589" t="s">
        <v>350</v>
      </c>
      <c r="F2" s="582" t="s">
        <v>804</v>
      </c>
      <c r="G2" s="582" t="s">
        <v>809</v>
      </c>
      <c r="H2" s="585" t="s">
        <v>58</v>
      </c>
      <c r="I2" s="585" t="s">
        <v>43</v>
      </c>
      <c r="J2" s="585" t="s">
        <v>245</v>
      </c>
      <c r="K2" s="586" t="s">
        <v>455</v>
      </c>
      <c r="L2" s="585" t="s">
        <v>251</v>
      </c>
      <c r="M2" s="585"/>
      <c r="N2" s="585"/>
      <c r="O2" s="585"/>
      <c r="P2" s="585" t="s">
        <v>252</v>
      </c>
      <c r="Q2" s="585" t="s">
        <v>253</v>
      </c>
      <c r="R2" s="585" t="s">
        <v>246</v>
      </c>
      <c r="S2" s="139"/>
    </row>
    <row r="3" spans="1:19" thickBot="1">
      <c r="A3" s="591"/>
      <c r="B3" s="589"/>
      <c r="C3" s="590"/>
      <c r="D3" s="591"/>
      <c r="E3" s="589"/>
      <c r="F3" s="583"/>
      <c r="G3" s="583"/>
      <c r="H3" s="585"/>
      <c r="I3" s="585"/>
      <c r="J3" s="585"/>
      <c r="K3" s="587"/>
      <c r="L3" s="585"/>
      <c r="M3" s="585"/>
      <c r="N3" s="585"/>
      <c r="O3" s="585"/>
      <c r="P3" s="585"/>
      <c r="Q3" s="585"/>
      <c r="R3" s="585"/>
      <c r="S3" s="139"/>
    </row>
    <row r="4" spans="1:19" ht="30" customHeight="1" thickBot="1">
      <c r="A4" s="591"/>
      <c r="B4" s="589"/>
      <c r="C4" s="590"/>
      <c r="D4" s="591"/>
      <c r="E4" s="589"/>
      <c r="F4" s="584"/>
      <c r="G4" s="584"/>
      <c r="H4" s="127" t="s">
        <v>0</v>
      </c>
      <c r="I4" s="127" t="s">
        <v>1</v>
      </c>
      <c r="J4" s="127" t="s">
        <v>4</v>
      </c>
      <c r="K4" s="588"/>
      <c r="L4" s="127" t="s">
        <v>230</v>
      </c>
      <c r="M4" s="127" t="s">
        <v>405</v>
      </c>
      <c r="N4" s="159" t="s">
        <v>254</v>
      </c>
      <c r="O4" s="127" t="s">
        <v>225</v>
      </c>
      <c r="P4" s="127" t="s">
        <v>0</v>
      </c>
      <c r="Q4" s="127" t="s">
        <v>351</v>
      </c>
      <c r="R4" s="127" t="s">
        <v>4</v>
      </c>
      <c r="S4" s="139"/>
    </row>
    <row r="5" spans="1:19" ht="44" thickBot="1">
      <c r="A5" s="564">
        <v>9</v>
      </c>
      <c r="B5" s="561" t="s">
        <v>570</v>
      </c>
      <c r="C5" s="567">
        <v>0.05</v>
      </c>
      <c r="D5" s="570" t="s">
        <v>624</v>
      </c>
      <c r="E5" s="128" t="s">
        <v>1207</v>
      </c>
      <c r="F5" s="173" t="s">
        <v>406</v>
      </c>
      <c r="G5" s="173" t="s">
        <v>361</v>
      </c>
      <c r="H5" s="129">
        <v>4</v>
      </c>
      <c r="I5" s="129">
        <v>3</v>
      </c>
      <c r="J5" s="132">
        <f>H5*I5</f>
        <v>12</v>
      </c>
      <c r="K5" s="184"/>
      <c r="L5" s="131" t="s">
        <v>232</v>
      </c>
      <c r="M5" s="131" t="s">
        <v>525</v>
      </c>
      <c r="N5" s="149" t="s">
        <v>1208</v>
      </c>
      <c r="O5" s="129">
        <v>2</v>
      </c>
      <c r="P5" s="129">
        <f>H5</f>
        <v>4</v>
      </c>
      <c r="Q5" s="268">
        <f t="shared" ref="Q5:Q11" si="0">I5/O5</f>
        <v>1.5</v>
      </c>
      <c r="R5" s="267">
        <f>P5*Q5</f>
        <v>6</v>
      </c>
      <c r="S5" s="139"/>
    </row>
    <row r="6" spans="1:19" ht="34.5" customHeight="1" thickBot="1">
      <c r="A6" s="565"/>
      <c r="B6" s="562"/>
      <c r="C6" s="568"/>
      <c r="D6" s="571"/>
      <c r="E6" s="405" t="s">
        <v>1209</v>
      </c>
      <c r="F6" s="295" t="s">
        <v>780</v>
      </c>
      <c r="G6" s="173" t="s">
        <v>780</v>
      </c>
      <c r="H6" s="129">
        <v>3</v>
      </c>
      <c r="I6" s="129">
        <v>3</v>
      </c>
      <c r="J6" s="132">
        <f>H6*I6</f>
        <v>9</v>
      </c>
      <c r="K6" s="184"/>
      <c r="L6" s="131" t="s">
        <v>1318</v>
      </c>
      <c r="M6" s="131" t="s">
        <v>1238</v>
      </c>
      <c r="N6" s="149" t="s">
        <v>1208</v>
      </c>
      <c r="O6" s="129">
        <v>2</v>
      </c>
      <c r="P6" s="129">
        <v>3</v>
      </c>
      <c r="Q6" s="268">
        <f t="shared" si="0"/>
        <v>1.5</v>
      </c>
      <c r="R6" s="267">
        <f>P6*Q6</f>
        <v>4.5</v>
      </c>
      <c r="S6" s="139"/>
    </row>
    <row r="7" spans="1:19" ht="44.5" customHeight="1" thickBot="1">
      <c r="A7" s="565"/>
      <c r="B7" s="562"/>
      <c r="C7" s="568"/>
      <c r="D7" s="571"/>
      <c r="E7" s="405" t="s">
        <v>1210</v>
      </c>
      <c r="F7" s="295" t="s">
        <v>780</v>
      </c>
      <c r="G7" s="173" t="s">
        <v>780</v>
      </c>
      <c r="H7" s="129">
        <v>3</v>
      </c>
      <c r="I7" s="129">
        <v>3</v>
      </c>
      <c r="J7" s="132">
        <f t="shared" ref="J7:J8" si="1">H7*I7</f>
        <v>9</v>
      </c>
      <c r="K7" s="184"/>
      <c r="L7" s="131" t="s">
        <v>1319</v>
      </c>
      <c r="M7" s="131" t="s">
        <v>525</v>
      </c>
      <c r="N7" s="149" t="s">
        <v>1208</v>
      </c>
      <c r="O7" s="129">
        <v>2</v>
      </c>
      <c r="P7" s="129">
        <v>3</v>
      </c>
      <c r="Q7" s="268">
        <f t="shared" si="0"/>
        <v>1.5</v>
      </c>
      <c r="R7" s="267">
        <f t="shared" ref="R7:R8" si="2">P7*Q7</f>
        <v>4.5</v>
      </c>
      <c r="S7" s="139"/>
    </row>
    <row r="8" spans="1:19" ht="115" customHeight="1" thickBot="1">
      <c r="A8" s="565"/>
      <c r="B8" s="562"/>
      <c r="C8" s="568"/>
      <c r="D8" s="571"/>
      <c r="E8" s="405" t="s">
        <v>1211</v>
      </c>
      <c r="F8" s="295" t="s">
        <v>780</v>
      </c>
      <c r="G8" s="173" t="s">
        <v>780</v>
      </c>
      <c r="H8" s="129">
        <v>3</v>
      </c>
      <c r="I8" s="129">
        <v>3</v>
      </c>
      <c r="J8" s="132">
        <f t="shared" si="1"/>
        <v>9</v>
      </c>
      <c r="K8" s="184"/>
      <c r="L8" s="403" t="s">
        <v>1320</v>
      </c>
      <c r="M8" s="131" t="s">
        <v>525</v>
      </c>
      <c r="N8" s="149" t="s">
        <v>1208</v>
      </c>
      <c r="O8" s="129">
        <v>2</v>
      </c>
      <c r="P8" s="129">
        <v>3</v>
      </c>
      <c r="Q8" s="268">
        <f t="shared" si="0"/>
        <v>1.5</v>
      </c>
      <c r="R8" s="467">
        <f t="shared" si="2"/>
        <v>4.5</v>
      </c>
      <c r="S8" s="139"/>
    </row>
    <row r="9" spans="1:19" ht="58.5" thickBot="1">
      <c r="A9" s="565"/>
      <c r="B9" s="562"/>
      <c r="C9" s="568"/>
      <c r="D9" s="571"/>
      <c r="E9" s="128" t="s">
        <v>1212</v>
      </c>
      <c r="F9" s="295" t="s">
        <v>780</v>
      </c>
      <c r="G9" s="295" t="s">
        <v>780</v>
      </c>
      <c r="H9" s="129">
        <v>5</v>
      </c>
      <c r="I9" s="129">
        <v>2</v>
      </c>
      <c r="J9" s="132">
        <f>H9*I9</f>
        <v>10</v>
      </c>
      <c r="K9" s="184"/>
      <c r="L9" s="131" t="s">
        <v>1213</v>
      </c>
      <c r="M9" s="131" t="s">
        <v>525</v>
      </c>
      <c r="N9" s="149" t="s">
        <v>570</v>
      </c>
      <c r="O9" s="129">
        <v>2</v>
      </c>
      <c r="P9" s="129">
        <v>5</v>
      </c>
      <c r="Q9" s="268">
        <f t="shared" si="0"/>
        <v>1</v>
      </c>
      <c r="R9" s="267">
        <f t="shared" ref="R9:R25" si="3">P9*Q9</f>
        <v>5</v>
      </c>
      <c r="S9" s="139"/>
    </row>
    <row r="10" spans="1:19" ht="29.5" thickBot="1">
      <c r="A10" s="565"/>
      <c r="B10" s="562"/>
      <c r="C10" s="568"/>
      <c r="D10" s="571"/>
      <c r="E10" s="128" t="s">
        <v>1214</v>
      </c>
      <c r="F10" s="295" t="s">
        <v>418</v>
      </c>
      <c r="G10" s="295" t="s">
        <v>780</v>
      </c>
      <c r="H10" s="129">
        <v>4</v>
      </c>
      <c r="I10" s="129">
        <v>3</v>
      </c>
      <c r="J10" s="132">
        <f t="shared" ref="J10:J25" si="4">H10*I10</f>
        <v>12</v>
      </c>
      <c r="K10" s="184"/>
      <c r="L10" s="131" t="s">
        <v>1321</v>
      </c>
      <c r="M10" s="131" t="s">
        <v>525</v>
      </c>
      <c r="N10" s="149" t="s">
        <v>320</v>
      </c>
      <c r="O10" s="129">
        <v>1</v>
      </c>
      <c r="P10" s="129">
        <v>4</v>
      </c>
      <c r="Q10" s="268">
        <f t="shared" si="0"/>
        <v>3</v>
      </c>
      <c r="R10" s="267">
        <f t="shared" si="3"/>
        <v>12</v>
      </c>
      <c r="S10" s="139"/>
    </row>
    <row r="11" spans="1:19" ht="44" thickBot="1">
      <c r="A11" s="565"/>
      <c r="B11" s="562"/>
      <c r="C11" s="568"/>
      <c r="D11" s="571"/>
      <c r="E11" s="128" t="s">
        <v>1215</v>
      </c>
      <c r="F11" s="295" t="s">
        <v>418</v>
      </c>
      <c r="G11" s="295" t="s">
        <v>780</v>
      </c>
      <c r="H11" s="129">
        <v>4</v>
      </c>
      <c r="I11" s="129">
        <v>3</v>
      </c>
      <c r="J11" s="132">
        <f t="shared" si="4"/>
        <v>12</v>
      </c>
      <c r="K11" s="184"/>
      <c r="L11" s="131" t="s">
        <v>1322</v>
      </c>
      <c r="M11" s="131" t="s">
        <v>525</v>
      </c>
      <c r="N11" s="149" t="s">
        <v>936</v>
      </c>
      <c r="O11" s="129">
        <v>2</v>
      </c>
      <c r="P11" s="129">
        <v>4</v>
      </c>
      <c r="Q11" s="268">
        <f t="shared" si="0"/>
        <v>1.5</v>
      </c>
      <c r="R11" s="267">
        <f t="shared" si="3"/>
        <v>6</v>
      </c>
      <c r="S11" s="139"/>
    </row>
    <row r="12" spans="1:19" ht="44" thickBot="1">
      <c r="A12" s="565"/>
      <c r="B12" s="562"/>
      <c r="C12" s="568"/>
      <c r="D12" s="571"/>
      <c r="E12" s="343" t="s">
        <v>1216</v>
      </c>
      <c r="F12" s="295" t="s">
        <v>418</v>
      </c>
      <c r="G12" s="295" t="s">
        <v>780</v>
      </c>
      <c r="H12" s="129">
        <v>4</v>
      </c>
      <c r="I12" s="129">
        <v>3</v>
      </c>
      <c r="J12" s="132">
        <f t="shared" si="4"/>
        <v>12</v>
      </c>
      <c r="K12" s="184"/>
      <c r="L12" s="131" t="s">
        <v>1323</v>
      </c>
      <c r="M12" s="131" t="s">
        <v>525</v>
      </c>
      <c r="N12" s="149" t="s">
        <v>1208</v>
      </c>
      <c r="O12" s="129">
        <v>2</v>
      </c>
      <c r="P12" s="129">
        <v>4</v>
      </c>
      <c r="Q12" s="268">
        <f t="shared" ref="Q12:Q25" si="5">I12/O12</f>
        <v>1.5</v>
      </c>
      <c r="R12" s="267">
        <f t="shared" si="3"/>
        <v>6</v>
      </c>
      <c r="S12" s="139"/>
    </row>
    <row r="13" spans="1:19" ht="44" thickBot="1">
      <c r="A13" s="565"/>
      <c r="B13" s="562"/>
      <c r="C13" s="568"/>
      <c r="D13" s="571"/>
      <c r="E13" s="278" t="s">
        <v>1217</v>
      </c>
      <c r="F13" s="173" t="s">
        <v>461</v>
      </c>
      <c r="G13" s="173" t="s">
        <v>800</v>
      </c>
      <c r="H13" s="129">
        <v>5</v>
      </c>
      <c r="I13" s="129">
        <v>2</v>
      </c>
      <c r="J13" s="132">
        <f t="shared" si="4"/>
        <v>10</v>
      </c>
      <c r="K13" s="184"/>
      <c r="L13" s="131" t="s">
        <v>1324</v>
      </c>
      <c r="M13" s="131" t="s">
        <v>525</v>
      </c>
      <c r="N13" s="149" t="s">
        <v>1208</v>
      </c>
      <c r="O13" s="129">
        <v>2</v>
      </c>
      <c r="P13" s="129">
        <f t="shared" ref="P13:P23" si="6">H13</f>
        <v>5</v>
      </c>
      <c r="Q13" s="268">
        <f t="shared" si="5"/>
        <v>1</v>
      </c>
      <c r="R13" s="267">
        <f t="shared" si="3"/>
        <v>5</v>
      </c>
      <c r="S13" s="139"/>
    </row>
    <row r="14" spans="1:19" ht="44" customHeight="1" thickBot="1">
      <c r="A14" s="565"/>
      <c r="B14" s="562"/>
      <c r="C14" s="568"/>
      <c r="D14" s="571"/>
      <c r="E14" s="278" t="s">
        <v>1218</v>
      </c>
      <c r="F14" s="173" t="s">
        <v>461</v>
      </c>
      <c r="G14" s="173" t="s">
        <v>800</v>
      </c>
      <c r="H14" s="129">
        <v>4</v>
      </c>
      <c r="I14" s="129">
        <v>4</v>
      </c>
      <c r="J14" s="132">
        <f t="shared" si="4"/>
        <v>16</v>
      </c>
      <c r="K14" s="184"/>
      <c r="L14" s="131" t="s">
        <v>628</v>
      </c>
      <c r="M14" s="131" t="s">
        <v>539</v>
      </c>
      <c r="N14" s="149" t="s">
        <v>1208</v>
      </c>
      <c r="O14" s="129">
        <v>2</v>
      </c>
      <c r="P14" s="129">
        <f t="shared" si="6"/>
        <v>4</v>
      </c>
      <c r="Q14" s="268">
        <f t="shared" si="5"/>
        <v>2</v>
      </c>
      <c r="R14" s="267">
        <f t="shared" si="3"/>
        <v>8</v>
      </c>
      <c r="S14" s="139"/>
    </row>
    <row r="15" spans="1:19" ht="44" thickBot="1">
      <c r="A15" s="565"/>
      <c r="B15" s="562"/>
      <c r="C15" s="568"/>
      <c r="D15" s="571"/>
      <c r="E15" s="274" t="s">
        <v>629</v>
      </c>
      <c r="F15" s="173" t="s">
        <v>461</v>
      </c>
      <c r="G15" s="173" t="s">
        <v>800</v>
      </c>
      <c r="H15" s="129">
        <v>4</v>
      </c>
      <c r="I15" s="129">
        <v>3</v>
      </c>
      <c r="J15" s="132">
        <f t="shared" si="4"/>
        <v>12</v>
      </c>
      <c r="K15" s="184"/>
      <c r="L15" s="131" t="s">
        <v>1325</v>
      </c>
      <c r="M15" s="131" t="s">
        <v>525</v>
      </c>
      <c r="N15" s="149" t="s">
        <v>1208</v>
      </c>
      <c r="O15" s="129">
        <v>2</v>
      </c>
      <c r="P15" s="129">
        <f t="shared" si="6"/>
        <v>4</v>
      </c>
      <c r="Q15" s="268">
        <f t="shared" si="5"/>
        <v>1.5</v>
      </c>
      <c r="R15" s="267">
        <f t="shared" si="3"/>
        <v>6</v>
      </c>
      <c r="S15" s="139"/>
    </row>
    <row r="16" spans="1:19" ht="58.5" thickBot="1">
      <c r="A16" s="565"/>
      <c r="B16" s="562"/>
      <c r="C16" s="568"/>
      <c r="D16" s="571"/>
      <c r="E16" s="131" t="s">
        <v>520</v>
      </c>
      <c r="F16" s="173" t="s">
        <v>780</v>
      </c>
      <c r="G16" s="173" t="s">
        <v>780</v>
      </c>
      <c r="H16" s="129">
        <v>4</v>
      </c>
      <c r="I16" s="129">
        <v>2</v>
      </c>
      <c r="J16" s="132">
        <f t="shared" si="4"/>
        <v>8</v>
      </c>
      <c r="K16" s="184"/>
      <c r="L16" s="131" t="s">
        <v>1326</v>
      </c>
      <c r="M16" s="140" t="s">
        <v>525</v>
      </c>
      <c r="N16" s="149" t="s">
        <v>1208</v>
      </c>
      <c r="O16" s="129">
        <v>2</v>
      </c>
      <c r="P16" s="129">
        <v>4</v>
      </c>
      <c r="Q16" s="268">
        <f t="shared" si="5"/>
        <v>1</v>
      </c>
      <c r="R16" s="267"/>
      <c r="S16" s="139"/>
    </row>
    <row r="17" spans="1:19" ht="29.5" thickBot="1">
      <c r="A17" s="565"/>
      <c r="B17" s="562"/>
      <c r="C17" s="568"/>
      <c r="D17" s="572"/>
      <c r="E17" s="274" t="s">
        <v>630</v>
      </c>
      <c r="F17" s="173" t="s">
        <v>461</v>
      </c>
      <c r="G17" s="173" t="s">
        <v>800</v>
      </c>
      <c r="H17" s="129">
        <v>4</v>
      </c>
      <c r="I17" s="129">
        <v>4</v>
      </c>
      <c r="J17" s="132">
        <f t="shared" si="4"/>
        <v>16</v>
      </c>
      <c r="K17" s="184"/>
      <c r="L17" s="131" t="s">
        <v>631</v>
      </c>
      <c r="M17" s="131" t="s">
        <v>525</v>
      </c>
      <c r="N17" s="149" t="s">
        <v>1208</v>
      </c>
      <c r="O17" s="129">
        <v>2</v>
      </c>
      <c r="P17" s="129">
        <f t="shared" si="6"/>
        <v>4</v>
      </c>
      <c r="Q17" s="268">
        <f t="shared" si="5"/>
        <v>2</v>
      </c>
      <c r="R17" s="267">
        <f t="shared" si="3"/>
        <v>8</v>
      </c>
      <c r="S17" s="139"/>
    </row>
    <row r="18" spans="1:19" ht="44" thickBot="1">
      <c r="A18" s="565"/>
      <c r="B18" s="562"/>
      <c r="C18" s="568"/>
      <c r="D18" s="594" t="s">
        <v>627</v>
      </c>
      <c r="E18" s="278" t="s">
        <v>1219</v>
      </c>
      <c r="F18" s="173" t="s">
        <v>632</v>
      </c>
      <c r="G18" s="173" t="s">
        <v>806</v>
      </c>
      <c r="H18" s="129">
        <v>4</v>
      </c>
      <c r="I18" s="129">
        <v>2</v>
      </c>
      <c r="J18" s="132">
        <f t="shared" si="4"/>
        <v>8</v>
      </c>
      <c r="K18" s="184"/>
      <c r="L18" s="131" t="s">
        <v>633</v>
      </c>
      <c r="M18" s="131" t="s">
        <v>634</v>
      </c>
      <c r="N18" s="149" t="s">
        <v>1208</v>
      </c>
      <c r="O18" s="129">
        <v>1</v>
      </c>
      <c r="P18" s="129">
        <f t="shared" si="6"/>
        <v>4</v>
      </c>
      <c r="Q18" s="268">
        <f t="shared" si="5"/>
        <v>2</v>
      </c>
      <c r="R18" s="267">
        <f t="shared" si="3"/>
        <v>8</v>
      </c>
      <c r="S18" s="139"/>
    </row>
    <row r="19" spans="1:19" ht="44" thickBot="1">
      <c r="A19" s="565"/>
      <c r="B19" s="562"/>
      <c r="C19" s="568"/>
      <c r="D19" s="594"/>
      <c r="E19" s="274" t="s">
        <v>635</v>
      </c>
      <c r="F19" s="173" t="s">
        <v>780</v>
      </c>
      <c r="G19" s="173" t="s">
        <v>780</v>
      </c>
      <c r="H19" s="129">
        <v>4</v>
      </c>
      <c r="I19" s="129">
        <v>2</v>
      </c>
      <c r="J19" s="132">
        <f t="shared" si="4"/>
        <v>8</v>
      </c>
      <c r="K19" s="184"/>
      <c r="L19" s="131" t="s">
        <v>781</v>
      </c>
      <c r="M19" s="131" t="s">
        <v>525</v>
      </c>
      <c r="N19" s="149" t="s">
        <v>1208</v>
      </c>
      <c r="O19" s="129">
        <v>2</v>
      </c>
      <c r="P19" s="129">
        <f t="shared" si="6"/>
        <v>4</v>
      </c>
      <c r="Q19" s="268">
        <f t="shared" si="5"/>
        <v>1</v>
      </c>
      <c r="R19" s="267">
        <f t="shared" si="3"/>
        <v>4</v>
      </c>
      <c r="S19" s="139"/>
    </row>
    <row r="20" spans="1:19" ht="29.5" thickBot="1">
      <c r="A20" s="565"/>
      <c r="B20" s="562"/>
      <c r="C20" s="568"/>
      <c r="D20" s="594" t="s">
        <v>625</v>
      </c>
      <c r="E20" s="274" t="s">
        <v>636</v>
      </c>
      <c r="F20" s="173" t="s">
        <v>632</v>
      </c>
      <c r="G20" s="173" t="s">
        <v>806</v>
      </c>
      <c r="H20" s="129">
        <v>4</v>
      </c>
      <c r="I20" s="129">
        <v>3</v>
      </c>
      <c r="J20" s="132">
        <f t="shared" si="4"/>
        <v>12</v>
      </c>
      <c r="K20" s="184"/>
      <c r="L20" s="131" t="s">
        <v>637</v>
      </c>
      <c r="M20" s="131" t="s">
        <v>618</v>
      </c>
      <c r="N20" s="149" t="s">
        <v>1208</v>
      </c>
      <c r="O20" s="129">
        <v>2</v>
      </c>
      <c r="P20" s="129">
        <f t="shared" si="6"/>
        <v>4</v>
      </c>
      <c r="Q20" s="268">
        <f t="shared" si="5"/>
        <v>1.5</v>
      </c>
      <c r="R20" s="267">
        <f t="shared" si="3"/>
        <v>6</v>
      </c>
      <c r="S20" s="139"/>
    </row>
    <row r="21" spans="1:19" ht="29.5" thickBot="1">
      <c r="A21" s="565"/>
      <c r="B21" s="562"/>
      <c r="C21" s="568"/>
      <c r="D21" s="594"/>
      <c r="E21" s="274" t="s">
        <v>638</v>
      </c>
      <c r="F21" s="173" t="s">
        <v>639</v>
      </c>
      <c r="G21" s="173" t="s">
        <v>806</v>
      </c>
      <c r="H21" s="129">
        <v>4</v>
      </c>
      <c r="I21" s="129">
        <v>3</v>
      </c>
      <c r="J21" s="132">
        <f t="shared" si="4"/>
        <v>12</v>
      </c>
      <c r="K21" s="184"/>
      <c r="L21" s="131" t="s">
        <v>637</v>
      </c>
      <c r="M21" s="131" t="s">
        <v>618</v>
      </c>
      <c r="N21" s="149" t="s">
        <v>1208</v>
      </c>
      <c r="O21" s="129">
        <v>2</v>
      </c>
      <c r="P21" s="129">
        <f t="shared" si="6"/>
        <v>4</v>
      </c>
      <c r="Q21" s="268">
        <f t="shared" si="5"/>
        <v>1.5</v>
      </c>
      <c r="R21" s="267">
        <f t="shared" si="3"/>
        <v>6</v>
      </c>
      <c r="S21" s="139"/>
    </row>
    <row r="22" spans="1:19" ht="44" thickBot="1">
      <c r="A22" s="565"/>
      <c r="B22" s="562"/>
      <c r="C22" s="568"/>
      <c r="D22" s="594"/>
      <c r="E22" s="274" t="s">
        <v>640</v>
      </c>
      <c r="F22" s="173" t="s">
        <v>641</v>
      </c>
      <c r="G22" s="173" t="s">
        <v>806</v>
      </c>
      <c r="H22" s="129">
        <v>5</v>
      </c>
      <c r="I22" s="129">
        <v>3</v>
      </c>
      <c r="J22" s="132">
        <f t="shared" si="4"/>
        <v>15</v>
      </c>
      <c r="K22" s="184"/>
      <c r="L22" s="131" t="s">
        <v>637</v>
      </c>
      <c r="M22" s="131" t="s">
        <v>618</v>
      </c>
      <c r="N22" s="149" t="s">
        <v>1208</v>
      </c>
      <c r="O22" s="129">
        <v>2</v>
      </c>
      <c r="P22" s="129">
        <f t="shared" si="6"/>
        <v>5</v>
      </c>
      <c r="Q22" s="268">
        <f t="shared" si="5"/>
        <v>1.5</v>
      </c>
      <c r="R22" s="267">
        <f t="shared" si="3"/>
        <v>7.5</v>
      </c>
      <c r="S22" s="139"/>
    </row>
    <row r="23" spans="1:19" ht="29.5" thickBot="1">
      <c r="A23" s="565"/>
      <c r="B23" s="562"/>
      <c r="C23" s="568"/>
      <c r="D23" s="162" t="s">
        <v>626</v>
      </c>
      <c r="E23" s="278" t="s">
        <v>642</v>
      </c>
      <c r="F23" s="173" t="s">
        <v>780</v>
      </c>
      <c r="G23" s="173" t="s">
        <v>780</v>
      </c>
      <c r="H23" s="129">
        <v>4</v>
      </c>
      <c r="I23" s="129">
        <v>3</v>
      </c>
      <c r="J23" s="132">
        <f t="shared" si="4"/>
        <v>12</v>
      </c>
      <c r="K23" s="184"/>
      <c r="L23" s="131" t="s">
        <v>643</v>
      </c>
      <c r="M23" s="131" t="s">
        <v>618</v>
      </c>
      <c r="N23" s="149" t="s">
        <v>1208</v>
      </c>
      <c r="O23" s="129">
        <v>2</v>
      </c>
      <c r="P23" s="129">
        <f t="shared" si="6"/>
        <v>4</v>
      </c>
      <c r="Q23" s="268">
        <f t="shared" si="5"/>
        <v>1.5</v>
      </c>
      <c r="R23" s="267">
        <f t="shared" si="3"/>
        <v>6</v>
      </c>
      <c r="S23" s="139"/>
    </row>
    <row r="24" spans="1:19" thickBot="1">
      <c r="A24" s="565"/>
      <c r="B24" s="562"/>
      <c r="C24" s="568"/>
      <c r="D24" s="162"/>
      <c r="E24" s="278"/>
      <c r="F24" s="173"/>
      <c r="G24" s="173"/>
      <c r="H24" s="129"/>
      <c r="I24" s="129"/>
      <c r="J24" s="132"/>
      <c r="K24" s="184"/>
      <c r="L24" s="131"/>
      <c r="M24" s="131"/>
      <c r="N24" s="149"/>
      <c r="O24" s="129"/>
      <c r="P24" s="129"/>
      <c r="Q24" s="268"/>
      <c r="R24" s="267"/>
      <c r="S24" s="139"/>
    </row>
    <row r="25" spans="1:19" thickBot="1">
      <c r="A25" s="566"/>
      <c r="B25" s="563"/>
      <c r="C25" s="569"/>
      <c r="D25" s="212"/>
      <c r="E25" s="650" t="s">
        <v>243</v>
      </c>
      <c r="F25" s="650"/>
      <c r="G25" s="132"/>
      <c r="H25" s="133">
        <f>+ROUND(IFERROR(AVERAGE(H5:H23),0),0)</f>
        <v>4</v>
      </c>
      <c r="I25" s="133">
        <f>+ROUND(IFERROR(AVERAGE(I5:I23),0),0)</f>
        <v>3</v>
      </c>
      <c r="J25" s="132">
        <f t="shared" si="4"/>
        <v>12</v>
      </c>
      <c r="K25" s="184"/>
      <c r="L25" s="647" t="s">
        <v>244</v>
      </c>
      <c r="M25" s="647"/>
      <c r="N25" s="647"/>
      <c r="O25" s="133">
        <f>+ROUND(IFERROR(AVERAGE(O5:O23),0),0)</f>
        <v>2</v>
      </c>
      <c r="P25" s="133">
        <f>+ROUND(IFERROR(AVERAGE(P5:P23),0),0)</f>
        <v>4</v>
      </c>
      <c r="Q25" s="268">
        <f t="shared" si="5"/>
        <v>1.5</v>
      </c>
      <c r="R25" s="132">
        <f t="shared" si="3"/>
        <v>6</v>
      </c>
    </row>
    <row r="26" spans="1:19" thickBot="1">
      <c r="A26" s="144"/>
      <c r="B26" s="144"/>
      <c r="C26" s="144"/>
      <c r="D26" s="169"/>
      <c r="E26" s="144"/>
      <c r="F26" s="144"/>
      <c r="G26" s="144"/>
      <c r="H26" s="144"/>
      <c r="I26" s="144"/>
      <c r="J26" s="144"/>
      <c r="K26" s="144"/>
      <c r="L26" s="145"/>
      <c r="M26" s="145"/>
      <c r="N26" s="263"/>
      <c r="O26" s="144"/>
      <c r="P26" s="144"/>
      <c r="Q26" s="144"/>
      <c r="R26" s="144"/>
    </row>
    <row r="28" spans="1:19" thickBot="1">
      <c r="F28" s="137" t="s">
        <v>800</v>
      </c>
      <c r="G28" s="137">
        <f>COUNTIF(G5:G23,F28)</f>
        <v>4</v>
      </c>
    </row>
    <row r="29" spans="1:19" thickBot="1">
      <c r="F29" s="137" t="s">
        <v>361</v>
      </c>
      <c r="G29" s="137">
        <f>COUNTIF(G5:G25,F29)</f>
        <v>1</v>
      </c>
    </row>
    <row r="30" spans="1:19" thickBot="1">
      <c r="F30" s="137" t="s">
        <v>806</v>
      </c>
      <c r="G30" s="137">
        <f>COUNTIF(G5:G23,F30)</f>
        <v>4</v>
      </c>
    </row>
    <row r="31" spans="1:19" thickBot="1">
      <c r="F31" s="137" t="s">
        <v>801</v>
      </c>
      <c r="G31" s="137">
        <f>COUNTIF(G5:G23,F31)</f>
        <v>0</v>
      </c>
    </row>
    <row r="32" spans="1:19" thickBot="1">
      <c r="F32" s="137" t="s">
        <v>780</v>
      </c>
      <c r="G32" s="137">
        <f>COUNTIF(G5:G23,F32)</f>
        <v>10</v>
      </c>
    </row>
    <row r="33" spans="6:7" thickBot="1">
      <c r="F33" s="137" t="s">
        <v>802</v>
      </c>
      <c r="G33" s="137">
        <f>COUNTIF(G5:G23,F33)</f>
        <v>0</v>
      </c>
    </row>
    <row r="34" spans="6:7" thickBot="1">
      <c r="F34" s="137" t="s">
        <v>808</v>
      </c>
      <c r="G34" s="137">
        <f>COUNTIF(G5:G23,F34)</f>
        <v>0</v>
      </c>
    </row>
    <row r="35" spans="6:7" ht="14.5"/>
    <row r="36" spans="6:7" ht="14.5"/>
  </sheetData>
  <mergeCells count="24">
    <mergeCell ref="A1:R1"/>
    <mergeCell ref="A2:A4"/>
    <mergeCell ref="B2:B4"/>
    <mergeCell ref="C2:C4"/>
    <mergeCell ref="D2:D4"/>
    <mergeCell ref="E2:E4"/>
    <mergeCell ref="F2:F4"/>
    <mergeCell ref="H2:H3"/>
    <mergeCell ref="I2:I3"/>
    <mergeCell ref="J2:J3"/>
    <mergeCell ref="K2:K4"/>
    <mergeCell ref="L2:O3"/>
    <mergeCell ref="P2:P3"/>
    <mergeCell ref="Q2:Q3"/>
    <mergeCell ref="R2:R3"/>
    <mergeCell ref="G2:G4"/>
    <mergeCell ref="E25:F25"/>
    <mergeCell ref="L25:N25"/>
    <mergeCell ref="A5:A25"/>
    <mergeCell ref="B5:B25"/>
    <mergeCell ref="C5:C25"/>
    <mergeCell ref="D5:D17"/>
    <mergeCell ref="D18:D19"/>
    <mergeCell ref="D20:D22"/>
  </mergeCells>
  <conditionalFormatting sqref="J5:J25 R5:R25">
    <cfRule type="colorScale" priority="1">
      <colorScale>
        <cfvo type="num" val="1"/>
        <cfvo type="num" val="8"/>
        <cfvo type="num" val="22"/>
        <color rgb="FF00B050"/>
        <color rgb="FFFFFF00"/>
        <color rgb="FFFF0000"/>
      </colorScale>
    </cfRule>
  </conditionalFormatting>
  <pageMargins left="0.70866141732283472" right="0.70866141732283472" top="0.74803149606299213" bottom="0.74803149606299213" header="0.31496062992125984" footer="0.31496062992125984"/>
  <pageSetup paperSize="9" scale="60" orientation="landscape" verticalDpi="0" r:id="rId1"/>
  <drawing r:id="rId2"/>
  <legacyDrawing r:id="rId3"/>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tabColor rgb="FFC00000"/>
  </sheetPr>
  <dimension ref="A1:BX61"/>
  <sheetViews>
    <sheetView topLeftCell="A58" workbookViewId="0">
      <selection activeCell="J11" sqref="J11"/>
    </sheetView>
  </sheetViews>
  <sheetFormatPr baseColWidth="10" defaultRowHeight="14.5"/>
  <cols>
    <col min="1" max="1" width="13.81640625" style="350" customWidth="1"/>
    <col min="2" max="2" width="24.81640625" style="350" customWidth="1"/>
    <col min="3" max="3" width="50.453125" customWidth="1"/>
    <col min="4" max="4" width="20.36328125" customWidth="1"/>
    <col min="8" max="76" width="10.90625" style="81"/>
  </cols>
  <sheetData>
    <row r="1" spans="1:76" ht="29" thickBot="1">
      <c r="A1" s="651" t="s">
        <v>971</v>
      </c>
      <c r="B1" s="652"/>
      <c r="C1" s="652"/>
      <c r="D1" s="652"/>
      <c r="E1" s="652"/>
      <c r="F1" s="652"/>
      <c r="G1" s="653"/>
    </row>
    <row r="2" spans="1:76">
      <c r="A2" s="576" t="s">
        <v>72</v>
      </c>
      <c r="B2" s="576" t="s">
        <v>74</v>
      </c>
      <c r="C2" s="576" t="s">
        <v>350</v>
      </c>
      <c r="D2" s="582" t="s">
        <v>809</v>
      </c>
      <c r="E2" s="586" t="s">
        <v>58</v>
      </c>
      <c r="F2" s="586" t="s">
        <v>43</v>
      </c>
      <c r="G2" s="586" t="s">
        <v>245</v>
      </c>
    </row>
    <row r="3" spans="1:76" ht="15" thickBot="1">
      <c r="A3" s="577"/>
      <c r="B3" s="577"/>
      <c r="C3" s="577"/>
      <c r="D3" s="583"/>
      <c r="E3" s="588"/>
      <c r="F3" s="588"/>
      <c r="G3" s="588"/>
    </row>
    <row r="4" spans="1:76" ht="23.5" thickBot="1">
      <c r="A4" s="577"/>
      <c r="B4" s="578"/>
      <c r="C4" s="578"/>
      <c r="D4" s="584"/>
      <c r="E4" s="127" t="s">
        <v>0</v>
      </c>
      <c r="F4" s="127" t="s">
        <v>1</v>
      </c>
      <c r="G4" s="127" t="s">
        <v>4</v>
      </c>
    </row>
    <row r="5" spans="1:76" s="140" customFormat="1" ht="73" thickBot="1">
      <c r="A5" s="654" t="s">
        <v>1337</v>
      </c>
      <c r="B5" s="468" t="s">
        <v>1002</v>
      </c>
      <c r="C5" s="314" t="s">
        <v>361</v>
      </c>
      <c r="D5" s="314" t="s">
        <v>361</v>
      </c>
      <c r="E5" s="129">
        <v>5</v>
      </c>
      <c r="F5" s="129">
        <v>3</v>
      </c>
      <c r="G5" s="129">
        <f t="shared" ref="G5" si="0">E5*F5</f>
        <v>15</v>
      </c>
      <c r="H5" s="387"/>
      <c r="I5" s="387"/>
      <c r="J5" s="387"/>
      <c r="K5" s="387"/>
      <c r="L5" s="387"/>
      <c r="M5" s="387"/>
      <c r="N5" s="387"/>
      <c r="O5" s="387"/>
      <c r="P5" s="387"/>
      <c r="Q5" s="387"/>
      <c r="R5" s="387"/>
      <c r="S5" s="387"/>
      <c r="T5" s="387"/>
      <c r="U5" s="387"/>
      <c r="V5" s="387"/>
      <c r="W5" s="387"/>
      <c r="X5" s="387"/>
      <c r="Y5" s="387"/>
      <c r="Z5" s="387"/>
      <c r="AA5" s="387"/>
      <c r="AB5" s="387"/>
      <c r="AC5" s="387"/>
      <c r="AD5" s="387"/>
      <c r="AE5" s="387"/>
      <c r="AF5" s="387"/>
      <c r="AG5" s="387"/>
      <c r="AH5" s="387"/>
      <c r="AI5" s="387"/>
      <c r="AJ5" s="387"/>
      <c r="AK5" s="387"/>
      <c r="AL5" s="387"/>
      <c r="AM5" s="387"/>
      <c r="AN5" s="387"/>
      <c r="AO5" s="387"/>
      <c r="AP5" s="387"/>
      <c r="AQ5" s="387"/>
      <c r="AR5" s="387"/>
      <c r="AS5" s="387"/>
      <c r="AT5" s="387"/>
      <c r="AU5" s="387"/>
      <c r="AV5" s="387"/>
      <c r="AW5" s="387"/>
      <c r="AX5" s="387"/>
      <c r="AY5" s="387"/>
      <c r="AZ5" s="387"/>
      <c r="BA5" s="387"/>
      <c r="BB5" s="387"/>
      <c r="BC5" s="387"/>
      <c r="BD5" s="387"/>
      <c r="BE5" s="387"/>
      <c r="BF5" s="387"/>
      <c r="BG5" s="387"/>
      <c r="BH5" s="387"/>
      <c r="BI5" s="387"/>
      <c r="BJ5" s="387"/>
      <c r="BK5" s="387"/>
      <c r="BL5" s="387"/>
      <c r="BM5" s="387"/>
      <c r="BN5" s="387"/>
      <c r="BO5" s="387"/>
      <c r="BP5" s="387"/>
      <c r="BQ5" s="387"/>
      <c r="BR5" s="387"/>
      <c r="BS5" s="387"/>
      <c r="BT5" s="387"/>
      <c r="BU5" s="387"/>
      <c r="BV5" s="387"/>
      <c r="BW5" s="387"/>
      <c r="BX5" s="387"/>
    </row>
    <row r="6" spans="1:76" s="140" customFormat="1" ht="29.4" customHeight="1" thickBot="1">
      <c r="A6" s="654"/>
      <c r="B6" s="469" t="s">
        <v>1004</v>
      </c>
      <c r="C6" s="173" t="s">
        <v>1005</v>
      </c>
      <c r="D6" s="173" t="s">
        <v>361</v>
      </c>
      <c r="E6" s="129">
        <v>5</v>
      </c>
      <c r="F6" s="129">
        <v>3</v>
      </c>
      <c r="G6" s="132">
        <f t="shared" ref="G6" si="1">E6*F6</f>
        <v>15</v>
      </c>
      <c r="H6" s="387"/>
      <c r="I6" s="387"/>
      <c r="J6" s="387"/>
      <c r="K6" s="387"/>
      <c r="L6" s="387"/>
      <c r="M6" s="387"/>
      <c r="N6" s="387"/>
      <c r="O6" s="387"/>
      <c r="P6" s="387"/>
      <c r="Q6" s="387"/>
      <c r="R6" s="387"/>
      <c r="S6" s="387"/>
      <c r="T6" s="387"/>
      <c r="U6" s="387"/>
      <c r="V6" s="387"/>
      <c r="W6" s="387"/>
      <c r="X6" s="387"/>
      <c r="Y6" s="387"/>
      <c r="Z6" s="387"/>
      <c r="AA6" s="387"/>
      <c r="AB6" s="387"/>
      <c r="AC6" s="387"/>
      <c r="AD6" s="387"/>
      <c r="AE6" s="387"/>
      <c r="AF6" s="387"/>
      <c r="AG6" s="387"/>
      <c r="AH6" s="387"/>
      <c r="AI6" s="387"/>
      <c r="AJ6" s="387"/>
      <c r="AK6" s="387"/>
      <c r="AL6" s="387"/>
      <c r="AM6" s="387"/>
      <c r="AN6" s="387"/>
      <c r="AO6" s="387"/>
      <c r="AP6" s="387"/>
      <c r="AQ6" s="387"/>
      <c r="AR6" s="387"/>
      <c r="AS6" s="387"/>
      <c r="AT6" s="387"/>
      <c r="AU6" s="387"/>
      <c r="AV6" s="387"/>
      <c r="AW6" s="387"/>
      <c r="AX6" s="387"/>
      <c r="AY6" s="387"/>
      <c r="AZ6" s="387"/>
      <c r="BA6" s="387"/>
      <c r="BB6" s="387"/>
      <c r="BC6" s="387"/>
      <c r="BD6" s="387"/>
      <c r="BE6" s="387"/>
      <c r="BF6" s="387"/>
      <c r="BG6" s="387"/>
      <c r="BH6" s="387"/>
      <c r="BI6" s="387"/>
      <c r="BJ6" s="387"/>
      <c r="BK6" s="387"/>
      <c r="BL6" s="387"/>
      <c r="BM6" s="387"/>
      <c r="BN6" s="387"/>
      <c r="BO6" s="387"/>
      <c r="BP6" s="387"/>
      <c r="BQ6" s="387"/>
      <c r="BR6" s="387"/>
      <c r="BS6" s="387"/>
      <c r="BT6" s="387"/>
      <c r="BU6" s="387"/>
      <c r="BV6" s="387"/>
      <c r="BW6" s="387"/>
      <c r="BX6" s="387"/>
    </row>
    <row r="7" spans="1:76" s="140" customFormat="1" ht="73.75" customHeight="1" thickBot="1">
      <c r="A7" s="654"/>
      <c r="B7" s="468" t="s">
        <v>553</v>
      </c>
      <c r="C7" s="173" t="s">
        <v>557</v>
      </c>
      <c r="D7" s="173" t="s">
        <v>806</v>
      </c>
      <c r="E7" s="129">
        <v>4</v>
      </c>
      <c r="F7" s="129">
        <v>4</v>
      </c>
      <c r="G7" s="132">
        <f t="shared" ref="G7:G8" si="2">E7*F7</f>
        <v>16</v>
      </c>
      <c r="H7" s="387"/>
      <c r="I7" s="387"/>
      <c r="J7" s="387"/>
      <c r="K7" s="387"/>
      <c r="L7" s="387"/>
      <c r="M7" s="387"/>
      <c r="N7" s="387"/>
      <c r="O7" s="387"/>
      <c r="P7" s="387"/>
      <c r="Q7" s="387"/>
      <c r="R7" s="387"/>
      <c r="S7" s="387"/>
      <c r="T7" s="387"/>
      <c r="U7" s="387"/>
      <c r="V7" s="387"/>
      <c r="W7" s="387"/>
      <c r="X7" s="387"/>
      <c r="Y7" s="387"/>
      <c r="Z7" s="387"/>
      <c r="AA7" s="387"/>
      <c r="AB7" s="387"/>
      <c r="AC7" s="387"/>
      <c r="AD7" s="387"/>
      <c r="AE7" s="387"/>
      <c r="AF7" s="387"/>
      <c r="AG7" s="387"/>
      <c r="AH7" s="387"/>
      <c r="AI7" s="387"/>
      <c r="AJ7" s="387"/>
      <c r="AK7" s="387"/>
      <c r="AL7" s="387"/>
      <c r="AM7" s="387"/>
      <c r="AN7" s="387"/>
      <c r="AO7" s="387"/>
      <c r="AP7" s="387"/>
      <c r="AQ7" s="387"/>
      <c r="AR7" s="387"/>
      <c r="AS7" s="387"/>
      <c r="AT7" s="387"/>
      <c r="AU7" s="387"/>
      <c r="AV7" s="387"/>
      <c r="AW7" s="387"/>
      <c r="AX7" s="387"/>
      <c r="AY7" s="387"/>
      <c r="AZ7" s="387"/>
      <c r="BA7" s="387"/>
      <c r="BB7" s="387"/>
      <c r="BC7" s="387"/>
      <c r="BD7" s="387"/>
      <c r="BE7" s="387"/>
      <c r="BF7" s="387"/>
      <c r="BG7" s="387"/>
      <c r="BH7" s="387"/>
      <c r="BI7" s="387"/>
      <c r="BJ7" s="387"/>
      <c r="BK7" s="387"/>
      <c r="BL7" s="387"/>
      <c r="BM7" s="387"/>
      <c r="BN7" s="387"/>
      <c r="BO7" s="387"/>
      <c r="BP7" s="387"/>
      <c r="BQ7" s="387"/>
      <c r="BR7" s="387"/>
      <c r="BS7" s="387"/>
      <c r="BT7" s="387"/>
      <c r="BU7" s="387"/>
      <c r="BV7" s="387"/>
      <c r="BW7" s="387"/>
      <c r="BX7" s="387"/>
    </row>
    <row r="8" spans="1:76" s="140" customFormat="1" ht="73.75" customHeight="1" thickBot="1">
      <c r="A8" s="654"/>
      <c r="B8" s="470" t="s">
        <v>709</v>
      </c>
      <c r="C8" s="295" t="s">
        <v>710</v>
      </c>
      <c r="D8" s="295" t="s">
        <v>806</v>
      </c>
      <c r="E8" s="129">
        <v>4</v>
      </c>
      <c r="F8" s="129">
        <v>4</v>
      </c>
      <c r="G8" s="132">
        <f t="shared" si="2"/>
        <v>16</v>
      </c>
      <c r="H8" s="387"/>
      <c r="I8" s="387"/>
      <c r="J8" s="387"/>
      <c r="K8" s="387"/>
      <c r="L8" s="387"/>
      <c r="M8" s="387"/>
      <c r="N8" s="387"/>
      <c r="O8" s="387"/>
      <c r="P8" s="387"/>
      <c r="Q8" s="387"/>
      <c r="R8" s="387"/>
      <c r="S8" s="387"/>
      <c r="T8" s="387"/>
      <c r="U8" s="387"/>
      <c r="V8" s="387"/>
      <c r="W8" s="387"/>
      <c r="X8" s="387"/>
      <c r="Y8" s="387"/>
      <c r="Z8" s="387"/>
      <c r="AA8" s="387"/>
      <c r="AB8" s="387"/>
      <c r="AC8" s="387"/>
      <c r="AD8" s="387"/>
      <c r="AE8" s="387"/>
      <c r="AF8" s="387"/>
      <c r="AG8" s="387"/>
      <c r="AH8" s="387"/>
      <c r="AI8" s="387"/>
      <c r="AJ8" s="387"/>
      <c r="AK8" s="387"/>
      <c r="AL8" s="387"/>
      <c r="AM8" s="387"/>
      <c r="AN8" s="387"/>
      <c r="AO8" s="387"/>
      <c r="AP8" s="387"/>
      <c r="AQ8" s="387"/>
      <c r="AR8" s="387"/>
      <c r="AS8" s="387"/>
      <c r="AT8" s="387"/>
      <c r="AU8" s="387"/>
      <c r="AV8" s="387"/>
      <c r="AW8" s="387"/>
      <c r="AX8" s="387"/>
      <c r="AY8" s="387"/>
      <c r="AZ8" s="387"/>
      <c r="BA8" s="387"/>
      <c r="BB8" s="387"/>
      <c r="BC8" s="387"/>
      <c r="BD8" s="387"/>
      <c r="BE8" s="387"/>
      <c r="BF8" s="387"/>
      <c r="BG8" s="387"/>
      <c r="BH8" s="387"/>
      <c r="BI8" s="387"/>
      <c r="BJ8" s="387"/>
      <c r="BK8" s="387"/>
      <c r="BL8" s="387"/>
      <c r="BM8" s="387"/>
      <c r="BN8" s="387"/>
      <c r="BO8" s="387"/>
      <c r="BP8" s="387"/>
      <c r="BQ8" s="387"/>
      <c r="BR8" s="387"/>
      <c r="BS8" s="387"/>
      <c r="BT8" s="387"/>
      <c r="BU8" s="387"/>
      <c r="BV8" s="387"/>
      <c r="BW8" s="387"/>
      <c r="BX8" s="387"/>
    </row>
    <row r="9" spans="1:76" s="140" customFormat="1" ht="29.5" thickBot="1">
      <c r="A9" s="654"/>
      <c r="B9" s="309" t="s">
        <v>774</v>
      </c>
      <c r="C9" s="473" t="s">
        <v>775</v>
      </c>
      <c r="D9" s="305" t="s">
        <v>806</v>
      </c>
      <c r="E9" s="290">
        <v>4</v>
      </c>
      <c r="F9" s="290">
        <v>4</v>
      </c>
      <c r="G9" s="132">
        <f t="shared" ref="G9:G10" si="3">E9*F9</f>
        <v>16</v>
      </c>
      <c r="H9" s="387"/>
      <c r="I9" s="387"/>
      <c r="J9" s="387"/>
      <c r="K9" s="387"/>
      <c r="L9" s="387"/>
      <c r="M9" s="387"/>
      <c r="N9" s="387"/>
      <c r="O9" s="387"/>
      <c r="P9" s="387"/>
      <c r="Q9" s="387"/>
      <c r="R9" s="387"/>
      <c r="S9" s="387"/>
      <c r="T9" s="387"/>
      <c r="U9" s="387"/>
      <c r="V9" s="387"/>
      <c r="W9" s="387"/>
      <c r="X9" s="387"/>
      <c r="Y9" s="387"/>
      <c r="Z9" s="387"/>
      <c r="AA9" s="387"/>
      <c r="AB9" s="387"/>
      <c r="AC9" s="387"/>
      <c r="AD9" s="387"/>
      <c r="AE9" s="387"/>
      <c r="AF9" s="387"/>
      <c r="AG9" s="387"/>
      <c r="AH9" s="387"/>
      <c r="AI9" s="387"/>
      <c r="AJ9" s="387"/>
      <c r="AK9" s="387"/>
      <c r="AL9" s="387"/>
      <c r="AM9" s="387"/>
      <c r="AN9" s="387"/>
      <c r="AO9" s="387"/>
      <c r="AP9" s="387"/>
      <c r="AQ9" s="387"/>
      <c r="AR9" s="387"/>
      <c r="AS9" s="387"/>
      <c r="AT9" s="387"/>
      <c r="AU9" s="387"/>
      <c r="AV9" s="387"/>
      <c r="AW9" s="387"/>
      <c r="AX9" s="387"/>
      <c r="AY9" s="387"/>
      <c r="AZ9" s="387"/>
      <c r="BA9" s="387"/>
      <c r="BB9" s="387"/>
      <c r="BC9" s="387"/>
      <c r="BD9" s="387"/>
      <c r="BE9" s="387"/>
      <c r="BF9" s="387"/>
      <c r="BG9" s="387"/>
      <c r="BH9" s="387"/>
      <c r="BI9" s="387"/>
      <c r="BJ9" s="387"/>
      <c r="BK9" s="387"/>
      <c r="BL9" s="387"/>
      <c r="BM9" s="387"/>
      <c r="BN9" s="387"/>
      <c r="BO9" s="387"/>
      <c r="BP9" s="387"/>
      <c r="BQ9" s="387"/>
      <c r="BR9" s="387"/>
      <c r="BS9" s="387"/>
      <c r="BT9" s="387"/>
      <c r="BU9" s="387"/>
      <c r="BV9" s="387"/>
      <c r="BW9" s="387"/>
      <c r="BX9" s="387"/>
    </row>
    <row r="10" spans="1:76" s="140" customFormat="1" ht="15" thickBot="1">
      <c r="A10" s="654"/>
      <c r="B10" s="471" t="s">
        <v>776</v>
      </c>
      <c r="C10" s="474" t="s">
        <v>777</v>
      </c>
      <c r="D10" s="472" t="s">
        <v>361</v>
      </c>
      <c r="E10" s="290">
        <v>4</v>
      </c>
      <c r="F10" s="290">
        <v>4</v>
      </c>
      <c r="G10" s="132">
        <f t="shared" si="3"/>
        <v>16</v>
      </c>
      <c r="H10" s="387"/>
      <c r="I10" s="387"/>
      <c r="J10" s="387"/>
      <c r="K10" s="387"/>
      <c r="L10" s="387"/>
      <c r="M10" s="387"/>
      <c r="N10" s="387"/>
      <c r="O10" s="387"/>
      <c r="P10" s="387"/>
      <c r="Q10" s="387"/>
      <c r="R10" s="387"/>
      <c r="S10" s="387"/>
      <c r="T10" s="387"/>
      <c r="U10" s="387"/>
      <c r="V10" s="387"/>
      <c r="W10" s="387"/>
      <c r="X10" s="387"/>
      <c r="Y10" s="387"/>
      <c r="Z10" s="387"/>
      <c r="AA10" s="387"/>
      <c r="AB10" s="387"/>
      <c r="AC10" s="387"/>
      <c r="AD10" s="387"/>
      <c r="AE10" s="387"/>
      <c r="AF10" s="387"/>
      <c r="AG10" s="387"/>
      <c r="AH10" s="387"/>
      <c r="AI10" s="387"/>
      <c r="AJ10" s="387"/>
      <c r="AK10" s="387"/>
      <c r="AL10" s="387"/>
      <c r="AM10" s="387"/>
      <c r="AN10" s="387"/>
      <c r="AO10" s="387"/>
      <c r="AP10" s="387"/>
      <c r="AQ10" s="387"/>
      <c r="AR10" s="387"/>
      <c r="AS10" s="387"/>
      <c r="AT10" s="387"/>
      <c r="AU10" s="387"/>
      <c r="AV10" s="387"/>
      <c r="AW10" s="387"/>
      <c r="AX10" s="387"/>
      <c r="AY10" s="387"/>
      <c r="AZ10" s="387"/>
      <c r="BA10" s="387"/>
      <c r="BB10" s="387"/>
      <c r="BC10" s="387"/>
      <c r="BD10" s="387"/>
      <c r="BE10" s="387"/>
      <c r="BF10" s="387"/>
      <c r="BG10" s="387"/>
      <c r="BH10" s="387"/>
      <c r="BI10" s="387"/>
      <c r="BJ10" s="387"/>
      <c r="BK10" s="387"/>
      <c r="BL10" s="387"/>
      <c r="BM10" s="387"/>
      <c r="BN10" s="387"/>
      <c r="BO10" s="387"/>
      <c r="BP10" s="387"/>
      <c r="BQ10" s="387"/>
      <c r="BR10" s="387"/>
      <c r="BS10" s="387"/>
      <c r="BT10" s="387"/>
      <c r="BU10" s="387"/>
      <c r="BV10" s="387"/>
      <c r="BW10" s="387"/>
      <c r="BX10" s="387"/>
    </row>
    <row r="11" spans="1:76" s="372" customFormat="1" ht="73" thickBot="1">
      <c r="A11" s="516" t="s">
        <v>1338</v>
      </c>
      <c r="B11" s="495" t="s">
        <v>1006</v>
      </c>
      <c r="C11" s="381" t="s">
        <v>376</v>
      </c>
      <c r="D11" s="381" t="s">
        <v>800</v>
      </c>
      <c r="E11" s="475">
        <v>4</v>
      </c>
      <c r="F11" s="475">
        <v>4</v>
      </c>
      <c r="G11" s="368">
        <f>E11*F11</f>
        <v>16</v>
      </c>
      <c r="H11" s="387"/>
      <c r="I11" s="387"/>
      <c r="J11" s="387"/>
      <c r="K11" s="387"/>
      <c r="L11" s="387"/>
      <c r="M11" s="387"/>
      <c r="N11" s="387"/>
      <c r="O11" s="387"/>
      <c r="P11" s="387"/>
      <c r="Q11" s="387"/>
      <c r="R11" s="387"/>
      <c r="S11" s="387"/>
      <c r="T11" s="387"/>
      <c r="U11" s="387"/>
      <c r="V11" s="387"/>
      <c r="W11" s="387"/>
      <c r="X11" s="387"/>
      <c r="Y11" s="387"/>
      <c r="Z11" s="387"/>
      <c r="AA11" s="387"/>
      <c r="AB11" s="387"/>
      <c r="AC11" s="387"/>
      <c r="AD11" s="387"/>
      <c r="AE11" s="387"/>
      <c r="AF11" s="387"/>
      <c r="AG11" s="387"/>
      <c r="AH11" s="387"/>
      <c r="AI11" s="387"/>
      <c r="AJ11" s="387"/>
      <c r="AK11" s="387"/>
      <c r="AL11" s="387"/>
      <c r="AM11" s="387"/>
      <c r="AN11" s="387"/>
      <c r="AO11" s="387"/>
      <c r="AP11" s="387"/>
      <c r="AQ11" s="387"/>
      <c r="AR11" s="387"/>
      <c r="AS11" s="387"/>
      <c r="AT11" s="387"/>
      <c r="AU11" s="387"/>
      <c r="AV11" s="387"/>
      <c r="AW11" s="387"/>
      <c r="AX11" s="387"/>
      <c r="AY11" s="387"/>
      <c r="AZ11" s="387"/>
      <c r="BA11" s="387"/>
      <c r="BB11" s="387"/>
      <c r="BC11" s="387"/>
      <c r="BD11" s="387"/>
      <c r="BE11" s="387"/>
      <c r="BF11" s="387"/>
      <c r="BG11" s="387"/>
      <c r="BH11" s="387"/>
      <c r="BI11" s="387"/>
      <c r="BJ11" s="387"/>
      <c r="BK11" s="387"/>
      <c r="BL11" s="387"/>
      <c r="BM11" s="387"/>
      <c r="BN11" s="387"/>
      <c r="BO11" s="387"/>
      <c r="BP11" s="387"/>
      <c r="BQ11" s="387"/>
      <c r="BR11" s="387"/>
      <c r="BS11" s="387"/>
      <c r="BT11" s="387"/>
      <c r="BU11" s="387"/>
      <c r="BV11" s="387"/>
      <c r="BW11" s="387"/>
      <c r="BX11" s="387"/>
    </row>
    <row r="12" spans="1:76" s="372" customFormat="1" ht="29.5" thickBot="1">
      <c r="A12" s="516"/>
      <c r="B12" s="495" t="s">
        <v>1007</v>
      </c>
      <c r="C12" s="381" t="s">
        <v>1008</v>
      </c>
      <c r="D12" s="381" t="s">
        <v>1008</v>
      </c>
      <c r="E12" s="475">
        <v>4</v>
      </c>
      <c r="F12" s="475">
        <v>4</v>
      </c>
      <c r="G12" s="368">
        <f>E12*F12</f>
        <v>16</v>
      </c>
      <c r="H12" s="387"/>
      <c r="I12" s="387"/>
      <c r="J12" s="387"/>
      <c r="K12" s="387"/>
      <c r="L12" s="387"/>
      <c r="M12" s="387"/>
      <c r="N12" s="387"/>
      <c r="O12" s="387"/>
      <c r="P12" s="387"/>
      <c r="Q12" s="387"/>
      <c r="R12" s="387"/>
      <c r="S12" s="387"/>
      <c r="T12" s="387"/>
      <c r="U12" s="387"/>
      <c r="V12" s="387"/>
      <c r="W12" s="387"/>
      <c r="X12" s="387"/>
      <c r="Y12" s="387"/>
      <c r="Z12" s="387"/>
      <c r="AA12" s="387"/>
      <c r="AB12" s="387"/>
      <c r="AC12" s="387"/>
      <c r="AD12" s="387"/>
      <c r="AE12" s="387"/>
      <c r="AF12" s="387"/>
      <c r="AG12" s="387"/>
      <c r="AH12" s="387"/>
      <c r="AI12" s="387"/>
      <c r="AJ12" s="387"/>
      <c r="AK12" s="387"/>
      <c r="AL12" s="387"/>
      <c r="AM12" s="387"/>
      <c r="AN12" s="387"/>
      <c r="AO12" s="387"/>
      <c r="AP12" s="387"/>
      <c r="AQ12" s="387"/>
      <c r="AR12" s="387"/>
      <c r="AS12" s="387"/>
      <c r="AT12" s="387"/>
      <c r="AU12" s="387"/>
      <c r="AV12" s="387"/>
      <c r="AW12" s="387"/>
      <c r="AX12" s="387"/>
      <c r="AY12" s="387"/>
      <c r="AZ12" s="387"/>
      <c r="BA12" s="387"/>
      <c r="BB12" s="387"/>
      <c r="BC12" s="387"/>
      <c r="BD12" s="387"/>
      <c r="BE12" s="387"/>
      <c r="BF12" s="387"/>
      <c r="BG12" s="387"/>
      <c r="BH12" s="387"/>
      <c r="BI12" s="387"/>
      <c r="BJ12" s="387"/>
      <c r="BK12" s="387"/>
      <c r="BL12" s="387"/>
      <c r="BM12" s="387"/>
      <c r="BN12" s="387"/>
      <c r="BO12" s="387"/>
      <c r="BP12" s="387"/>
      <c r="BQ12" s="387"/>
      <c r="BR12" s="387"/>
      <c r="BS12" s="387"/>
      <c r="BT12" s="387"/>
      <c r="BU12" s="387"/>
      <c r="BV12" s="387"/>
      <c r="BW12" s="387"/>
      <c r="BX12" s="387"/>
    </row>
    <row r="13" spans="1:76" s="140" customFormat="1" ht="58.5" thickBot="1">
      <c r="A13" s="516"/>
      <c r="B13" s="496" t="s">
        <v>284</v>
      </c>
      <c r="C13" s="173" t="s">
        <v>377</v>
      </c>
      <c r="D13" s="173" t="s">
        <v>800</v>
      </c>
      <c r="E13" s="129">
        <v>5</v>
      </c>
      <c r="F13" s="129">
        <v>3</v>
      </c>
      <c r="G13" s="158">
        <f t="shared" ref="G13" si="4">E13*F13</f>
        <v>15</v>
      </c>
      <c r="H13" s="387"/>
      <c r="I13" s="387"/>
      <c r="J13" s="387"/>
      <c r="K13" s="387"/>
      <c r="L13" s="387"/>
      <c r="M13" s="387"/>
      <c r="N13" s="387"/>
      <c r="O13" s="387"/>
      <c r="P13" s="387"/>
      <c r="Q13" s="387"/>
      <c r="R13" s="387"/>
      <c r="S13" s="387"/>
      <c r="T13" s="387"/>
      <c r="U13" s="387"/>
      <c r="V13" s="387"/>
      <c r="W13" s="387"/>
      <c r="X13" s="387"/>
      <c r="Y13" s="387"/>
      <c r="Z13" s="387"/>
      <c r="AA13" s="387"/>
      <c r="AB13" s="387"/>
      <c r="AC13" s="387"/>
      <c r="AD13" s="387"/>
      <c r="AE13" s="387"/>
      <c r="AF13" s="387"/>
      <c r="AG13" s="387"/>
      <c r="AH13" s="387"/>
      <c r="AI13" s="387"/>
      <c r="AJ13" s="387"/>
      <c r="AK13" s="387"/>
      <c r="AL13" s="387"/>
      <c r="AM13" s="387"/>
      <c r="AN13" s="387"/>
      <c r="AO13" s="387"/>
      <c r="AP13" s="387"/>
      <c r="AQ13" s="387"/>
      <c r="AR13" s="387"/>
      <c r="AS13" s="387"/>
      <c r="AT13" s="387"/>
      <c r="AU13" s="387"/>
      <c r="AV13" s="387"/>
      <c r="AW13" s="387"/>
      <c r="AX13" s="387"/>
      <c r="AY13" s="387"/>
      <c r="AZ13" s="387"/>
      <c r="BA13" s="387"/>
      <c r="BB13" s="387"/>
      <c r="BC13" s="387"/>
      <c r="BD13" s="387"/>
      <c r="BE13" s="387"/>
      <c r="BF13" s="387"/>
      <c r="BG13" s="387"/>
      <c r="BH13" s="387"/>
      <c r="BI13" s="387"/>
      <c r="BJ13" s="387"/>
      <c r="BK13" s="387"/>
      <c r="BL13" s="387"/>
      <c r="BM13" s="387"/>
      <c r="BN13" s="387"/>
      <c r="BO13" s="387"/>
      <c r="BP13" s="387"/>
      <c r="BQ13" s="387"/>
      <c r="BR13" s="387"/>
      <c r="BS13" s="387"/>
      <c r="BT13" s="387"/>
      <c r="BU13" s="387"/>
      <c r="BV13" s="387"/>
      <c r="BW13" s="387"/>
      <c r="BX13" s="387"/>
    </row>
    <row r="14" spans="1:76" s="140" customFormat="1" ht="29.5" thickBot="1">
      <c r="A14" s="516"/>
      <c r="B14" s="468" t="s">
        <v>714</v>
      </c>
      <c r="C14" s="314" t="s">
        <v>379</v>
      </c>
      <c r="D14" s="173" t="s">
        <v>800</v>
      </c>
      <c r="E14" s="129">
        <v>5</v>
      </c>
      <c r="F14" s="129">
        <v>3</v>
      </c>
      <c r="G14" s="130">
        <f t="shared" ref="G14" si="5">E14*F14</f>
        <v>15</v>
      </c>
      <c r="H14" s="387"/>
      <c r="I14" s="387"/>
      <c r="J14" s="387"/>
      <c r="K14" s="387"/>
      <c r="L14" s="387"/>
      <c r="M14" s="387"/>
      <c r="N14" s="387"/>
      <c r="O14" s="387"/>
      <c r="P14" s="387"/>
      <c r="Q14" s="387"/>
      <c r="R14" s="387"/>
      <c r="S14" s="387"/>
      <c r="T14" s="387"/>
      <c r="U14" s="387"/>
      <c r="V14" s="387"/>
      <c r="W14" s="387"/>
      <c r="X14" s="387"/>
      <c r="Y14" s="387"/>
      <c r="Z14" s="387"/>
      <c r="AA14" s="387"/>
      <c r="AB14" s="387"/>
      <c r="AC14" s="387"/>
      <c r="AD14" s="387"/>
      <c r="AE14" s="387"/>
      <c r="AF14" s="387"/>
      <c r="AG14" s="387"/>
      <c r="AH14" s="387"/>
      <c r="AI14" s="387"/>
      <c r="AJ14" s="387"/>
      <c r="AK14" s="387"/>
      <c r="AL14" s="387"/>
      <c r="AM14" s="387"/>
      <c r="AN14" s="387"/>
      <c r="AO14" s="387"/>
      <c r="AP14" s="387"/>
      <c r="AQ14" s="387"/>
      <c r="AR14" s="387"/>
      <c r="AS14" s="387"/>
      <c r="AT14" s="387"/>
      <c r="AU14" s="387"/>
      <c r="AV14" s="387"/>
      <c r="AW14" s="387"/>
      <c r="AX14" s="387"/>
      <c r="AY14" s="387"/>
      <c r="AZ14" s="387"/>
      <c r="BA14" s="387"/>
      <c r="BB14" s="387"/>
      <c r="BC14" s="387"/>
      <c r="BD14" s="387"/>
      <c r="BE14" s="387"/>
      <c r="BF14" s="387"/>
      <c r="BG14" s="387"/>
      <c r="BH14" s="387"/>
      <c r="BI14" s="387"/>
      <c r="BJ14" s="387"/>
      <c r="BK14" s="387"/>
      <c r="BL14" s="387"/>
      <c r="BM14" s="387"/>
      <c r="BN14" s="387"/>
      <c r="BO14" s="387"/>
      <c r="BP14" s="387"/>
      <c r="BQ14" s="387"/>
      <c r="BR14" s="387"/>
      <c r="BS14" s="387"/>
      <c r="BT14" s="387"/>
      <c r="BU14" s="387"/>
      <c r="BV14" s="387"/>
      <c r="BW14" s="387"/>
      <c r="BX14" s="387"/>
    </row>
    <row r="15" spans="1:76" s="140" customFormat="1" ht="87.5" thickBot="1">
      <c r="A15" s="262"/>
      <c r="B15" s="497" t="s">
        <v>462</v>
      </c>
      <c r="C15" s="173" t="s">
        <v>833</v>
      </c>
      <c r="D15" s="173" t="s">
        <v>801</v>
      </c>
      <c r="E15" s="129">
        <v>4</v>
      </c>
      <c r="F15" s="129">
        <v>4</v>
      </c>
      <c r="G15" s="171">
        <f>E15*F15</f>
        <v>16</v>
      </c>
      <c r="H15" s="387"/>
      <c r="I15" s="387"/>
      <c r="J15" s="387"/>
      <c r="K15" s="387"/>
      <c r="L15" s="387"/>
      <c r="M15" s="387"/>
      <c r="N15" s="387"/>
      <c r="O15" s="387"/>
      <c r="P15" s="387"/>
      <c r="Q15" s="387"/>
      <c r="R15" s="387"/>
      <c r="S15" s="387"/>
      <c r="T15" s="387"/>
      <c r="U15" s="387"/>
      <c r="V15" s="387"/>
      <c r="W15" s="387"/>
      <c r="X15" s="387"/>
      <c r="Y15" s="387"/>
      <c r="Z15" s="387"/>
      <c r="AA15" s="387"/>
      <c r="AB15" s="387"/>
      <c r="AC15" s="387"/>
      <c r="AD15" s="387"/>
      <c r="AE15" s="387"/>
      <c r="AF15" s="387"/>
      <c r="AG15" s="387"/>
      <c r="AH15" s="387"/>
      <c r="AI15" s="387"/>
      <c r="AJ15" s="387"/>
      <c r="AK15" s="387"/>
      <c r="AL15" s="387"/>
      <c r="AM15" s="387"/>
      <c r="AN15" s="387"/>
      <c r="AO15" s="387"/>
      <c r="AP15" s="387"/>
      <c r="AQ15" s="387"/>
      <c r="AR15" s="387"/>
      <c r="AS15" s="387"/>
      <c r="AT15" s="387"/>
      <c r="AU15" s="387"/>
      <c r="AV15" s="387"/>
      <c r="AW15" s="387"/>
      <c r="AX15" s="387"/>
      <c r="AY15" s="387"/>
      <c r="AZ15" s="387"/>
      <c r="BA15" s="387"/>
      <c r="BB15" s="387"/>
      <c r="BC15" s="387"/>
      <c r="BD15" s="387"/>
      <c r="BE15" s="387"/>
      <c r="BF15" s="387"/>
      <c r="BG15" s="387"/>
      <c r="BH15" s="387"/>
      <c r="BI15" s="387"/>
      <c r="BJ15" s="387"/>
      <c r="BK15" s="387"/>
      <c r="BL15" s="387"/>
      <c r="BM15" s="387"/>
      <c r="BN15" s="387"/>
      <c r="BO15" s="387"/>
      <c r="BP15" s="387"/>
      <c r="BQ15" s="387"/>
      <c r="BR15" s="387"/>
      <c r="BS15" s="387"/>
      <c r="BT15" s="387"/>
      <c r="BU15" s="387"/>
      <c r="BV15" s="387"/>
      <c r="BW15" s="387"/>
      <c r="BX15" s="387"/>
    </row>
    <row r="16" spans="1:76" s="140" customFormat="1" ht="29.5" thickBot="1">
      <c r="A16" s="654" t="s">
        <v>821</v>
      </c>
      <c r="B16" s="497" t="s">
        <v>420</v>
      </c>
      <c r="C16" s="173" t="s">
        <v>418</v>
      </c>
      <c r="D16" s="173" t="s">
        <v>801</v>
      </c>
      <c r="E16" s="129">
        <v>4</v>
      </c>
      <c r="F16" s="129">
        <v>4</v>
      </c>
      <c r="G16" s="171">
        <f t="shared" ref="G16" si="6">E16*F16</f>
        <v>16</v>
      </c>
      <c r="H16" s="387"/>
      <c r="I16" s="387"/>
      <c r="J16" s="387"/>
      <c r="K16" s="387"/>
      <c r="L16" s="387"/>
      <c r="M16" s="387"/>
      <c r="N16" s="387"/>
      <c r="O16" s="387"/>
      <c r="P16" s="387"/>
      <c r="Q16" s="387"/>
      <c r="R16" s="387"/>
      <c r="S16" s="387"/>
      <c r="T16" s="387"/>
      <c r="U16" s="387"/>
      <c r="V16" s="387"/>
      <c r="W16" s="387"/>
      <c r="X16" s="387"/>
      <c r="Y16" s="387"/>
      <c r="Z16" s="387"/>
      <c r="AA16" s="387"/>
      <c r="AB16" s="387"/>
      <c r="AC16" s="387"/>
      <c r="AD16" s="387"/>
      <c r="AE16" s="387"/>
      <c r="AF16" s="387"/>
      <c r="AG16" s="387"/>
      <c r="AH16" s="387"/>
      <c r="AI16" s="387"/>
      <c r="AJ16" s="387"/>
      <c r="AK16" s="387"/>
      <c r="AL16" s="387"/>
      <c r="AM16" s="387"/>
      <c r="AN16" s="387"/>
      <c r="AO16" s="387"/>
      <c r="AP16" s="387"/>
      <c r="AQ16" s="387"/>
      <c r="AR16" s="387"/>
      <c r="AS16" s="387"/>
      <c r="AT16" s="387"/>
      <c r="AU16" s="387"/>
      <c r="AV16" s="387"/>
      <c r="AW16" s="387"/>
      <c r="AX16" s="387"/>
      <c r="AY16" s="387"/>
      <c r="AZ16" s="387"/>
      <c r="BA16" s="387"/>
      <c r="BB16" s="387"/>
      <c r="BC16" s="387"/>
      <c r="BD16" s="387"/>
      <c r="BE16" s="387"/>
      <c r="BF16" s="387"/>
      <c r="BG16" s="387"/>
      <c r="BH16" s="387"/>
      <c r="BI16" s="387"/>
      <c r="BJ16" s="387"/>
      <c r="BK16" s="387"/>
      <c r="BL16" s="387"/>
      <c r="BM16" s="387"/>
      <c r="BN16" s="387"/>
      <c r="BO16" s="387"/>
      <c r="BP16" s="387"/>
      <c r="BQ16" s="387"/>
      <c r="BR16" s="387"/>
      <c r="BS16" s="387"/>
      <c r="BT16" s="387"/>
      <c r="BU16" s="387"/>
      <c r="BV16" s="387"/>
      <c r="BW16" s="387"/>
      <c r="BX16" s="387"/>
    </row>
    <row r="17" spans="1:76" s="379" customFormat="1" ht="44" thickBot="1">
      <c r="A17" s="654"/>
      <c r="B17" s="498" t="s">
        <v>463</v>
      </c>
      <c r="C17" s="381" t="s">
        <v>456</v>
      </c>
      <c r="D17" s="381" t="s">
        <v>800</v>
      </c>
      <c r="E17" s="382">
        <v>5</v>
      </c>
      <c r="F17" s="382">
        <v>4</v>
      </c>
      <c r="G17" s="382">
        <f t="shared" ref="G17" si="7">E17*F17</f>
        <v>20</v>
      </c>
      <c r="H17" s="387"/>
      <c r="I17" s="387"/>
      <c r="J17" s="387"/>
      <c r="K17" s="387"/>
      <c r="L17" s="387"/>
      <c r="M17" s="387"/>
      <c r="N17" s="387"/>
      <c r="O17" s="387"/>
      <c r="P17" s="387"/>
      <c r="Q17" s="387"/>
      <c r="R17" s="387"/>
      <c r="S17" s="387"/>
      <c r="T17" s="387"/>
      <c r="U17" s="387"/>
      <c r="V17" s="387"/>
      <c r="W17" s="387"/>
      <c r="X17" s="387"/>
      <c r="Y17" s="387"/>
      <c r="Z17" s="387"/>
      <c r="AA17" s="387"/>
      <c r="AB17" s="387"/>
      <c r="AC17" s="387"/>
      <c r="AD17" s="387"/>
      <c r="AE17" s="387"/>
      <c r="AF17" s="387"/>
      <c r="AG17" s="387"/>
      <c r="AH17" s="387"/>
      <c r="AI17" s="387"/>
      <c r="AJ17" s="387"/>
      <c r="AK17" s="387"/>
      <c r="AL17" s="387"/>
      <c r="AM17" s="387"/>
      <c r="AN17" s="387"/>
      <c r="AO17" s="387"/>
      <c r="AP17" s="387"/>
      <c r="AQ17" s="387"/>
      <c r="AR17" s="387"/>
      <c r="AS17" s="387"/>
      <c r="AT17" s="387"/>
      <c r="AU17" s="387"/>
      <c r="AV17" s="387"/>
      <c r="AW17" s="387"/>
      <c r="AX17" s="387"/>
      <c r="AY17" s="387"/>
      <c r="AZ17" s="387"/>
      <c r="BA17" s="387"/>
      <c r="BB17" s="387"/>
      <c r="BC17" s="387"/>
      <c r="BD17" s="387"/>
      <c r="BE17" s="387"/>
      <c r="BF17" s="387"/>
      <c r="BG17" s="387"/>
      <c r="BH17" s="387"/>
      <c r="BI17" s="387"/>
      <c r="BJ17" s="387"/>
      <c r="BK17" s="387"/>
      <c r="BL17" s="387"/>
      <c r="BM17" s="387"/>
      <c r="BN17" s="387"/>
      <c r="BO17" s="387"/>
      <c r="BP17" s="387"/>
      <c r="BQ17" s="387"/>
      <c r="BR17" s="387"/>
      <c r="BS17" s="387"/>
      <c r="BT17" s="387"/>
      <c r="BU17" s="387"/>
      <c r="BV17" s="387"/>
      <c r="BW17" s="387"/>
      <c r="BX17" s="387"/>
    </row>
    <row r="18" spans="1:76" s="387" customFormat="1" ht="73" thickBot="1">
      <c r="A18" s="654"/>
      <c r="B18" s="499" t="s">
        <v>1029</v>
      </c>
      <c r="C18" s="381" t="s">
        <v>1278</v>
      </c>
      <c r="D18" s="381" t="s">
        <v>1279</v>
      </c>
      <c r="E18" s="382">
        <v>5</v>
      </c>
      <c r="F18" s="382">
        <v>3</v>
      </c>
      <c r="G18" s="377">
        <f t="shared" ref="G18" si="8">E18*F18</f>
        <v>15</v>
      </c>
    </row>
    <row r="19" spans="1:76" s="494" customFormat="1" ht="43.5">
      <c r="A19" s="654"/>
      <c r="B19" s="500" t="s">
        <v>1031</v>
      </c>
      <c r="C19" s="486" t="s">
        <v>1278</v>
      </c>
      <c r="D19" s="486" t="s">
        <v>1279</v>
      </c>
      <c r="E19" s="487">
        <v>4</v>
      </c>
      <c r="F19" s="487">
        <v>4</v>
      </c>
      <c r="G19" s="488">
        <f t="shared" ref="G19" si="9">E19*F19</f>
        <v>16</v>
      </c>
    </row>
    <row r="20" spans="1:76" s="484" customFormat="1" ht="73" thickBot="1">
      <c r="A20" s="654"/>
      <c r="B20" s="501" t="s">
        <v>467</v>
      </c>
      <c r="C20" s="477" t="s">
        <v>456</v>
      </c>
      <c r="D20" s="477" t="s">
        <v>800</v>
      </c>
      <c r="E20" s="478">
        <v>5</v>
      </c>
      <c r="F20" s="478">
        <v>4</v>
      </c>
      <c r="G20" s="478">
        <f t="shared" ref="G20:G24" si="10">E20*F20</f>
        <v>20</v>
      </c>
    </row>
    <row r="21" spans="1:76" s="140" customFormat="1" ht="73" thickBot="1">
      <c r="A21" s="654"/>
      <c r="B21" s="497" t="s">
        <v>469</v>
      </c>
      <c r="C21" s="173" t="s">
        <v>456</v>
      </c>
      <c r="D21" s="173" t="s">
        <v>800</v>
      </c>
      <c r="E21" s="129">
        <v>5</v>
      </c>
      <c r="F21" s="129">
        <v>4</v>
      </c>
      <c r="G21" s="171">
        <f t="shared" si="10"/>
        <v>20</v>
      </c>
      <c r="I21" s="387"/>
      <c r="J21" s="387"/>
      <c r="K21" s="387"/>
      <c r="L21" s="387"/>
      <c r="M21" s="387"/>
      <c r="N21" s="387"/>
      <c r="O21" s="387"/>
      <c r="P21" s="387"/>
      <c r="Q21" s="387"/>
      <c r="R21" s="387"/>
      <c r="S21" s="387"/>
      <c r="T21" s="387"/>
      <c r="U21" s="387"/>
      <c r="V21" s="387"/>
      <c r="W21" s="387"/>
      <c r="X21" s="387"/>
      <c r="Y21" s="387"/>
      <c r="Z21" s="387"/>
      <c r="AA21" s="387"/>
      <c r="AB21" s="387"/>
      <c r="AC21" s="387"/>
      <c r="AD21" s="387"/>
      <c r="AE21" s="387"/>
      <c r="AF21" s="387"/>
      <c r="AG21" s="387"/>
      <c r="AH21" s="387"/>
      <c r="AI21" s="387"/>
      <c r="AJ21" s="387"/>
      <c r="AK21" s="387"/>
      <c r="AL21" s="387"/>
      <c r="AM21" s="387"/>
      <c r="AN21" s="387"/>
      <c r="AO21" s="387"/>
      <c r="AP21" s="387"/>
      <c r="AQ21" s="387"/>
      <c r="AR21" s="387"/>
      <c r="AS21" s="387"/>
      <c r="AT21" s="387"/>
      <c r="AU21" s="387"/>
      <c r="AV21" s="387"/>
      <c r="AW21" s="387"/>
      <c r="AX21" s="387"/>
      <c r="AY21" s="387"/>
      <c r="AZ21" s="387"/>
      <c r="BA21" s="387"/>
      <c r="BB21" s="387"/>
      <c r="BC21" s="387"/>
      <c r="BD21" s="387"/>
      <c r="BE21" s="387"/>
      <c r="BF21" s="387"/>
      <c r="BG21" s="387"/>
      <c r="BH21" s="387"/>
      <c r="BI21" s="387"/>
      <c r="BJ21" s="387"/>
      <c r="BK21" s="387"/>
      <c r="BL21" s="387"/>
      <c r="BM21" s="387"/>
      <c r="BN21" s="387"/>
      <c r="BO21" s="387"/>
      <c r="BP21" s="387"/>
      <c r="BQ21" s="387"/>
      <c r="BR21" s="387"/>
      <c r="BS21" s="387"/>
      <c r="BT21" s="387"/>
      <c r="BU21" s="387"/>
      <c r="BV21" s="387"/>
      <c r="BW21" s="387"/>
      <c r="BX21" s="387"/>
    </row>
    <row r="22" spans="1:76" s="387" customFormat="1" ht="73" thickBot="1">
      <c r="A22" s="654"/>
      <c r="B22" s="498" t="s">
        <v>1034</v>
      </c>
      <c r="C22" s="381" t="s">
        <v>1282</v>
      </c>
      <c r="D22" s="381" t="s">
        <v>801</v>
      </c>
      <c r="E22" s="382">
        <v>4</v>
      </c>
      <c r="F22" s="382">
        <v>4</v>
      </c>
      <c r="G22" s="382">
        <f t="shared" si="10"/>
        <v>16</v>
      </c>
    </row>
    <row r="23" spans="1:76" s="140" customFormat="1" ht="44" thickBot="1">
      <c r="A23" s="654"/>
      <c r="B23" s="497" t="s">
        <v>475</v>
      </c>
      <c r="C23" s="314" t="s">
        <v>474</v>
      </c>
      <c r="D23" s="314" t="s">
        <v>801</v>
      </c>
      <c r="E23" s="129">
        <v>4</v>
      </c>
      <c r="F23" s="129">
        <v>4</v>
      </c>
      <c r="G23" s="129">
        <f t="shared" si="10"/>
        <v>16</v>
      </c>
      <c r="I23" s="387"/>
      <c r="J23" s="387"/>
      <c r="K23" s="387"/>
      <c r="L23" s="387"/>
      <c r="M23" s="387"/>
      <c r="N23" s="387"/>
      <c r="O23" s="387"/>
      <c r="P23" s="387"/>
      <c r="Q23" s="387"/>
      <c r="R23" s="387"/>
      <c r="S23" s="387"/>
      <c r="T23" s="387"/>
      <c r="U23" s="387"/>
      <c r="V23" s="387"/>
      <c r="W23" s="387"/>
      <c r="X23" s="387"/>
      <c r="Y23" s="387"/>
      <c r="Z23" s="387"/>
      <c r="AA23" s="387"/>
      <c r="AB23" s="387"/>
      <c r="AC23" s="387"/>
      <c r="AD23" s="387"/>
      <c r="AE23" s="387"/>
      <c r="AF23" s="387"/>
      <c r="AG23" s="387"/>
      <c r="AH23" s="387"/>
      <c r="AI23" s="387"/>
      <c r="AJ23" s="387"/>
      <c r="AK23" s="387"/>
      <c r="AL23" s="387"/>
      <c r="AM23" s="387"/>
      <c r="AN23" s="387"/>
      <c r="AO23" s="387"/>
      <c r="AP23" s="387"/>
      <c r="AQ23" s="387"/>
      <c r="AR23" s="387"/>
      <c r="AS23" s="387"/>
      <c r="AT23" s="387"/>
      <c r="AU23" s="387"/>
      <c r="AV23" s="387"/>
      <c r="AW23" s="387"/>
      <c r="AX23" s="387"/>
      <c r="AY23" s="387"/>
      <c r="AZ23" s="387"/>
      <c r="BA23" s="387"/>
      <c r="BB23" s="387"/>
      <c r="BC23" s="387"/>
      <c r="BD23" s="387"/>
      <c r="BE23" s="387"/>
      <c r="BF23" s="387"/>
      <c r="BG23" s="387"/>
      <c r="BH23" s="387"/>
      <c r="BI23" s="387"/>
      <c r="BJ23" s="387"/>
      <c r="BK23" s="387"/>
      <c r="BL23" s="387"/>
      <c r="BM23" s="387"/>
      <c r="BN23" s="387"/>
      <c r="BO23" s="387"/>
      <c r="BP23" s="387"/>
      <c r="BQ23" s="387"/>
      <c r="BR23" s="387"/>
      <c r="BS23" s="387"/>
      <c r="BT23" s="387"/>
      <c r="BU23" s="387"/>
      <c r="BV23" s="387"/>
      <c r="BW23" s="387"/>
      <c r="BX23" s="387"/>
    </row>
    <row r="24" spans="1:76" s="140" customFormat="1" ht="58.5" thickBot="1">
      <c r="A24" s="654"/>
      <c r="B24" s="497" t="s">
        <v>468</v>
      </c>
      <c r="C24" s="314" t="s">
        <v>392</v>
      </c>
      <c r="D24" s="314" t="s">
        <v>801</v>
      </c>
      <c r="E24" s="129">
        <v>4</v>
      </c>
      <c r="F24" s="129">
        <v>4</v>
      </c>
      <c r="G24" s="129">
        <f t="shared" si="10"/>
        <v>16</v>
      </c>
      <c r="I24" s="387"/>
      <c r="J24" s="387"/>
      <c r="K24" s="387"/>
      <c r="L24" s="387"/>
      <c r="M24" s="387"/>
      <c r="N24" s="387"/>
      <c r="O24" s="387"/>
      <c r="P24" s="387"/>
      <c r="Q24" s="387"/>
      <c r="R24" s="387"/>
      <c r="S24" s="387"/>
      <c r="T24" s="387"/>
      <c r="U24" s="387"/>
      <c r="V24" s="387"/>
      <c r="W24" s="387"/>
      <c r="X24" s="387"/>
      <c r="Y24" s="387"/>
      <c r="Z24" s="387"/>
      <c r="AA24" s="387"/>
      <c r="AB24" s="387"/>
      <c r="AC24" s="387"/>
      <c r="AD24" s="387"/>
      <c r="AE24" s="387"/>
      <c r="AF24" s="387"/>
      <c r="AG24" s="387"/>
      <c r="AH24" s="387"/>
      <c r="AI24" s="387"/>
      <c r="AJ24" s="387"/>
      <c r="AK24" s="387"/>
      <c r="AL24" s="387"/>
      <c r="AM24" s="387"/>
      <c r="AN24" s="387"/>
      <c r="AO24" s="387"/>
      <c r="AP24" s="387"/>
      <c r="AQ24" s="387"/>
      <c r="AR24" s="387"/>
      <c r="AS24" s="387"/>
      <c r="AT24" s="387"/>
      <c r="AU24" s="387"/>
      <c r="AV24" s="387"/>
      <c r="AW24" s="387"/>
      <c r="AX24" s="387"/>
      <c r="AY24" s="387"/>
      <c r="AZ24" s="387"/>
      <c r="BA24" s="387"/>
      <c r="BB24" s="387"/>
      <c r="BC24" s="387"/>
      <c r="BD24" s="387"/>
      <c r="BE24" s="387"/>
      <c r="BF24" s="387"/>
      <c r="BG24" s="387"/>
      <c r="BH24" s="387"/>
      <c r="BI24" s="387"/>
      <c r="BJ24" s="387"/>
      <c r="BK24" s="387"/>
      <c r="BL24" s="387"/>
      <c r="BM24" s="387"/>
      <c r="BN24" s="387"/>
      <c r="BO24" s="387"/>
      <c r="BP24" s="387"/>
      <c r="BQ24" s="387"/>
      <c r="BR24" s="387"/>
      <c r="BS24" s="387"/>
      <c r="BT24" s="387"/>
      <c r="BU24" s="387"/>
      <c r="BV24" s="387"/>
      <c r="BW24" s="387"/>
      <c r="BX24" s="387"/>
    </row>
    <row r="25" spans="1:76" s="140" customFormat="1" ht="44" thickBot="1">
      <c r="A25" s="654"/>
      <c r="B25" s="406" t="s">
        <v>464</v>
      </c>
      <c r="C25" s="173" t="s">
        <v>391</v>
      </c>
      <c r="D25" s="173" t="s">
        <v>801</v>
      </c>
      <c r="E25" s="129">
        <v>5</v>
      </c>
      <c r="F25" s="129">
        <v>3</v>
      </c>
      <c r="G25" s="132">
        <f t="shared" ref="G25:G26" si="11">E25*F25</f>
        <v>15</v>
      </c>
      <c r="I25" s="387"/>
      <c r="J25" s="387"/>
      <c r="K25" s="387"/>
      <c r="L25" s="387"/>
      <c r="M25" s="387"/>
      <c r="N25" s="387"/>
      <c r="O25" s="387"/>
      <c r="P25" s="387"/>
      <c r="Q25" s="387"/>
      <c r="R25" s="387"/>
      <c r="S25" s="387"/>
      <c r="T25" s="387"/>
      <c r="U25" s="387"/>
      <c r="V25" s="387"/>
      <c r="W25" s="387"/>
      <c r="X25" s="387"/>
      <c r="Y25" s="387"/>
      <c r="Z25" s="387"/>
      <c r="AA25" s="387"/>
      <c r="AB25" s="387"/>
      <c r="AC25" s="387"/>
      <c r="AD25" s="387"/>
      <c r="AE25" s="387"/>
      <c r="AF25" s="387"/>
      <c r="AG25" s="387"/>
      <c r="AH25" s="387"/>
      <c r="AI25" s="387"/>
      <c r="AJ25" s="387"/>
      <c r="AK25" s="387"/>
      <c r="AL25" s="387"/>
      <c r="AM25" s="387"/>
      <c r="AN25" s="387"/>
      <c r="AO25" s="387"/>
      <c r="AP25" s="387"/>
      <c r="AQ25" s="387"/>
      <c r="AR25" s="387"/>
      <c r="AS25" s="387"/>
      <c r="AT25" s="387"/>
      <c r="AU25" s="387"/>
      <c r="AV25" s="387"/>
      <c r="AW25" s="387"/>
      <c r="AX25" s="387"/>
      <c r="AY25" s="387"/>
      <c r="AZ25" s="387"/>
      <c r="BA25" s="387"/>
      <c r="BB25" s="387"/>
      <c r="BC25" s="387"/>
      <c r="BD25" s="387"/>
      <c r="BE25" s="387"/>
      <c r="BF25" s="387"/>
      <c r="BG25" s="387"/>
      <c r="BH25" s="387"/>
      <c r="BI25" s="387"/>
      <c r="BJ25" s="387"/>
      <c r="BK25" s="387"/>
      <c r="BL25" s="387"/>
      <c r="BM25" s="387"/>
      <c r="BN25" s="387"/>
      <c r="BO25" s="387"/>
      <c r="BP25" s="387"/>
      <c r="BQ25" s="387"/>
      <c r="BR25" s="387"/>
      <c r="BS25" s="387"/>
      <c r="BT25" s="387"/>
      <c r="BU25" s="387"/>
      <c r="BV25" s="387"/>
      <c r="BW25" s="387"/>
      <c r="BX25" s="387"/>
    </row>
    <row r="26" spans="1:76" s="140" customFormat="1" ht="58.5" thickBot="1">
      <c r="A26" s="654"/>
      <c r="B26" s="406" t="s">
        <v>481</v>
      </c>
      <c r="C26" s="173" t="s">
        <v>379</v>
      </c>
      <c r="D26" s="173" t="s">
        <v>800</v>
      </c>
      <c r="E26" s="129">
        <v>5</v>
      </c>
      <c r="F26" s="129">
        <v>3</v>
      </c>
      <c r="G26" s="132">
        <f t="shared" si="11"/>
        <v>15</v>
      </c>
      <c r="I26" s="387"/>
      <c r="J26" s="387"/>
      <c r="K26" s="387"/>
      <c r="L26" s="387"/>
      <c r="M26" s="387"/>
      <c r="N26" s="387"/>
      <c r="O26" s="387"/>
      <c r="P26" s="387"/>
      <c r="Q26" s="387"/>
      <c r="R26" s="387"/>
      <c r="S26" s="387"/>
      <c r="T26" s="387"/>
      <c r="U26" s="387"/>
      <c r="V26" s="387"/>
      <c r="W26" s="387"/>
      <c r="X26" s="387"/>
      <c r="Y26" s="387"/>
      <c r="Z26" s="387"/>
      <c r="AA26" s="387"/>
      <c r="AB26" s="387"/>
      <c r="AC26" s="387"/>
      <c r="AD26" s="387"/>
      <c r="AE26" s="387"/>
      <c r="AF26" s="387"/>
      <c r="AG26" s="387"/>
      <c r="AH26" s="387"/>
      <c r="AI26" s="387"/>
      <c r="AJ26" s="387"/>
      <c r="AK26" s="387"/>
      <c r="AL26" s="387"/>
      <c r="AM26" s="387"/>
      <c r="AN26" s="387"/>
      <c r="AO26" s="387"/>
      <c r="AP26" s="387"/>
      <c r="AQ26" s="387"/>
      <c r="AR26" s="387"/>
      <c r="AS26" s="387"/>
      <c r="AT26" s="387"/>
      <c r="AU26" s="387"/>
      <c r="AV26" s="387"/>
      <c r="AW26" s="387"/>
      <c r="AX26" s="387"/>
      <c r="AY26" s="387"/>
      <c r="AZ26" s="387"/>
      <c r="BA26" s="387"/>
      <c r="BB26" s="387"/>
      <c r="BC26" s="387"/>
      <c r="BD26" s="387"/>
      <c r="BE26" s="387"/>
      <c r="BF26" s="387"/>
      <c r="BG26" s="387"/>
      <c r="BH26" s="387"/>
      <c r="BI26" s="387"/>
      <c r="BJ26" s="387"/>
      <c r="BK26" s="387"/>
      <c r="BL26" s="387"/>
      <c r="BM26" s="387"/>
      <c r="BN26" s="387"/>
      <c r="BO26" s="387"/>
      <c r="BP26" s="387"/>
      <c r="BQ26" s="387"/>
      <c r="BR26" s="387"/>
      <c r="BS26" s="387"/>
      <c r="BT26" s="387"/>
      <c r="BU26" s="387"/>
      <c r="BV26" s="387"/>
      <c r="BW26" s="387"/>
      <c r="BX26" s="387"/>
    </row>
    <row r="27" spans="1:76" s="140" customFormat="1" ht="145.5" thickBot="1">
      <c r="A27" s="654"/>
      <c r="B27" s="468" t="s">
        <v>249</v>
      </c>
      <c r="C27" s="173" t="s">
        <v>392</v>
      </c>
      <c r="D27" s="173" t="s">
        <v>801</v>
      </c>
      <c r="E27" s="129">
        <v>3</v>
      </c>
      <c r="F27" s="129">
        <v>5</v>
      </c>
      <c r="G27" s="171">
        <f>E27*F27</f>
        <v>15</v>
      </c>
      <c r="I27" s="387"/>
      <c r="J27" s="387"/>
      <c r="K27" s="387"/>
      <c r="L27" s="387"/>
      <c r="M27" s="387"/>
      <c r="N27" s="387"/>
      <c r="O27" s="387"/>
      <c r="P27" s="387"/>
      <c r="Q27" s="387"/>
      <c r="R27" s="387"/>
      <c r="S27" s="387"/>
      <c r="T27" s="387"/>
      <c r="U27" s="387"/>
      <c r="V27" s="387"/>
      <c r="W27" s="387"/>
      <c r="X27" s="387"/>
      <c r="Y27" s="387"/>
      <c r="Z27" s="387"/>
      <c r="AA27" s="387"/>
      <c r="AB27" s="387"/>
      <c r="AC27" s="387"/>
      <c r="AD27" s="387"/>
      <c r="AE27" s="387"/>
      <c r="AF27" s="387"/>
      <c r="AG27" s="387"/>
      <c r="AH27" s="387"/>
      <c r="AI27" s="387"/>
      <c r="AJ27" s="387"/>
      <c r="AK27" s="387"/>
      <c r="AL27" s="387"/>
      <c r="AM27" s="387"/>
      <c r="AN27" s="387"/>
      <c r="AO27" s="387"/>
      <c r="AP27" s="387"/>
      <c r="AQ27" s="387"/>
      <c r="AR27" s="387"/>
      <c r="AS27" s="387"/>
      <c r="AT27" s="387"/>
      <c r="AU27" s="387"/>
      <c r="AV27" s="387"/>
      <c r="AW27" s="387"/>
      <c r="AX27" s="387"/>
      <c r="AY27" s="387"/>
      <c r="AZ27" s="387"/>
      <c r="BA27" s="387"/>
      <c r="BB27" s="387"/>
      <c r="BC27" s="387"/>
      <c r="BD27" s="387"/>
      <c r="BE27" s="387"/>
      <c r="BF27" s="387"/>
      <c r="BG27" s="387"/>
      <c r="BH27" s="387"/>
      <c r="BI27" s="387"/>
      <c r="BJ27" s="387"/>
      <c r="BK27" s="387"/>
      <c r="BL27" s="387"/>
      <c r="BM27" s="387"/>
      <c r="BN27" s="387"/>
      <c r="BO27" s="387"/>
      <c r="BP27" s="387"/>
      <c r="BQ27" s="387"/>
      <c r="BR27" s="387"/>
      <c r="BS27" s="387"/>
      <c r="BT27" s="387"/>
      <c r="BU27" s="387"/>
      <c r="BV27" s="387"/>
      <c r="BW27" s="387"/>
      <c r="BX27" s="387"/>
    </row>
    <row r="28" spans="1:76" s="140" customFormat="1" ht="29.5" thickBot="1">
      <c r="A28" s="654"/>
      <c r="B28" s="468" t="s">
        <v>466</v>
      </c>
      <c r="C28" s="173" t="s">
        <v>393</v>
      </c>
      <c r="D28" s="173" t="s">
        <v>801</v>
      </c>
      <c r="E28" s="129">
        <v>5</v>
      </c>
      <c r="F28" s="129">
        <v>3</v>
      </c>
      <c r="G28" s="132">
        <f>E28*F28</f>
        <v>15</v>
      </c>
      <c r="I28" s="387"/>
      <c r="J28" s="387"/>
      <c r="K28" s="387"/>
      <c r="L28" s="387"/>
      <c r="M28" s="387"/>
      <c r="N28" s="387"/>
      <c r="O28" s="387"/>
      <c r="P28" s="387"/>
      <c r="Q28" s="387"/>
      <c r="R28" s="387"/>
      <c r="S28" s="387"/>
      <c r="T28" s="387"/>
      <c r="U28" s="387"/>
      <c r="V28" s="387"/>
      <c r="W28" s="387"/>
      <c r="X28" s="387"/>
      <c r="Y28" s="387"/>
      <c r="Z28" s="387"/>
      <c r="AA28" s="387"/>
      <c r="AB28" s="387"/>
      <c r="AC28" s="387"/>
      <c r="AD28" s="387"/>
      <c r="AE28" s="387"/>
      <c r="AF28" s="387"/>
      <c r="AG28" s="387"/>
      <c r="AH28" s="387"/>
      <c r="AI28" s="387"/>
      <c r="AJ28" s="387"/>
      <c r="AK28" s="387"/>
      <c r="AL28" s="387"/>
      <c r="AM28" s="387"/>
      <c r="AN28" s="387"/>
      <c r="AO28" s="387"/>
      <c r="AP28" s="387"/>
      <c r="AQ28" s="387"/>
      <c r="AR28" s="387"/>
      <c r="AS28" s="387"/>
      <c r="AT28" s="387"/>
      <c r="AU28" s="387"/>
      <c r="AV28" s="387"/>
      <c r="AW28" s="387"/>
      <c r="AX28" s="387"/>
      <c r="AY28" s="387"/>
      <c r="AZ28" s="387"/>
      <c r="BA28" s="387"/>
      <c r="BB28" s="387"/>
      <c r="BC28" s="387"/>
      <c r="BD28" s="387"/>
      <c r="BE28" s="387"/>
      <c r="BF28" s="387"/>
      <c r="BG28" s="387"/>
      <c r="BH28" s="387"/>
      <c r="BI28" s="387"/>
      <c r="BJ28" s="387"/>
      <c r="BK28" s="387"/>
      <c r="BL28" s="387"/>
      <c r="BM28" s="387"/>
      <c r="BN28" s="387"/>
      <c r="BO28" s="387"/>
      <c r="BP28" s="387"/>
      <c r="BQ28" s="387"/>
      <c r="BR28" s="387"/>
      <c r="BS28" s="387"/>
      <c r="BT28" s="387"/>
      <c r="BU28" s="387"/>
      <c r="BV28" s="387"/>
      <c r="BW28" s="387"/>
      <c r="BX28" s="387"/>
    </row>
    <row r="29" spans="1:76" s="140" customFormat="1" ht="44" thickBot="1">
      <c r="A29" s="654"/>
      <c r="B29" s="502" t="s">
        <v>841</v>
      </c>
      <c r="C29" s="186" t="s">
        <v>456</v>
      </c>
      <c r="D29" s="186" t="s">
        <v>800</v>
      </c>
      <c r="E29" s="187">
        <v>4</v>
      </c>
      <c r="F29" s="187">
        <v>4</v>
      </c>
      <c r="G29" s="132">
        <f>E29*F29</f>
        <v>16</v>
      </c>
      <c r="I29" s="387"/>
      <c r="J29" s="387"/>
      <c r="K29" s="387"/>
      <c r="L29" s="387"/>
      <c r="M29" s="387"/>
      <c r="N29" s="387"/>
      <c r="O29" s="387"/>
      <c r="P29" s="387"/>
      <c r="Q29" s="387"/>
      <c r="R29" s="387"/>
      <c r="S29" s="387"/>
      <c r="T29" s="387"/>
      <c r="U29" s="387"/>
      <c r="V29" s="387"/>
      <c r="W29" s="387"/>
      <c r="X29" s="387"/>
      <c r="Y29" s="387"/>
      <c r="Z29" s="387"/>
      <c r="AA29" s="387"/>
      <c r="AB29" s="387"/>
      <c r="AC29" s="387"/>
      <c r="AD29" s="387"/>
      <c r="AE29" s="387"/>
      <c r="AF29" s="387"/>
      <c r="AG29" s="387"/>
      <c r="AH29" s="387"/>
      <c r="AI29" s="387"/>
      <c r="AJ29" s="387"/>
      <c r="AK29" s="387"/>
      <c r="AL29" s="387"/>
      <c r="AM29" s="387"/>
      <c r="AN29" s="387"/>
      <c r="AO29" s="387"/>
      <c r="AP29" s="387"/>
      <c r="AQ29" s="387"/>
      <c r="AR29" s="387"/>
      <c r="AS29" s="387"/>
      <c r="AT29" s="387"/>
      <c r="AU29" s="387"/>
      <c r="AV29" s="387"/>
      <c r="AW29" s="387"/>
      <c r="AX29" s="387"/>
      <c r="AY29" s="387"/>
      <c r="AZ29" s="387"/>
      <c r="BA29" s="387"/>
      <c r="BB29" s="387"/>
      <c r="BC29" s="387"/>
      <c r="BD29" s="387"/>
      <c r="BE29" s="387"/>
      <c r="BF29" s="387"/>
      <c r="BG29" s="387"/>
      <c r="BH29" s="387"/>
      <c r="BI29" s="387"/>
      <c r="BJ29" s="387"/>
      <c r="BK29" s="387"/>
      <c r="BL29" s="387"/>
      <c r="BM29" s="387"/>
      <c r="BN29" s="387"/>
      <c r="BO29" s="387"/>
      <c r="BP29" s="387"/>
      <c r="BQ29" s="387"/>
      <c r="BR29" s="387"/>
      <c r="BS29" s="387"/>
      <c r="BT29" s="387"/>
      <c r="BU29" s="387"/>
      <c r="BV29" s="387"/>
      <c r="BW29" s="387"/>
      <c r="BX29" s="387"/>
    </row>
    <row r="30" spans="1:76" ht="44" thickBot="1">
      <c r="A30" s="654"/>
      <c r="B30" s="502" t="s">
        <v>841</v>
      </c>
      <c r="C30" s="186" t="s">
        <v>456</v>
      </c>
      <c r="D30" s="186" t="s">
        <v>800</v>
      </c>
      <c r="E30" s="187">
        <v>4</v>
      </c>
      <c r="F30" s="187">
        <v>4</v>
      </c>
      <c r="G30" s="132">
        <f t="shared" ref="G30:G42" si="12">E30*F30</f>
        <v>16</v>
      </c>
    </row>
    <row r="31" spans="1:76" ht="29.5" thickBot="1">
      <c r="A31" s="654"/>
      <c r="B31" s="502" t="s">
        <v>471</v>
      </c>
      <c r="C31" s="186" t="s">
        <v>406</v>
      </c>
      <c r="D31" s="186" t="s">
        <v>801</v>
      </c>
      <c r="E31" s="187">
        <v>4</v>
      </c>
      <c r="F31" s="187">
        <v>4</v>
      </c>
      <c r="G31" s="132">
        <f t="shared" si="12"/>
        <v>16</v>
      </c>
    </row>
    <row r="32" spans="1:76" ht="73" thickBot="1">
      <c r="A32" s="654"/>
      <c r="B32" s="502" t="s">
        <v>499</v>
      </c>
      <c r="C32" s="186" t="s">
        <v>379</v>
      </c>
      <c r="D32" s="186" t="s">
        <v>801</v>
      </c>
      <c r="E32" s="187">
        <v>5</v>
      </c>
      <c r="F32" s="187">
        <v>3</v>
      </c>
      <c r="G32" s="132">
        <f t="shared" si="12"/>
        <v>15</v>
      </c>
    </row>
    <row r="33" spans="1:7" ht="58.5" thickBot="1">
      <c r="A33" s="654"/>
      <c r="B33" s="502" t="s">
        <v>920</v>
      </c>
      <c r="C33" s="358" t="s">
        <v>456</v>
      </c>
      <c r="D33" s="358" t="s">
        <v>800</v>
      </c>
      <c r="E33" s="187">
        <v>5</v>
      </c>
      <c r="F33" s="187">
        <v>3</v>
      </c>
      <c r="G33" s="129">
        <f t="shared" si="12"/>
        <v>15</v>
      </c>
    </row>
    <row r="34" spans="1:7" ht="44" thickBot="1">
      <c r="A34" s="654" t="s">
        <v>1339</v>
      </c>
      <c r="B34" s="468" t="s">
        <v>295</v>
      </c>
      <c r="C34" s="279" t="s">
        <v>373</v>
      </c>
      <c r="D34" s="280" t="s">
        <v>780</v>
      </c>
      <c r="E34" s="129">
        <v>4</v>
      </c>
      <c r="F34" s="129">
        <v>4</v>
      </c>
      <c r="G34" s="158">
        <f t="shared" si="12"/>
        <v>16</v>
      </c>
    </row>
    <row r="35" spans="1:7" ht="29.5" thickBot="1">
      <c r="A35" s="654"/>
      <c r="B35" s="468" t="s">
        <v>842</v>
      </c>
      <c r="C35" s="279" t="s">
        <v>418</v>
      </c>
      <c r="D35" s="280" t="s">
        <v>780</v>
      </c>
      <c r="E35" s="129">
        <v>4</v>
      </c>
      <c r="F35" s="129">
        <v>4</v>
      </c>
      <c r="G35" s="158">
        <f t="shared" si="12"/>
        <v>16</v>
      </c>
    </row>
    <row r="36" spans="1:7" ht="87.5" thickBot="1">
      <c r="A36" s="654"/>
      <c r="B36" s="468" t="s">
        <v>843</v>
      </c>
      <c r="C36" s="279" t="s">
        <v>374</v>
      </c>
      <c r="D36" s="280" t="s">
        <v>780</v>
      </c>
      <c r="E36" s="129">
        <v>4</v>
      </c>
      <c r="F36" s="129">
        <v>4</v>
      </c>
      <c r="G36" s="132">
        <f t="shared" si="12"/>
        <v>16</v>
      </c>
    </row>
    <row r="37" spans="1:7" ht="160" thickBot="1">
      <c r="A37" s="654" t="s">
        <v>315</v>
      </c>
      <c r="B37" s="496" t="s">
        <v>213</v>
      </c>
      <c r="C37" s="173" t="s">
        <v>371</v>
      </c>
      <c r="D37" s="173" t="s">
        <v>800</v>
      </c>
      <c r="E37" s="129">
        <v>4</v>
      </c>
      <c r="F37" s="129">
        <v>4</v>
      </c>
      <c r="G37" s="158">
        <f t="shared" si="12"/>
        <v>16</v>
      </c>
    </row>
    <row r="38" spans="1:7" ht="73" thickBot="1">
      <c r="A38" s="654"/>
      <c r="B38" s="503" t="s">
        <v>263</v>
      </c>
      <c r="C38" s="173" t="s">
        <v>370</v>
      </c>
      <c r="D38" s="173" t="s">
        <v>800</v>
      </c>
      <c r="E38" s="129">
        <v>4</v>
      </c>
      <c r="F38" s="129">
        <v>4</v>
      </c>
      <c r="G38" s="158">
        <f t="shared" si="12"/>
        <v>16</v>
      </c>
    </row>
    <row r="39" spans="1:7" ht="44" thickBot="1">
      <c r="A39" s="654"/>
      <c r="B39" s="496" t="s">
        <v>266</v>
      </c>
      <c r="C39" s="173" t="s">
        <v>385</v>
      </c>
      <c r="D39" s="173" t="s">
        <v>800</v>
      </c>
      <c r="E39" s="129">
        <v>4</v>
      </c>
      <c r="F39" s="129">
        <v>4</v>
      </c>
      <c r="G39" s="158">
        <f t="shared" si="12"/>
        <v>16</v>
      </c>
    </row>
    <row r="40" spans="1:7" ht="58.5" thickBot="1">
      <c r="A40" s="654"/>
      <c r="B40" s="504" t="s">
        <v>275</v>
      </c>
      <c r="C40" s="172" t="s">
        <v>370</v>
      </c>
      <c r="D40" s="172" t="s">
        <v>800</v>
      </c>
      <c r="E40" s="129">
        <v>5</v>
      </c>
      <c r="F40" s="129">
        <v>3</v>
      </c>
      <c r="G40" s="158">
        <f t="shared" si="12"/>
        <v>15</v>
      </c>
    </row>
    <row r="41" spans="1:7" ht="44" thickBot="1">
      <c r="A41" s="654"/>
      <c r="B41" s="496" t="s">
        <v>277</v>
      </c>
      <c r="C41" s="173" t="s">
        <v>388</v>
      </c>
      <c r="D41" s="173" t="s">
        <v>361</v>
      </c>
      <c r="E41" s="129">
        <v>4</v>
      </c>
      <c r="F41" s="129">
        <v>4</v>
      </c>
      <c r="G41" s="158">
        <f t="shared" si="12"/>
        <v>16</v>
      </c>
    </row>
    <row r="42" spans="1:7" ht="29.5" thickBot="1">
      <c r="A42" s="654"/>
      <c r="B42" s="505" t="s">
        <v>980</v>
      </c>
      <c r="C42" s="193" t="s">
        <v>370</v>
      </c>
      <c r="D42" s="173" t="s">
        <v>800</v>
      </c>
      <c r="E42" s="290">
        <v>4</v>
      </c>
      <c r="F42" s="290">
        <v>4</v>
      </c>
      <c r="G42" s="158">
        <f t="shared" si="12"/>
        <v>16</v>
      </c>
    </row>
    <row r="43" spans="1:7" ht="44" thickBot="1">
      <c r="A43" s="654" t="s">
        <v>1340</v>
      </c>
      <c r="B43" s="506" t="s">
        <v>536</v>
      </c>
      <c r="C43" s="172" t="s">
        <v>371</v>
      </c>
      <c r="D43" s="172" t="s">
        <v>800</v>
      </c>
      <c r="E43" s="129">
        <v>5</v>
      </c>
      <c r="F43" s="129">
        <v>3</v>
      </c>
      <c r="G43" s="132">
        <f>E43*F43</f>
        <v>15</v>
      </c>
    </row>
    <row r="44" spans="1:7" ht="44" thickBot="1">
      <c r="A44" s="654"/>
      <c r="B44" s="507" t="s">
        <v>601</v>
      </c>
      <c r="C44" s="173" t="s">
        <v>361</v>
      </c>
      <c r="D44" s="173" t="s">
        <v>361</v>
      </c>
      <c r="E44" s="129">
        <v>4</v>
      </c>
      <c r="F44" s="129">
        <v>4</v>
      </c>
      <c r="G44" s="132">
        <f>E44*F44</f>
        <v>16</v>
      </c>
    </row>
    <row r="45" spans="1:7" ht="73" thickBot="1">
      <c r="A45" s="654"/>
      <c r="B45" s="508" t="s">
        <v>926</v>
      </c>
      <c r="C45" s="295" t="s">
        <v>927</v>
      </c>
      <c r="D45" s="295" t="s">
        <v>780</v>
      </c>
      <c r="E45" s="129">
        <v>4</v>
      </c>
      <c r="F45" s="129">
        <v>4</v>
      </c>
      <c r="G45" s="132">
        <f t="shared" ref="G45:G47" si="13">E45*F45</f>
        <v>16</v>
      </c>
    </row>
    <row r="46" spans="1:7" ht="57" thickBot="1">
      <c r="A46" s="654"/>
      <c r="B46" s="496" t="s">
        <v>588</v>
      </c>
      <c r="C46" s="314" t="s">
        <v>798</v>
      </c>
      <c r="D46" s="314" t="s">
        <v>800</v>
      </c>
      <c r="E46" s="129">
        <v>4</v>
      </c>
      <c r="F46" s="129">
        <v>4</v>
      </c>
      <c r="G46" s="132">
        <f t="shared" si="13"/>
        <v>16</v>
      </c>
    </row>
    <row r="47" spans="1:7" ht="102" thickBot="1">
      <c r="A47" s="654"/>
      <c r="B47" s="496" t="s">
        <v>1078</v>
      </c>
      <c r="C47" s="314" t="s">
        <v>798</v>
      </c>
      <c r="D47" s="314" t="s">
        <v>800</v>
      </c>
      <c r="E47" s="129">
        <v>5</v>
      </c>
      <c r="F47" s="129">
        <v>3</v>
      </c>
      <c r="G47" s="132">
        <f t="shared" si="13"/>
        <v>15</v>
      </c>
    </row>
    <row r="48" spans="1:7" ht="116.5" thickBot="1">
      <c r="A48" s="262" t="s">
        <v>1341</v>
      </c>
      <c r="B48" s="504" t="s">
        <v>844</v>
      </c>
      <c r="C48" s="173" t="s">
        <v>367</v>
      </c>
      <c r="D48" s="173" t="s">
        <v>780</v>
      </c>
      <c r="E48" s="129">
        <v>4</v>
      </c>
      <c r="F48" s="129">
        <v>4</v>
      </c>
      <c r="G48" s="132">
        <f>E48*F48</f>
        <v>16</v>
      </c>
    </row>
    <row r="49" spans="1:7" ht="102" thickBot="1">
      <c r="A49" s="654" t="s">
        <v>1342</v>
      </c>
      <c r="B49" s="509" t="s">
        <v>1082</v>
      </c>
      <c r="C49" s="173" t="s">
        <v>365</v>
      </c>
      <c r="D49" s="173" t="s">
        <v>801</v>
      </c>
      <c r="E49" s="129">
        <v>4</v>
      </c>
      <c r="F49" s="129">
        <v>4</v>
      </c>
      <c r="G49" s="132">
        <f>E49*F49</f>
        <v>16</v>
      </c>
    </row>
    <row r="50" spans="1:7" ht="44" thickBot="1">
      <c r="A50" s="654"/>
      <c r="B50" s="470" t="s">
        <v>848</v>
      </c>
      <c r="C50" s="295" t="s">
        <v>370</v>
      </c>
      <c r="D50" s="295" t="s">
        <v>800</v>
      </c>
      <c r="E50" s="129">
        <v>4</v>
      </c>
      <c r="F50" s="129">
        <v>4</v>
      </c>
      <c r="G50" s="132">
        <f>E50*F50</f>
        <v>16</v>
      </c>
    </row>
    <row r="51" spans="1:7" ht="116.5" thickBot="1">
      <c r="A51" s="654"/>
      <c r="B51" s="468" t="s">
        <v>792</v>
      </c>
      <c r="C51" s="173" t="s">
        <v>365</v>
      </c>
      <c r="D51" s="173" t="s">
        <v>801</v>
      </c>
      <c r="E51" s="129">
        <v>4</v>
      </c>
      <c r="F51" s="129">
        <v>4</v>
      </c>
      <c r="G51" s="132">
        <f t="shared" ref="G51" si="14">E51*F51</f>
        <v>16</v>
      </c>
    </row>
    <row r="52" spans="1:7" ht="29.5" thickBot="1">
      <c r="A52" s="654"/>
      <c r="B52" s="470" t="s">
        <v>758</v>
      </c>
      <c r="C52" s="173" t="s">
        <v>377</v>
      </c>
      <c r="D52" s="173" t="s">
        <v>801</v>
      </c>
      <c r="E52" s="129">
        <v>4</v>
      </c>
      <c r="F52" s="129">
        <v>4</v>
      </c>
      <c r="G52" s="132">
        <f>E52*F52</f>
        <v>16</v>
      </c>
    </row>
    <row r="53" spans="1:7" ht="73" thickBot="1">
      <c r="A53" s="654"/>
      <c r="B53" s="470" t="s">
        <v>836</v>
      </c>
      <c r="C53" s="173" t="s">
        <v>837</v>
      </c>
      <c r="D53" s="173" t="s">
        <v>801</v>
      </c>
      <c r="E53" s="129">
        <v>4</v>
      </c>
      <c r="F53" s="129">
        <v>4</v>
      </c>
      <c r="G53" s="132">
        <f>E53*F53</f>
        <v>16</v>
      </c>
    </row>
    <row r="54" spans="1:7" ht="29.5" thickBot="1">
      <c r="A54" s="654"/>
      <c r="B54" s="470" t="s">
        <v>968</v>
      </c>
      <c r="C54" s="295" t="s">
        <v>1086</v>
      </c>
      <c r="D54" s="173" t="s">
        <v>361</v>
      </c>
      <c r="E54" s="129">
        <v>4</v>
      </c>
      <c r="F54" s="129">
        <v>4</v>
      </c>
      <c r="G54" s="132">
        <f t="shared" ref="G54:G58" si="15">E54*F54</f>
        <v>16</v>
      </c>
    </row>
    <row r="55" spans="1:7" ht="44" thickBot="1">
      <c r="A55" s="262" t="s">
        <v>1343</v>
      </c>
      <c r="B55" s="468" t="s">
        <v>933</v>
      </c>
      <c r="C55" s="173" t="s">
        <v>934</v>
      </c>
      <c r="D55" s="173" t="s">
        <v>800</v>
      </c>
      <c r="E55" s="129">
        <v>4</v>
      </c>
      <c r="F55" s="129">
        <v>4</v>
      </c>
      <c r="G55" s="132">
        <f t="shared" si="15"/>
        <v>16</v>
      </c>
    </row>
    <row r="56" spans="1:7" ht="29.5" thickBot="1">
      <c r="A56" s="654" t="s">
        <v>570</v>
      </c>
      <c r="B56" s="497" t="s">
        <v>1218</v>
      </c>
      <c r="C56" s="173" t="s">
        <v>461</v>
      </c>
      <c r="D56" s="173" t="s">
        <v>800</v>
      </c>
      <c r="E56" s="129">
        <v>4</v>
      </c>
      <c r="F56" s="129">
        <v>4</v>
      </c>
      <c r="G56" s="132">
        <f t="shared" si="15"/>
        <v>16</v>
      </c>
    </row>
    <row r="57" spans="1:7" ht="44" thickBot="1">
      <c r="A57" s="654"/>
      <c r="B57" s="468" t="s">
        <v>630</v>
      </c>
      <c r="C57" s="173" t="s">
        <v>461</v>
      </c>
      <c r="D57" s="173" t="s">
        <v>800</v>
      </c>
      <c r="E57" s="129">
        <v>4</v>
      </c>
      <c r="F57" s="129">
        <v>4</v>
      </c>
      <c r="G57" s="132">
        <f t="shared" si="15"/>
        <v>16</v>
      </c>
    </row>
    <row r="58" spans="1:7" ht="15" thickBot="1">
      <c r="A58" s="654"/>
      <c r="B58" s="468" t="s">
        <v>640</v>
      </c>
      <c r="C58" s="173" t="s">
        <v>641</v>
      </c>
      <c r="D58" s="173" t="s">
        <v>806</v>
      </c>
      <c r="E58" s="129">
        <v>5</v>
      </c>
      <c r="F58" s="129">
        <v>3</v>
      </c>
      <c r="G58" s="132">
        <f t="shared" si="15"/>
        <v>15</v>
      </c>
    </row>
    <row r="59" spans="1:7" ht="29.5" thickBot="1">
      <c r="A59" s="654" t="s">
        <v>1336</v>
      </c>
      <c r="B59" s="510" t="s">
        <v>1193</v>
      </c>
      <c r="C59" s="432" t="s">
        <v>406</v>
      </c>
      <c r="D59" s="432" t="s">
        <v>361</v>
      </c>
      <c r="E59" s="382">
        <v>4</v>
      </c>
      <c r="F59" s="382">
        <v>4</v>
      </c>
      <c r="G59" s="382">
        <v>16</v>
      </c>
    </row>
    <row r="60" spans="1:7" ht="44" thickBot="1">
      <c r="A60" s="654"/>
      <c r="B60" s="468" t="s">
        <v>789</v>
      </c>
      <c r="C60" s="279" t="s">
        <v>398</v>
      </c>
      <c r="D60" s="279" t="s">
        <v>361</v>
      </c>
      <c r="E60" s="129">
        <v>4</v>
      </c>
      <c r="F60" s="129">
        <v>4</v>
      </c>
      <c r="G60" s="171">
        <f t="shared" ref="G60:G61" si="16">E60*F60</f>
        <v>16</v>
      </c>
    </row>
    <row r="61" spans="1:7" ht="29.5" thickBot="1">
      <c r="A61" s="654"/>
      <c r="B61" s="497" t="s">
        <v>788</v>
      </c>
      <c r="C61" s="279" t="s">
        <v>395</v>
      </c>
      <c r="D61" s="279" t="s">
        <v>361</v>
      </c>
      <c r="E61" s="129">
        <v>4</v>
      </c>
      <c r="F61" s="129">
        <v>4</v>
      </c>
      <c r="G61" s="171">
        <f t="shared" si="16"/>
        <v>16</v>
      </c>
    </row>
  </sheetData>
  <mergeCells count="17">
    <mergeCell ref="A59:A61"/>
    <mergeCell ref="A16:A33"/>
    <mergeCell ref="A34:A36"/>
    <mergeCell ref="A37:A42"/>
    <mergeCell ref="A43:A47"/>
    <mergeCell ref="A5:A10"/>
    <mergeCell ref="A11:A14"/>
    <mergeCell ref="A49:A54"/>
    <mergeCell ref="A56:A58"/>
    <mergeCell ref="A2:A4"/>
    <mergeCell ref="B2:B4"/>
    <mergeCell ref="A1:G1"/>
    <mergeCell ref="C2:C4"/>
    <mergeCell ref="D2:D4"/>
    <mergeCell ref="E2:E3"/>
    <mergeCell ref="F2:F3"/>
    <mergeCell ref="G2:G3"/>
  </mergeCells>
  <conditionalFormatting sqref="G5">
    <cfRule type="colorScale" priority="53">
      <colorScale>
        <cfvo type="num" val="1"/>
        <cfvo type="num" val="8"/>
        <cfvo type="num" val="22"/>
        <color rgb="FF00B050"/>
        <color rgb="FFFFFF00"/>
        <color rgb="FFC00000"/>
      </colorScale>
    </cfRule>
  </conditionalFormatting>
  <conditionalFormatting sqref="G6">
    <cfRule type="colorScale" priority="52">
      <colorScale>
        <cfvo type="num" val="1"/>
        <cfvo type="num" val="8"/>
        <cfvo type="num" val="22"/>
        <color rgb="FF00B050"/>
        <color rgb="FFFFFF00"/>
        <color rgb="FFC00000"/>
      </colorScale>
    </cfRule>
  </conditionalFormatting>
  <conditionalFormatting sqref="G7:G8">
    <cfRule type="colorScale" priority="51">
      <colorScale>
        <cfvo type="num" val="1"/>
        <cfvo type="num" val="8"/>
        <cfvo type="num" val="22"/>
        <color rgb="FF00B050"/>
        <color rgb="FFFFFF00"/>
        <color rgb="FFC00000"/>
      </colorScale>
    </cfRule>
  </conditionalFormatting>
  <conditionalFormatting sqref="G9:G10">
    <cfRule type="colorScale" priority="50">
      <colorScale>
        <cfvo type="num" val="1"/>
        <cfvo type="num" val="8"/>
        <cfvo type="num" val="22"/>
        <color rgb="FF00B050"/>
        <color rgb="FFFFFF00"/>
        <color rgb="FFC00000"/>
      </colorScale>
    </cfRule>
  </conditionalFormatting>
  <conditionalFormatting sqref="G11:G12">
    <cfRule type="colorScale" priority="48">
      <colorScale>
        <cfvo type="num" val="1"/>
        <cfvo type="num" val="8"/>
        <cfvo type="num" val="22"/>
        <color rgb="FF00B050"/>
        <color rgb="FFFFFF00"/>
        <color rgb="FFC00000"/>
      </colorScale>
    </cfRule>
  </conditionalFormatting>
  <conditionalFormatting sqref="G13">
    <cfRule type="colorScale" priority="47">
      <colorScale>
        <cfvo type="num" val="1"/>
        <cfvo type="num" val="8"/>
        <cfvo type="num" val="22"/>
        <color rgb="FF00B050"/>
        <color rgb="FFFFFF00"/>
        <color rgb="FFC00000"/>
      </colorScale>
    </cfRule>
  </conditionalFormatting>
  <conditionalFormatting sqref="G14">
    <cfRule type="colorScale" priority="46">
      <colorScale>
        <cfvo type="num" val="1"/>
        <cfvo type="num" val="8"/>
        <cfvo type="num" val="22"/>
        <color rgb="FF00B050"/>
        <color rgb="FFFFFF00"/>
        <color rgb="FFC00000"/>
      </colorScale>
    </cfRule>
  </conditionalFormatting>
  <conditionalFormatting sqref="G15:G16 G27:G29">
    <cfRule type="colorScale" priority="45">
      <colorScale>
        <cfvo type="num" val="1"/>
        <cfvo type="num" val="8"/>
        <cfvo type="num" val="22"/>
        <color rgb="FF00B050"/>
        <color rgb="FFFFFF00"/>
        <color rgb="FFC00000"/>
      </colorScale>
    </cfRule>
    <cfRule type="colorScale" priority="44">
      <colorScale>
        <cfvo type="num" val="1"/>
        <cfvo type="num" val="8"/>
        <cfvo type="num" val="22"/>
        <color rgb="FF00B050"/>
        <color rgb="FFFFFF00"/>
        <color rgb="FFC00000"/>
      </colorScale>
    </cfRule>
  </conditionalFormatting>
  <conditionalFormatting sqref="G17">
    <cfRule type="colorScale" priority="43">
      <colorScale>
        <cfvo type="num" val="1"/>
        <cfvo type="num" val="8"/>
        <cfvo type="num" val="22"/>
        <color rgb="FF00B050"/>
        <color rgb="FFFFFF00"/>
        <color rgb="FFC00000"/>
      </colorScale>
    </cfRule>
    <cfRule type="colorScale" priority="42">
      <colorScale>
        <cfvo type="num" val="1"/>
        <cfvo type="num" val="8"/>
        <cfvo type="num" val="22"/>
        <color rgb="FF00B050"/>
        <color rgb="FFFFFF00"/>
        <color rgb="FFC00000"/>
      </colorScale>
    </cfRule>
  </conditionalFormatting>
  <conditionalFormatting sqref="G18">
    <cfRule type="colorScale" priority="40">
      <colorScale>
        <cfvo type="num" val="1"/>
        <cfvo type="num" val="8"/>
        <cfvo type="num" val="22"/>
        <color rgb="FF00B050"/>
        <color rgb="FFFFFF00"/>
        <color rgb="FFC00000"/>
      </colorScale>
    </cfRule>
    <cfRule type="colorScale" priority="41">
      <colorScale>
        <cfvo type="num" val="1"/>
        <cfvo type="num" val="8"/>
        <cfvo type="num" val="22"/>
        <color rgb="FF00B050"/>
        <color rgb="FFFFFF00"/>
        <color rgb="FFC00000"/>
      </colorScale>
    </cfRule>
  </conditionalFormatting>
  <conditionalFormatting sqref="G19">
    <cfRule type="colorScale" priority="39">
      <colorScale>
        <cfvo type="num" val="1"/>
        <cfvo type="num" val="8"/>
        <cfvo type="num" val="22"/>
        <color rgb="FF00B050"/>
        <color rgb="FFFFFF00"/>
        <color rgb="FFC00000"/>
      </colorScale>
    </cfRule>
    <cfRule type="colorScale" priority="38">
      <colorScale>
        <cfvo type="num" val="1"/>
        <cfvo type="num" val="8"/>
        <cfvo type="num" val="22"/>
        <color rgb="FF00B050"/>
        <color rgb="FFFFFF00"/>
        <color rgb="FFC00000"/>
      </colorScale>
    </cfRule>
  </conditionalFormatting>
  <conditionalFormatting sqref="G20:G24">
    <cfRule type="colorScale" priority="37">
      <colorScale>
        <cfvo type="num" val="1"/>
        <cfvo type="num" val="8"/>
        <cfvo type="num" val="22"/>
        <color rgb="FF00B050"/>
        <color rgb="FFFFFF00"/>
        <color rgb="FFC00000"/>
      </colorScale>
    </cfRule>
    <cfRule type="colorScale" priority="36">
      <colorScale>
        <cfvo type="num" val="1"/>
        <cfvo type="num" val="8"/>
        <cfvo type="num" val="22"/>
        <color rgb="FF00B050"/>
        <color rgb="FFFFFF00"/>
        <color rgb="FFC00000"/>
      </colorScale>
    </cfRule>
  </conditionalFormatting>
  <conditionalFormatting sqref="G25:G26">
    <cfRule type="colorScale" priority="35">
      <colorScale>
        <cfvo type="num" val="1"/>
        <cfvo type="num" val="8"/>
        <cfvo type="num" val="22"/>
        <color rgb="FF00B050"/>
        <color rgb="FFFFFF00"/>
        <color rgb="FFC00000"/>
      </colorScale>
    </cfRule>
    <cfRule type="colorScale" priority="34">
      <colorScale>
        <cfvo type="num" val="1"/>
        <cfvo type="num" val="8"/>
        <cfvo type="num" val="22"/>
        <color rgb="FF00B050"/>
        <color rgb="FFFFFF00"/>
        <color rgb="FFC00000"/>
      </colorScale>
    </cfRule>
  </conditionalFormatting>
  <conditionalFormatting sqref="G30:G33">
    <cfRule type="colorScale" priority="29">
      <colorScale>
        <cfvo type="num" val="1"/>
        <cfvo type="num" val="8"/>
        <cfvo type="num" val="22"/>
        <color rgb="FF00B050"/>
        <color rgb="FFFFFF00"/>
        <color rgb="FFC00000"/>
      </colorScale>
    </cfRule>
    <cfRule type="colorScale" priority="28">
      <colorScale>
        <cfvo type="num" val="1"/>
        <cfvo type="num" val="8"/>
        <cfvo type="num" val="22"/>
        <color rgb="FF00B050"/>
        <color rgb="FFFFFF00"/>
        <color rgb="FFC00000"/>
      </colorScale>
    </cfRule>
  </conditionalFormatting>
  <conditionalFormatting sqref="G34">
    <cfRule type="colorScale" priority="27">
      <colorScale>
        <cfvo type="num" val="1"/>
        <cfvo type="num" val="8"/>
        <cfvo type="num" val="22"/>
        <color rgb="FF00B050"/>
        <color rgb="FFFFFF00"/>
        <color rgb="FFC00000"/>
      </colorScale>
    </cfRule>
  </conditionalFormatting>
  <conditionalFormatting sqref="G35">
    <cfRule type="colorScale" priority="26">
      <colorScale>
        <cfvo type="num" val="1"/>
        <cfvo type="num" val="8"/>
        <cfvo type="num" val="22"/>
        <color rgb="FF00B050"/>
        <color rgb="FFFFFF00"/>
        <color rgb="FFC00000"/>
      </colorScale>
    </cfRule>
  </conditionalFormatting>
  <conditionalFormatting sqref="G36">
    <cfRule type="colorScale" priority="25">
      <colorScale>
        <cfvo type="num" val="1"/>
        <cfvo type="num" val="8"/>
        <cfvo type="num" val="22"/>
        <color rgb="FF00B050"/>
        <color rgb="FFFFFF00"/>
        <color rgb="FFC00000"/>
      </colorScale>
    </cfRule>
  </conditionalFormatting>
  <conditionalFormatting sqref="G37">
    <cfRule type="colorScale" priority="24">
      <colorScale>
        <cfvo type="num" val="1"/>
        <cfvo type="num" val="8"/>
        <cfvo type="num" val="22"/>
        <color rgb="FF00B050"/>
        <color rgb="FFFFFF00"/>
        <color rgb="FFC00000"/>
      </colorScale>
    </cfRule>
  </conditionalFormatting>
  <conditionalFormatting sqref="G38">
    <cfRule type="colorScale" priority="23">
      <colorScale>
        <cfvo type="num" val="1"/>
        <cfvo type="num" val="8"/>
        <cfvo type="num" val="22"/>
        <color rgb="FF00B050"/>
        <color rgb="FFFFFF00"/>
        <color rgb="FFC00000"/>
      </colorScale>
    </cfRule>
  </conditionalFormatting>
  <conditionalFormatting sqref="G39">
    <cfRule type="colorScale" priority="22">
      <colorScale>
        <cfvo type="num" val="1"/>
        <cfvo type="num" val="8"/>
        <cfvo type="num" val="22"/>
        <color rgb="FF00B050"/>
        <color rgb="FFFFFF00"/>
        <color rgb="FFC00000"/>
      </colorScale>
    </cfRule>
  </conditionalFormatting>
  <conditionalFormatting sqref="G40">
    <cfRule type="colorScale" priority="21">
      <colorScale>
        <cfvo type="num" val="1"/>
        <cfvo type="num" val="8"/>
        <cfvo type="num" val="22"/>
        <color rgb="FF00B050"/>
        <color rgb="FFFFFF00"/>
        <color rgb="FFC00000"/>
      </colorScale>
    </cfRule>
  </conditionalFormatting>
  <conditionalFormatting sqref="G41">
    <cfRule type="colorScale" priority="20">
      <colorScale>
        <cfvo type="num" val="1"/>
        <cfvo type="num" val="8"/>
        <cfvo type="num" val="22"/>
        <color rgb="FF00B050"/>
        <color rgb="FFFFFF00"/>
        <color rgb="FFC00000"/>
      </colorScale>
    </cfRule>
  </conditionalFormatting>
  <conditionalFormatting sqref="G42">
    <cfRule type="colorScale" priority="19">
      <colorScale>
        <cfvo type="num" val="1"/>
        <cfvo type="num" val="8"/>
        <cfvo type="num" val="22"/>
        <color rgb="FF00B050"/>
        <color rgb="FFFFFF00"/>
        <color rgb="FFC00000"/>
      </colorScale>
    </cfRule>
  </conditionalFormatting>
  <conditionalFormatting sqref="G43">
    <cfRule type="colorScale" priority="18">
      <colorScale>
        <cfvo type="num" val="1"/>
        <cfvo type="num" val="8"/>
        <cfvo type="num" val="22"/>
        <color rgb="FF00B050"/>
        <color rgb="FFFFFF00"/>
        <color rgb="FFC00000"/>
      </colorScale>
    </cfRule>
  </conditionalFormatting>
  <conditionalFormatting sqref="G44">
    <cfRule type="colorScale" priority="17">
      <colorScale>
        <cfvo type="num" val="1"/>
        <cfvo type="num" val="8"/>
        <cfvo type="num" val="22"/>
        <color rgb="FF00B050"/>
        <color rgb="FFFFFF00"/>
        <color rgb="FFC00000"/>
      </colorScale>
    </cfRule>
  </conditionalFormatting>
  <conditionalFormatting sqref="G45">
    <cfRule type="colorScale" priority="16">
      <colorScale>
        <cfvo type="num" val="1"/>
        <cfvo type="num" val="8"/>
        <cfvo type="num" val="22"/>
        <color rgb="FF00B050"/>
        <color rgb="FFFFFF00"/>
        <color rgb="FFC00000"/>
      </colorScale>
    </cfRule>
  </conditionalFormatting>
  <conditionalFormatting sqref="G46">
    <cfRule type="colorScale" priority="15">
      <colorScale>
        <cfvo type="num" val="1"/>
        <cfvo type="num" val="8"/>
        <cfvo type="num" val="22"/>
        <color rgb="FF00B050"/>
        <color rgb="FFFFFF00"/>
        <color rgb="FFC00000"/>
      </colorScale>
    </cfRule>
  </conditionalFormatting>
  <conditionalFormatting sqref="G47">
    <cfRule type="colorScale" priority="14">
      <colorScale>
        <cfvo type="num" val="1"/>
        <cfvo type="num" val="8"/>
        <cfvo type="num" val="22"/>
        <color rgb="FF00B050"/>
        <color rgb="FFFFFF00"/>
        <color rgb="FFC00000"/>
      </colorScale>
    </cfRule>
  </conditionalFormatting>
  <conditionalFormatting sqref="G48">
    <cfRule type="colorScale" priority="13">
      <colorScale>
        <cfvo type="num" val="1"/>
        <cfvo type="num" val="8"/>
        <cfvo type="num" val="22"/>
        <color rgb="FF00B050"/>
        <color rgb="FFFFFF00"/>
        <color rgb="FFC00000"/>
      </colorScale>
    </cfRule>
  </conditionalFormatting>
  <conditionalFormatting sqref="G49:G50">
    <cfRule type="colorScale" priority="12">
      <colorScale>
        <cfvo type="num" val="1"/>
        <cfvo type="num" val="8"/>
        <cfvo type="num" val="22"/>
        <color rgb="FF00B050"/>
        <color rgb="FFFFFF00"/>
        <color rgb="FFC00000"/>
      </colorScale>
    </cfRule>
  </conditionalFormatting>
  <conditionalFormatting sqref="G51">
    <cfRule type="colorScale" priority="11">
      <colorScale>
        <cfvo type="num" val="1"/>
        <cfvo type="num" val="8"/>
        <cfvo type="num" val="22"/>
        <color rgb="FF00B050"/>
        <color rgb="FFFFFF00"/>
        <color rgb="FFC00000"/>
      </colorScale>
    </cfRule>
  </conditionalFormatting>
  <conditionalFormatting sqref="G52">
    <cfRule type="colorScale" priority="10">
      <colorScale>
        <cfvo type="num" val="1"/>
        <cfvo type="num" val="8"/>
        <cfvo type="num" val="22"/>
        <color rgb="FF00B050"/>
        <color rgb="FFFFFF00"/>
        <color rgb="FFC00000"/>
      </colorScale>
    </cfRule>
  </conditionalFormatting>
  <conditionalFormatting sqref="G53">
    <cfRule type="colorScale" priority="9">
      <colorScale>
        <cfvo type="num" val="1"/>
        <cfvo type="num" val="8"/>
        <cfvo type="num" val="22"/>
        <color rgb="FF00B050"/>
        <color rgb="FFFFFF00"/>
        <color rgb="FFC00000"/>
      </colorScale>
    </cfRule>
  </conditionalFormatting>
  <conditionalFormatting sqref="G54">
    <cfRule type="colorScale" priority="8">
      <colorScale>
        <cfvo type="num" val="1"/>
        <cfvo type="num" val="8"/>
        <cfvo type="num" val="22"/>
        <color rgb="FF00B050"/>
        <color rgb="FFFFFF00"/>
        <color rgb="FFC00000"/>
      </colorScale>
    </cfRule>
  </conditionalFormatting>
  <conditionalFormatting sqref="G55">
    <cfRule type="colorScale" priority="7">
      <colorScale>
        <cfvo type="num" val="1"/>
        <cfvo type="num" val="8"/>
        <cfvo type="num" val="22"/>
        <color rgb="FF00B050"/>
        <color rgb="FFFFFF00"/>
        <color rgb="FFFF0000"/>
      </colorScale>
    </cfRule>
  </conditionalFormatting>
  <conditionalFormatting sqref="G56">
    <cfRule type="colorScale" priority="6">
      <colorScale>
        <cfvo type="num" val="1"/>
        <cfvo type="num" val="8"/>
        <cfvo type="num" val="22"/>
        <color rgb="FF00B050"/>
        <color rgb="FFFFFF00"/>
        <color rgb="FFFF0000"/>
      </colorScale>
    </cfRule>
  </conditionalFormatting>
  <conditionalFormatting sqref="G57">
    <cfRule type="colorScale" priority="5">
      <colorScale>
        <cfvo type="num" val="1"/>
        <cfvo type="num" val="8"/>
        <cfvo type="num" val="22"/>
        <color rgb="FF00B050"/>
        <color rgb="FFFFFF00"/>
        <color rgb="FFFF0000"/>
      </colorScale>
    </cfRule>
  </conditionalFormatting>
  <conditionalFormatting sqref="G58">
    <cfRule type="colorScale" priority="4">
      <colorScale>
        <cfvo type="num" val="1"/>
        <cfvo type="num" val="8"/>
        <cfvo type="num" val="22"/>
        <color rgb="FF00B050"/>
        <color rgb="FFFFFF00"/>
        <color rgb="FFFF0000"/>
      </colorScale>
    </cfRule>
  </conditionalFormatting>
  <conditionalFormatting sqref="G59">
    <cfRule type="colorScale" priority="3">
      <colorScale>
        <cfvo type="num" val="1"/>
        <cfvo type="num" val="8"/>
        <cfvo type="num" val="22"/>
        <color rgb="FF00B050"/>
        <color rgb="FFFFFF00"/>
        <color rgb="FFC00000"/>
      </colorScale>
    </cfRule>
  </conditionalFormatting>
  <conditionalFormatting sqref="G60">
    <cfRule type="colorScale" priority="2">
      <colorScale>
        <cfvo type="num" val="1"/>
        <cfvo type="num" val="8"/>
        <cfvo type="num" val="22"/>
        <color rgb="FF00B050"/>
        <color rgb="FFFFFF00"/>
        <color rgb="FFC00000"/>
      </colorScale>
    </cfRule>
  </conditionalFormatting>
  <conditionalFormatting sqref="G61">
    <cfRule type="colorScale" priority="1">
      <colorScale>
        <cfvo type="num" val="1"/>
        <cfvo type="num" val="8"/>
        <cfvo type="num" val="22"/>
        <color rgb="FF00B050"/>
        <color rgb="FFFFFF00"/>
        <color rgb="FFC00000"/>
      </colorScale>
    </cfRule>
  </conditionalFormatting>
  <pageMargins left="0.7" right="0.7" top="0.75" bottom="0.75" header="0.3" footer="0.3"/>
  <drawing r:id="rId1"/>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r:uid="{CBF80CB3-BD39-403D-9F1B-B7F2DFD3B8F8}">
          <x14:formula1>
            <xm:f>Feuil2!$A$1:$A$7</xm:f>
          </x14:formula1>
          <xm:sqref>D48</xm:sqref>
        </x14:dataValidation>
      </x14:dataValidations>
    </ext>
  </extLst>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tabColor rgb="FFC00000"/>
  </sheetPr>
  <dimension ref="A1:S47"/>
  <sheetViews>
    <sheetView topLeftCell="N23" workbookViewId="0">
      <selection activeCell="I28" sqref="I28"/>
    </sheetView>
  </sheetViews>
  <sheetFormatPr baseColWidth="10" defaultColWidth="11.54296875" defaultRowHeight="15" thickBottom="1"/>
  <cols>
    <col min="1" max="1" width="2.6328125" style="126" bestFit="1" customWidth="1"/>
    <col min="2" max="2" width="14.1796875" style="126" bestFit="1" customWidth="1"/>
    <col min="3" max="3" width="5.90625" style="126" customWidth="1"/>
    <col min="4" max="4" width="16.54296875" style="148" bestFit="1" customWidth="1"/>
    <col min="5" max="5" width="36.6328125" style="429" customWidth="1"/>
    <col min="6" max="6" width="26.36328125" style="264" customWidth="1"/>
    <col min="7" max="7" width="21.90625" style="137" bestFit="1" customWidth="1"/>
    <col min="8" max="8" width="6.54296875" style="138" bestFit="1" customWidth="1"/>
    <col min="9" max="9" width="9.26953125" style="138" bestFit="1" customWidth="1"/>
    <col min="10" max="10" width="10" style="138" bestFit="1" customWidth="1"/>
    <col min="11" max="11" width="25" style="183" bestFit="1" customWidth="1"/>
    <col min="12" max="12" width="44.81640625" style="137" customWidth="1"/>
    <col min="13" max="13" width="26.36328125" style="137" customWidth="1"/>
    <col min="14" max="14" width="16.6328125" style="137" customWidth="1"/>
    <col min="15" max="15" width="22.08984375" style="138" customWidth="1"/>
    <col min="16" max="16" width="8.6328125" style="138" bestFit="1" customWidth="1"/>
    <col min="17" max="17" width="10" style="138" customWidth="1"/>
    <col min="18" max="18" width="10.54296875" style="138" bestFit="1" customWidth="1"/>
    <col min="19" max="16384" width="11.54296875" style="126"/>
  </cols>
  <sheetData>
    <row r="1" spans="1:19" ht="31.5" thickBot="1">
      <c r="A1" s="514" t="s">
        <v>1096</v>
      </c>
      <c r="B1" s="514"/>
      <c r="C1" s="514"/>
      <c r="D1" s="514"/>
      <c r="E1" s="514"/>
      <c r="F1" s="514"/>
      <c r="G1" s="514"/>
      <c r="H1" s="514"/>
      <c r="I1" s="514"/>
      <c r="J1" s="514"/>
      <c r="K1" s="514"/>
      <c r="L1" s="514"/>
      <c r="M1" s="514"/>
      <c r="N1" s="514"/>
      <c r="O1" s="514"/>
      <c r="P1" s="514"/>
      <c r="Q1" s="514"/>
      <c r="R1" s="514"/>
      <c r="S1" s="125"/>
    </row>
    <row r="2" spans="1:19" thickBot="1">
      <c r="A2" s="573" t="s">
        <v>71</v>
      </c>
      <c r="B2" s="573" t="s">
        <v>72</v>
      </c>
      <c r="C2" s="579" t="s">
        <v>73</v>
      </c>
      <c r="D2" s="573" t="s">
        <v>74</v>
      </c>
      <c r="E2" s="576" t="s">
        <v>350</v>
      </c>
      <c r="F2" s="582" t="s">
        <v>804</v>
      </c>
      <c r="G2" s="582" t="s">
        <v>809</v>
      </c>
      <c r="H2" s="585" t="s">
        <v>58</v>
      </c>
      <c r="I2" s="585" t="s">
        <v>43</v>
      </c>
      <c r="J2" s="585" t="s">
        <v>245</v>
      </c>
      <c r="K2" s="586" t="s">
        <v>455</v>
      </c>
      <c r="L2" s="585" t="s">
        <v>330</v>
      </c>
      <c r="M2" s="585"/>
      <c r="N2" s="585"/>
      <c r="O2" s="585"/>
      <c r="P2" s="585" t="s">
        <v>252</v>
      </c>
      <c r="Q2" s="585" t="s">
        <v>253</v>
      </c>
      <c r="R2" s="585" t="s">
        <v>246</v>
      </c>
      <c r="S2" s="125"/>
    </row>
    <row r="3" spans="1:19" thickBot="1">
      <c r="A3" s="574"/>
      <c r="B3" s="574"/>
      <c r="C3" s="580"/>
      <c r="D3" s="574"/>
      <c r="E3" s="577"/>
      <c r="F3" s="583"/>
      <c r="G3" s="583"/>
      <c r="H3" s="585"/>
      <c r="I3" s="585"/>
      <c r="J3" s="585"/>
      <c r="K3" s="587"/>
      <c r="L3" s="585"/>
      <c r="M3" s="585"/>
      <c r="N3" s="585"/>
      <c r="O3" s="585"/>
      <c r="P3" s="585"/>
      <c r="Q3" s="585"/>
      <c r="R3" s="585"/>
      <c r="S3" s="125"/>
    </row>
    <row r="4" spans="1:19" ht="23.5" thickBot="1">
      <c r="A4" s="574"/>
      <c r="B4" s="575"/>
      <c r="C4" s="580"/>
      <c r="D4" s="574"/>
      <c r="E4" s="578"/>
      <c r="F4" s="584"/>
      <c r="G4" s="584"/>
      <c r="H4" s="127" t="s">
        <v>0</v>
      </c>
      <c r="I4" s="127" t="s">
        <v>1</v>
      </c>
      <c r="J4" s="127" t="s">
        <v>4</v>
      </c>
      <c r="K4" s="588"/>
      <c r="L4" s="127" t="s">
        <v>413</v>
      </c>
      <c r="M4" s="127" t="s">
        <v>405</v>
      </c>
      <c r="N4" s="159" t="s">
        <v>254</v>
      </c>
      <c r="O4" s="127" t="s">
        <v>225</v>
      </c>
      <c r="P4" s="127" t="s">
        <v>0</v>
      </c>
      <c r="Q4" s="127" t="s">
        <v>351</v>
      </c>
      <c r="R4" s="127" t="s">
        <v>4</v>
      </c>
      <c r="S4" s="125"/>
    </row>
    <row r="5" spans="1:19" ht="137.5" customHeight="1" thickBot="1">
      <c r="A5" s="354">
        <v>1</v>
      </c>
      <c r="B5" s="662" t="s">
        <v>1097</v>
      </c>
      <c r="C5" s="564"/>
      <c r="D5" s="633" t="s">
        <v>1098</v>
      </c>
      <c r="E5" s="406" t="s">
        <v>1099</v>
      </c>
      <c r="F5" s="350" t="s">
        <v>1100</v>
      </c>
      <c r="G5" s="389" t="s">
        <v>806</v>
      </c>
      <c r="H5" s="129">
        <v>4</v>
      </c>
      <c r="I5" s="129">
        <v>2</v>
      </c>
      <c r="J5" s="132">
        <f>H5*I5</f>
        <v>8</v>
      </c>
      <c r="K5" s="184"/>
      <c r="L5" s="276" t="s">
        <v>1101</v>
      </c>
      <c r="M5" s="131" t="s">
        <v>1102</v>
      </c>
      <c r="N5" s="149" t="s">
        <v>1103</v>
      </c>
      <c r="O5" s="129">
        <v>2</v>
      </c>
      <c r="P5" s="129">
        <v>4</v>
      </c>
      <c r="Q5" s="407">
        <f>I5/O5</f>
        <v>1</v>
      </c>
      <c r="R5" s="267">
        <f>P5*Q5</f>
        <v>4</v>
      </c>
      <c r="S5" s="125"/>
    </row>
    <row r="6" spans="1:19" s="137" customFormat="1" ht="29.5" thickBot="1">
      <c r="A6" s="354">
        <v>2</v>
      </c>
      <c r="B6" s="663"/>
      <c r="C6" s="566"/>
      <c r="D6" s="635"/>
      <c r="E6" s="276" t="s">
        <v>1104</v>
      </c>
      <c r="F6" s="408" t="s">
        <v>1105</v>
      </c>
      <c r="G6" s="314" t="s">
        <v>1106</v>
      </c>
      <c r="H6" s="314">
        <v>4</v>
      </c>
      <c r="I6" s="314">
        <v>2</v>
      </c>
      <c r="J6" s="132">
        <f t="shared" ref="J6:J28" si="0">H6*I6</f>
        <v>8</v>
      </c>
      <c r="K6" s="409"/>
      <c r="L6" s="410" t="s">
        <v>1107</v>
      </c>
      <c r="M6" s="131" t="s">
        <v>1108</v>
      </c>
      <c r="N6" s="149" t="s">
        <v>1103</v>
      </c>
      <c r="O6" s="314">
        <v>2</v>
      </c>
      <c r="P6" s="314">
        <v>4</v>
      </c>
      <c r="Q6" s="407">
        <f t="shared" ref="Q6:Q27" si="1">I6/O6</f>
        <v>1</v>
      </c>
      <c r="R6" s="267">
        <f t="shared" ref="R6:R28" si="2">P6*Q6</f>
        <v>4</v>
      </c>
      <c r="S6" s="411"/>
    </row>
    <row r="7" spans="1:19" s="137" customFormat="1" ht="29.5" thickBot="1">
      <c r="A7" s="354">
        <v>3</v>
      </c>
      <c r="B7" s="663"/>
      <c r="C7" s="412"/>
      <c r="D7" s="413" t="s">
        <v>1109</v>
      </c>
      <c r="E7" s="142" t="s">
        <v>1110</v>
      </c>
      <c r="F7" s="260" t="s">
        <v>1111</v>
      </c>
      <c r="G7" s="314" t="s">
        <v>1112</v>
      </c>
      <c r="H7" s="314">
        <v>3</v>
      </c>
      <c r="I7" s="314">
        <v>3</v>
      </c>
      <c r="J7" s="132">
        <f t="shared" si="0"/>
        <v>9</v>
      </c>
      <c r="K7" s="409"/>
      <c r="L7" s="414" t="s">
        <v>1113</v>
      </c>
      <c r="M7" s="131" t="s">
        <v>1114</v>
      </c>
      <c r="N7" s="149" t="s">
        <v>1115</v>
      </c>
      <c r="O7" s="314">
        <v>2</v>
      </c>
      <c r="P7" s="314">
        <v>3</v>
      </c>
      <c r="Q7" s="407">
        <f t="shared" si="1"/>
        <v>1.5</v>
      </c>
      <c r="R7" s="267">
        <f t="shared" si="2"/>
        <v>4.5</v>
      </c>
      <c r="S7" s="411"/>
    </row>
    <row r="8" spans="1:19" s="137" customFormat="1" ht="44" thickBot="1">
      <c r="A8" s="354">
        <v>4</v>
      </c>
      <c r="B8" s="663"/>
      <c r="C8" s="389"/>
      <c r="D8" s="415" t="s">
        <v>1116</v>
      </c>
      <c r="E8" s="142" t="s">
        <v>1117</v>
      </c>
      <c r="F8" s="416" t="s">
        <v>1118</v>
      </c>
      <c r="G8" s="314" t="s">
        <v>806</v>
      </c>
      <c r="H8" s="314">
        <v>4</v>
      </c>
      <c r="I8" s="314">
        <v>2</v>
      </c>
      <c r="J8" s="132">
        <f t="shared" si="0"/>
        <v>8</v>
      </c>
      <c r="K8" s="409"/>
      <c r="L8" s="417" t="s">
        <v>1119</v>
      </c>
      <c r="M8" s="131" t="s">
        <v>1120</v>
      </c>
      <c r="N8" s="149" t="s">
        <v>1115</v>
      </c>
      <c r="O8" s="314">
        <v>2</v>
      </c>
      <c r="P8" s="314">
        <v>2</v>
      </c>
      <c r="Q8" s="407">
        <f t="shared" si="1"/>
        <v>1</v>
      </c>
      <c r="R8" s="267">
        <f t="shared" si="2"/>
        <v>2</v>
      </c>
      <c r="S8" s="411"/>
    </row>
    <row r="9" spans="1:19" s="137" customFormat="1" ht="39.5" thickBot="1">
      <c r="A9" s="354">
        <v>5</v>
      </c>
      <c r="B9" s="663"/>
      <c r="C9" s="655"/>
      <c r="D9" s="602" t="s">
        <v>1121</v>
      </c>
      <c r="E9" s="419" t="s">
        <v>1122</v>
      </c>
      <c r="F9" s="350" t="s">
        <v>1123</v>
      </c>
      <c r="G9" s="314" t="s">
        <v>818</v>
      </c>
      <c r="H9" s="314">
        <v>3</v>
      </c>
      <c r="I9" s="314">
        <v>2</v>
      </c>
      <c r="J9" s="132">
        <f t="shared" si="0"/>
        <v>6</v>
      </c>
      <c r="K9" s="409"/>
      <c r="L9" s="417" t="s">
        <v>1124</v>
      </c>
      <c r="M9" s="131" t="s">
        <v>622</v>
      </c>
      <c r="N9" s="149" t="s">
        <v>1115</v>
      </c>
      <c r="O9" s="314">
        <v>2</v>
      </c>
      <c r="P9" s="314">
        <v>3</v>
      </c>
      <c r="Q9" s="407">
        <f t="shared" si="1"/>
        <v>1</v>
      </c>
      <c r="R9" s="267">
        <f t="shared" si="2"/>
        <v>3</v>
      </c>
      <c r="S9" s="411"/>
    </row>
    <row r="10" spans="1:19" s="137" customFormat="1" ht="39.5" thickBot="1">
      <c r="A10" s="354">
        <v>6</v>
      </c>
      <c r="B10" s="663"/>
      <c r="C10" s="657"/>
      <c r="D10" s="604"/>
      <c r="E10" s="142" t="s">
        <v>1125</v>
      </c>
      <c r="F10" s="260" t="s">
        <v>818</v>
      </c>
      <c r="G10" s="314" t="s">
        <v>818</v>
      </c>
      <c r="H10" s="314">
        <v>4</v>
      </c>
      <c r="I10" s="314">
        <v>2</v>
      </c>
      <c r="J10" s="132">
        <f t="shared" si="0"/>
        <v>8</v>
      </c>
      <c r="K10" s="409"/>
      <c r="L10" s="417" t="s">
        <v>1124</v>
      </c>
      <c r="M10" s="131" t="s">
        <v>622</v>
      </c>
      <c r="N10" s="149" t="s">
        <v>1115</v>
      </c>
      <c r="O10" s="314">
        <v>2</v>
      </c>
      <c r="P10" s="314">
        <v>4</v>
      </c>
      <c r="Q10" s="407">
        <f t="shared" si="1"/>
        <v>1</v>
      </c>
      <c r="R10" s="267">
        <f t="shared" si="2"/>
        <v>4</v>
      </c>
      <c r="S10" s="411"/>
    </row>
    <row r="11" spans="1:19" s="137" customFormat="1" ht="44" thickBot="1">
      <c r="A11" s="354">
        <v>7</v>
      </c>
      <c r="B11" s="663"/>
      <c r="C11" s="389"/>
      <c r="D11" s="415" t="s">
        <v>1126</v>
      </c>
      <c r="E11" s="419" t="s">
        <v>1127</v>
      </c>
      <c r="F11" s="350" t="s">
        <v>1128</v>
      </c>
      <c r="G11" s="314" t="s">
        <v>361</v>
      </c>
      <c r="H11" s="314">
        <v>3</v>
      </c>
      <c r="I11" s="314">
        <v>2</v>
      </c>
      <c r="J11" s="132">
        <f t="shared" si="0"/>
        <v>6</v>
      </c>
      <c r="K11" s="409"/>
      <c r="L11" s="414" t="s">
        <v>1129</v>
      </c>
      <c r="M11" s="131" t="s">
        <v>1130</v>
      </c>
      <c r="N11" s="149" t="s">
        <v>1103</v>
      </c>
      <c r="O11" s="314">
        <v>2</v>
      </c>
      <c r="P11" s="314">
        <v>3</v>
      </c>
      <c r="Q11" s="407">
        <f t="shared" si="1"/>
        <v>1</v>
      </c>
      <c r="R11" s="267">
        <f t="shared" si="2"/>
        <v>3</v>
      </c>
      <c r="S11" s="411"/>
    </row>
    <row r="12" spans="1:19" s="137" customFormat="1" ht="44" thickBot="1">
      <c r="A12" s="354">
        <v>8</v>
      </c>
      <c r="B12" s="663"/>
      <c r="C12" s="655"/>
      <c r="D12" s="664" t="s">
        <v>1131</v>
      </c>
      <c r="E12" s="420" t="s">
        <v>1132</v>
      </c>
      <c r="F12" s="421" t="s">
        <v>1133</v>
      </c>
      <c r="G12" s="314" t="s">
        <v>361</v>
      </c>
      <c r="H12" s="314">
        <v>3</v>
      </c>
      <c r="I12" s="314">
        <v>2</v>
      </c>
      <c r="J12" s="132">
        <f t="shared" si="0"/>
        <v>6</v>
      </c>
      <c r="K12" s="409"/>
      <c r="L12" s="417" t="s">
        <v>1134</v>
      </c>
      <c r="M12" s="131" t="s">
        <v>1135</v>
      </c>
      <c r="N12" s="149" t="s">
        <v>1103</v>
      </c>
      <c r="O12" s="314">
        <v>2</v>
      </c>
      <c r="P12" s="314">
        <v>3</v>
      </c>
      <c r="Q12" s="407">
        <f t="shared" si="1"/>
        <v>1</v>
      </c>
      <c r="R12" s="267">
        <f t="shared" si="2"/>
        <v>3</v>
      </c>
      <c r="S12" s="411"/>
    </row>
    <row r="13" spans="1:19" s="137" customFormat="1" ht="29.5" thickBot="1">
      <c r="A13" s="354">
        <v>9</v>
      </c>
      <c r="B13" s="663"/>
      <c r="C13" s="656"/>
      <c r="D13" s="658"/>
      <c r="E13" s="142" t="s">
        <v>1136</v>
      </c>
      <c r="F13" s="416" t="s">
        <v>1137</v>
      </c>
      <c r="G13" s="314" t="s">
        <v>800</v>
      </c>
      <c r="H13" s="314">
        <v>4</v>
      </c>
      <c r="I13" s="314">
        <v>2</v>
      </c>
      <c r="J13" s="132">
        <f t="shared" si="0"/>
        <v>8</v>
      </c>
      <c r="K13" s="409"/>
      <c r="L13" s="417" t="s">
        <v>1138</v>
      </c>
      <c r="M13" s="131" t="s">
        <v>1108</v>
      </c>
      <c r="N13" s="149" t="s">
        <v>1103</v>
      </c>
      <c r="O13" s="314">
        <v>2</v>
      </c>
      <c r="P13" s="314">
        <v>4</v>
      </c>
      <c r="Q13" s="407">
        <f t="shared" si="1"/>
        <v>1</v>
      </c>
      <c r="R13" s="267">
        <f t="shared" si="2"/>
        <v>4</v>
      </c>
      <c r="S13" s="411"/>
    </row>
    <row r="14" spans="1:19" s="137" customFormat="1" ht="29.5" thickBot="1">
      <c r="A14" s="354">
        <v>10</v>
      </c>
      <c r="B14" s="663"/>
      <c r="C14" s="657"/>
      <c r="D14" s="665"/>
      <c r="E14" s="142" t="s">
        <v>1139</v>
      </c>
      <c r="F14" s="422" t="s">
        <v>1140</v>
      </c>
      <c r="G14" s="314" t="s">
        <v>806</v>
      </c>
      <c r="H14" s="314">
        <v>3</v>
      </c>
      <c r="I14" s="314">
        <v>2</v>
      </c>
      <c r="J14" s="132">
        <f t="shared" si="0"/>
        <v>6</v>
      </c>
      <c r="K14" s="409"/>
      <c r="L14" s="417" t="s">
        <v>1141</v>
      </c>
      <c r="M14" s="131" t="s">
        <v>1108</v>
      </c>
      <c r="N14" s="149" t="s">
        <v>1103</v>
      </c>
      <c r="O14" s="314">
        <v>2</v>
      </c>
      <c r="P14" s="314">
        <v>3</v>
      </c>
      <c r="Q14" s="407">
        <f t="shared" si="1"/>
        <v>1</v>
      </c>
      <c r="R14" s="267">
        <f t="shared" si="2"/>
        <v>3</v>
      </c>
      <c r="S14" s="411"/>
    </row>
    <row r="15" spans="1:19" s="137" customFormat="1" ht="39.5" thickBot="1">
      <c r="A15" s="354">
        <v>11</v>
      </c>
      <c r="B15" s="663"/>
      <c r="C15" s="655"/>
      <c r="D15" s="602" t="s">
        <v>1142</v>
      </c>
      <c r="E15" s="142" t="s">
        <v>1143</v>
      </c>
      <c r="F15" s="416" t="s">
        <v>1144</v>
      </c>
      <c r="G15" s="389" t="s">
        <v>361</v>
      </c>
      <c r="H15" s="314">
        <v>3</v>
      </c>
      <c r="I15" s="314">
        <v>2</v>
      </c>
      <c r="J15" s="132">
        <f>H15*I15</f>
        <v>6</v>
      </c>
      <c r="K15" s="409"/>
      <c r="L15" s="423" t="s">
        <v>1145</v>
      </c>
      <c r="M15" s="131" t="s">
        <v>1146</v>
      </c>
      <c r="N15" s="149" t="s">
        <v>1103</v>
      </c>
      <c r="O15" s="314">
        <v>2</v>
      </c>
      <c r="P15" s="314">
        <v>3</v>
      </c>
      <c r="Q15" s="407">
        <f t="shared" si="1"/>
        <v>1</v>
      </c>
      <c r="R15" s="267">
        <f>P15*Q15</f>
        <v>3</v>
      </c>
      <c r="S15" s="411"/>
    </row>
    <row r="16" spans="1:19" s="137" customFormat="1" ht="39.5" thickBot="1">
      <c r="A16" s="354">
        <v>12</v>
      </c>
      <c r="B16" s="663"/>
      <c r="C16" s="656"/>
      <c r="D16" s="603"/>
      <c r="E16" s="142" t="s">
        <v>1147</v>
      </c>
      <c r="F16" s="350" t="s">
        <v>1148</v>
      </c>
      <c r="G16" s="389" t="s">
        <v>1112</v>
      </c>
      <c r="H16" s="314">
        <v>2</v>
      </c>
      <c r="I16" s="314">
        <v>2</v>
      </c>
      <c r="J16" s="132">
        <f t="shared" si="0"/>
        <v>4</v>
      </c>
      <c r="K16" s="409"/>
      <c r="L16" s="417" t="s">
        <v>1149</v>
      </c>
      <c r="M16" s="131" t="s">
        <v>1150</v>
      </c>
      <c r="N16" s="149" t="s">
        <v>1103</v>
      </c>
      <c r="O16" s="314">
        <v>2</v>
      </c>
      <c r="P16" s="314">
        <v>2</v>
      </c>
      <c r="Q16" s="407">
        <f t="shared" si="1"/>
        <v>1</v>
      </c>
      <c r="R16" s="267">
        <f t="shared" si="2"/>
        <v>2</v>
      </c>
      <c r="S16" s="411"/>
    </row>
    <row r="17" spans="1:19" s="137" customFormat="1" ht="29.5" thickBot="1">
      <c r="A17" s="354">
        <v>13</v>
      </c>
      <c r="B17" s="663"/>
      <c r="C17" s="656"/>
      <c r="D17" s="603"/>
      <c r="E17" s="142" t="s">
        <v>1151</v>
      </c>
      <c r="F17" s="416" t="s">
        <v>1152</v>
      </c>
      <c r="G17" s="314" t="s">
        <v>361</v>
      </c>
      <c r="H17" s="314">
        <v>2</v>
      </c>
      <c r="I17" s="314">
        <v>2</v>
      </c>
      <c r="J17" s="132">
        <f t="shared" si="0"/>
        <v>4</v>
      </c>
      <c r="K17" s="409"/>
      <c r="L17" s="417" t="s">
        <v>1153</v>
      </c>
      <c r="M17" s="131" t="s">
        <v>1154</v>
      </c>
      <c r="N17" s="149" t="s">
        <v>1103</v>
      </c>
      <c r="O17" s="314">
        <v>2</v>
      </c>
      <c r="P17" s="314">
        <v>2</v>
      </c>
      <c r="Q17" s="407">
        <f t="shared" si="1"/>
        <v>1</v>
      </c>
      <c r="R17" s="267">
        <f t="shared" si="2"/>
        <v>2</v>
      </c>
      <c r="S17" s="411"/>
    </row>
    <row r="18" spans="1:19" s="137" customFormat="1" ht="29.5" thickBot="1">
      <c r="A18" s="354">
        <v>14</v>
      </c>
      <c r="B18" s="663"/>
      <c r="C18" s="657"/>
      <c r="D18" s="604"/>
      <c r="E18" s="424" t="s">
        <v>1155</v>
      </c>
      <c r="F18" s="422" t="s">
        <v>1156</v>
      </c>
      <c r="G18" s="314" t="s">
        <v>361</v>
      </c>
      <c r="H18" s="314">
        <v>2</v>
      </c>
      <c r="I18" s="314">
        <v>2</v>
      </c>
      <c r="J18" s="132">
        <f t="shared" si="0"/>
        <v>4</v>
      </c>
      <c r="K18" s="409"/>
      <c r="L18" s="425" t="s">
        <v>1157</v>
      </c>
      <c r="M18" s="131" t="s">
        <v>1158</v>
      </c>
      <c r="N18" s="149" t="s">
        <v>1103</v>
      </c>
      <c r="O18" s="314">
        <v>2</v>
      </c>
      <c r="P18" s="314">
        <v>2</v>
      </c>
      <c r="Q18" s="407">
        <f t="shared" si="1"/>
        <v>1</v>
      </c>
      <c r="R18" s="267">
        <f t="shared" si="2"/>
        <v>2</v>
      </c>
      <c r="S18" s="411"/>
    </row>
    <row r="19" spans="1:19" s="137" customFormat="1" ht="58.5" thickBot="1">
      <c r="A19" s="354">
        <v>18</v>
      </c>
      <c r="B19" s="663"/>
      <c r="C19" s="655"/>
      <c r="D19" s="602" t="s">
        <v>1159</v>
      </c>
      <c r="E19" s="142" t="s">
        <v>1160</v>
      </c>
      <c r="F19" s="416" t="s">
        <v>1161</v>
      </c>
      <c r="G19" s="314" t="s">
        <v>1162</v>
      </c>
      <c r="H19" s="314">
        <v>4</v>
      </c>
      <c r="I19" s="314">
        <v>3</v>
      </c>
      <c r="J19" s="132">
        <f t="shared" si="0"/>
        <v>12</v>
      </c>
      <c r="K19" s="409"/>
      <c r="L19" s="417" t="s">
        <v>1163</v>
      </c>
      <c r="M19" s="131" t="s">
        <v>1164</v>
      </c>
      <c r="N19" s="149" t="s">
        <v>1165</v>
      </c>
      <c r="O19" s="314">
        <v>2</v>
      </c>
      <c r="P19" s="314">
        <v>4</v>
      </c>
      <c r="Q19" s="407">
        <f t="shared" si="1"/>
        <v>1.5</v>
      </c>
      <c r="R19" s="267">
        <f t="shared" si="2"/>
        <v>6</v>
      </c>
      <c r="S19" s="411"/>
    </row>
    <row r="20" spans="1:19" s="137" customFormat="1" ht="58.5" thickBot="1">
      <c r="A20" s="354">
        <v>19</v>
      </c>
      <c r="B20" s="663"/>
      <c r="C20" s="657"/>
      <c r="D20" s="604"/>
      <c r="E20" s="419" t="s">
        <v>1166</v>
      </c>
      <c r="F20" s="350" t="s">
        <v>1167</v>
      </c>
      <c r="G20" s="314" t="s">
        <v>1162</v>
      </c>
      <c r="H20" s="314">
        <v>4</v>
      </c>
      <c r="I20" s="314">
        <v>3</v>
      </c>
      <c r="J20" s="132">
        <f t="shared" si="0"/>
        <v>12</v>
      </c>
      <c r="K20" s="409"/>
      <c r="L20" s="417" t="s">
        <v>1163</v>
      </c>
      <c r="M20" s="131" t="s">
        <v>1164</v>
      </c>
      <c r="N20" s="149" t="s">
        <v>1165</v>
      </c>
      <c r="O20" s="314">
        <v>2</v>
      </c>
      <c r="P20" s="314">
        <v>4</v>
      </c>
      <c r="Q20" s="407">
        <f t="shared" si="1"/>
        <v>1.5</v>
      </c>
      <c r="R20" s="267">
        <f t="shared" si="2"/>
        <v>6</v>
      </c>
      <c r="S20" s="411"/>
    </row>
    <row r="21" spans="1:19" s="137" customFormat="1" ht="58.5" thickBot="1">
      <c r="A21" s="354">
        <v>20</v>
      </c>
      <c r="B21" s="663"/>
      <c r="C21" s="655"/>
      <c r="D21" s="658" t="s">
        <v>1168</v>
      </c>
      <c r="E21" s="142" t="s">
        <v>1169</v>
      </c>
      <c r="F21" s="416" t="s">
        <v>1170</v>
      </c>
      <c r="G21" s="314" t="s">
        <v>1162</v>
      </c>
      <c r="H21" s="314">
        <v>4</v>
      </c>
      <c r="I21" s="314">
        <v>2</v>
      </c>
      <c r="J21" s="132">
        <f t="shared" si="0"/>
        <v>8</v>
      </c>
      <c r="K21" s="409"/>
      <c r="L21" s="417" t="s">
        <v>1163</v>
      </c>
      <c r="M21" s="131" t="s">
        <v>1164</v>
      </c>
      <c r="N21" s="149" t="s">
        <v>1165</v>
      </c>
      <c r="O21" s="314">
        <v>2</v>
      </c>
      <c r="P21" s="314">
        <v>4</v>
      </c>
      <c r="Q21" s="407">
        <f t="shared" si="1"/>
        <v>1</v>
      </c>
      <c r="R21" s="267">
        <f t="shared" si="2"/>
        <v>4</v>
      </c>
      <c r="S21" s="411"/>
    </row>
    <row r="22" spans="1:19" s="137" customFormat="1" ht="58.5" thickBot="1">
      <c r="A22" s="354">
        <v>21</v>
      </c>
      <c r="B22" s="663"/>
      <c r="C22" s="657"/>
      <c r="D22" s="658"/>
      <c r="E22" s="419" t="s">
        <v>1171</v>
      </c>
      <c r="F22" s="350" t="s">
        <v>1172</v>
      </c>
      <c r="G22" s="314" t="s">
        <v>361</v>
      </c>
      <c r="H22" s="314">
        <v>4</v>
      </c>
      <c r="I22" s="314">
        <v>2</v>
      </c>
      <c r="J22" s="132">
        <f t="shared" si="0"/>
        <v>8</v>
      </c>
      <c r="K22" s="409"/>
      <c r="L22" s="417" t="s">
        <v>1163</v>
      </c>
      <c r="M22" s="131" t="s">
        <v>1164</v>
      </c>
      <c r="N22" s="149" t="s">
        <v>1165</v>
      </c>
      <c r="O22" s="314">
        <v>2</v>
      </c>
      <c r="P22" s="314">
        <v>4</v>
      </c>
      <c r="Q22" s="407">
        <f t="shared" si="1"/>
        <v>1</v>
      </c>
      <c r="R22" s="267">
        <f t="shared" si="2"/>
        <v>4</v>
      </c>
      <c r="S22" s="411"/>
    </row>
    <row r="23" spans="1:19" s="137" customFormat="1" ht="29.5" customHeight="1" thickBot="1">
      <c r="A23" s="354">
        <v>22</v>
      </c>
      <c r="B23" s="663"/>
      <c r="C23" s="655"/>
      <c r="D23" s="602" t="s">
        <v>1173</v>
      </c>
      <c r="E23" s="142" t="s">
        <v>1174</v>
      </c>
      <c r="F23" s="416" t="s">
        <v>370</v>
      </c>
      <c r="G23" s="314" t="s">
        <v>800</v>
      </c>
      <c r="H23" s="314">
        <v>4</v>
      </c>
      <c r="I23" s="314">
        <v>3</v>
      </c>
      <c r="J23" s="132">
        <f t="shared" si="0"/>
        <v>12</v>
      </c>
      <c r="K23" s="409"/>
      <c r="L23" s="425" t="s">
        <v>1175</v>
      </c>
      <c r="M23" s="131" t="s">
        <v>1146</v>
      </c>
      <c r="N23" s="149" t="s">
        <v>1103</v>
      </c>
      <c r="O23" s="314">
        <v>2</v>
      </c>
      <c r="P23" s="314">
        <v>4</v>
      </c>
      <c r="Q23" s="407">
        <f t="shared" si="1"/>
        <v>1.5</v>
      </c>
      <c r="R23" s="267">
        <f t="shared" si="2"/>
        <v>6</v>
      </c>
      <c r="S23" s="411"/>
    </row>
    <row r="24" spans="1:19" s="137" customFormat="1" ht="29.5" customHeight="1" thickBot="1">
      <c r="A24" s="354">
        <v>23</v>
      </c>
      <c r="B24" s="663"/>
      <c r="C24" s="657"/>
      <c r="D24" s="604"/>
      <c r="E24" s="424" t="s">
        <v>1176</v>
      </c>
      <c r="F24" s="422" t="s">
        <v>1177</v>
      </c>
      <c r="G24" s="314" t="s">
        <v>1106</v>
      </c>
      <c r="H24" s="314">
        <v>4</v>
      </c>
      <c r="I24" s="314">
        <v>2</v>
      </c>
      <c r="J24" s="132">
        <f t="shared" si="0"/>
        <v>8</v>
      </c>
      <c r="K24" s="409"/>
      <c r="L24" s="425" t="s">
        <v>1178</v>
      </c>
      <c r="M24" s="131" t="s">
        <v>1146</v>
      </c>
      <c r="N24" s="149" t="s">
        <v>1103</v>
      </c>
      <c r="O24" s="314">
        <v>2</v>
      </c>
      <c r="P24" s="426">
        <v>4</v>
      </c>
      <c r="Q24" s="407">
        <f t="shared" si="1"/>
        <v>1</v>
      </c>
      <c r="R24" s="267">
        <f t="shared" si="2"/>
        <v>4</v>
      </c>
      <c r="S24" s="411"/>
    </row>
    <row r="25" spans="1:19" s="137" customFormat="1" ht="29.5" thickBot="1">
      <c r="A25" s="354">
        <v>24</v>
      </c>
      <c r="B25" s="663"/>
      <c r="C25" s="418"/>
      <c r="D25" s="314" t="s">
        <v>27</v>
      </c>
      <c r="E25" s="142" t="s">
        <v>1179</v>
      </c>
      <c r="F25" s="260" t="s">
        <v>1180</v>
      </c>
      <c r="G25" s="314" t="s">
        <v>361</v>
      </c>
      <c r="H25" s="314">
        <v>3</v>
      </c>
      <c r="I25" s="314">
        <v>2</v>
      </c>
      <c r="J25" s="132">
        <f t="shared" si="0"/>
        <v>6</v>
      </c>
      <c r="K25" s="409"/>
      <c r="L25" s="417" t="s">
        <v>1181</v>
      </c>
      <c r="M25" s="131" t="s">
        <v>1146</v>
      </c>
      <c r="N25" s="149" t="s">
        <v>1103</v>
      </c>
      <c r="O25" s="314">
        <v>2</v>
      </c>
      <c r="P25" s="314">
        <v>3</v>
      </c>
      <c r="Q25" s="407">
        <f t="shared" si="1"/>
        <v>1</v>
      </c>
      <c r="R25" s="267">
        <f t="shared" si="2"/>
        <v>3</v>
      </c>
      <c r="S25" s="411"/>
    </row>
    <row r="26" spans="1:19" s="137" customFormat="1" ht="29.5" thickBot="1">
      <c r="A26" s="354">
        <v>25</v>
      </c>
      <c r="B26" s="663"/>
      <c r="C26" s="655"/>
      <c r="D26" s="658" t="s">
        <v>1182</v>
      </c>
      <c r="E26" s="424" t="s">
        <v>1183</v>
      </c>
      <c r="F26" s="422" t="s">
        <v>1184</v>
      </c>
      <c r="G26" s="314" t="s">
        <v>806</v>
      </c>
      <c r="H26" s="314">
        <v>3</v>
      </c>
      <c r="I26" s="314">
        <v>2</v>
      </c>
      <c r="J26" s="132">
        <f t="shared" si="0"/>
        <v>6</v>
      </c>
      <c r="K26" s="409"/>
      <c r="L26" s="417" t="s">
        <v>1185</v>
      </c>
      <c r="M26" s="131" t="s">
        <v>622</v>
      </c>
      <c r="N26" s="149" t="s">
        <v>1165</v>
      </c>
      <c r="O26" s="314">
        <v>2</v>
      </c>
      <c r="P26" s="314">
        <v>3</v>
      </c>
      <c r="Q26" s="407">
        <f t="shared" si="1"/>
        <v>1</v>
      </c>
      <c r="R26" s="267">
        <f t="shared" si="2"/>
        <v>3</v>
      </c>
      <c r="S26" s="411"/>
    </row>
    <row r="27" spans="1:19" s="137" customFormat="1" ht="29.5" thickBot="1">
      <c r="A27" s="354">
        <v>26</v>
      </c>
      <c r="B27" s="663"/>
      <c r="C27" s="657"/>
      <c r="D27" s="658"/>
      <c r="E27" s="419" t="s">
        <v>1186</v>
      </c>
      <c r="F27" s="350" t="s">
        <v>1187</v>
      </c>
      <c r="G27" s="314" t="s">
        <v>806</v>
      </c>
      <c r="H27" s="314">
        <v>2</v>
      </c>
      <c r="I27" s="314">
        <v>2</v>
      </c>
      <c r="J27" s="132">
        <f t="shared" si="0"/>
        <v>4</v>
      </c>
      <c r="K27" s="409"/>
      <c r="L27" s="417" t="s">
        <v>1185</v>
      </c>
      <c r="M27" s="131" t="s">
        <v>622</v>
      </c>
      <c r="N27" s="149" t="s">
        <v>1165</v>
      </c>
      <c r="O27" s="314">
        <v>2</v>
      </c>
      <c r="P27" s="314">
        <v>2</v>
      </c>
      <c r="Q27" s="407">
        <f t="shared" si="1"/>
        <v>1</v>
      </c>
      <c r="R27" s="267">
        <f t="shared" si="2"/>
        <v>2</v>
      </c>
      <c r="S27" s="411"/>
    </row>
    <row r="28" spans="1:19" ht="16" thickBot="1">
      <c r="A28" s="659" t="s">
        <v>1188</v>
      </c>
      <c r="B28" s="660"/>
      <c r="C28" s="660"/>
      <c r="D28" s="661"/>
      <c r="E28" s="556" t="s">
        <v>243</v>
      </c>
      <c r="F28" s="557"/>
      <c r="G28" s="315"/>
      <c r="H28" s="133">
        <f>+ROUND(IFERROR(AVERAGE(H5:H27),0),0)</f>
        <v>3</v>
      </c>
      <c r="I28" s="133">
        <f>+ROUND(IFERROR(AVERAGE(I5:I27),0),0)</f>
        <v>2</v>
      </c>
      <c r="J28" s="132">
        <f t="shared" si="0"/>
        <v>6</v>
      </c>
      <c r="K28" s="185"/>
      <c r="L28" s="558" t="s">
        <v>244</v>
      </c>
      <c r="M28" s="559"/>
      <c r="N28" s="560"/>
      <c r="O28" s="133">
        <f>+ROUND(IFERROR(AVERAGE(O5:O27),0),0)</f>
        <v>2</v>
      </c>
      <c r="P28" s="133">
        <f>+ROUND(IFERROR(AVERAGE(P5:P27),0),0)</f>
        <v>3</v>
      </c>
      <c r="Q28" s="133">
        <f>+ROUND(IFERROR(AVERAGE(Q5:Q27),0),0)</f>
        <v>1</v>
      </c>
      <c r="R28" s="267">
        <f t="shared" si="2"/>
        <v>3</v>
      </c>
      <c r="S28" s="125"/>
    </row>
    <row r="29" spans="1:19" thickBot="1">
      <c r="A29" s="134"/>
      <c r="B29" s="134"/>
      <c r="C29" s="134"/>
      <c r="D29" s="427"/>
      <c r="E29" s="428"/>
      <c r="F29" s="263"/>
      <c r="G29" s="135"/>
      <c r="H29" s="136"/>
      <c r="I29" s="136"/>
      <c r="J29" s="136"/>
      <c r="K29" s="182"/>
      <c r="L29" s="135"/>
      <c r="M29" s="135"/>
      <c r="N29" s="135"/>
      <c r="O29" s="136"/>
      <c r="P29" s="136"/>
      <c r="Q29" s="136"/>
      <c r="R29" s="136"/>
    </row>
    <row r="31" spans="1:19" thickBot="1">
      <c r="F31" s="264" t="s">
        <v>800</v>
      </c>
      <c r="G31" s="138">
        <f>COUNTIF($G$5:$G$27,F31)</f>
        <v>2</v>
      </c>
    </row>
    <row r="32" spans="1:19" thickBot="1">
      <c r="F32" s="264" t="s">
        <v>361</v>
      </c>
      <c r="G32" s="138">
        <f t="shared" ref="G32:G41" si="3">COUNTIF($G$5:$G$27,F32)</f>
        <v>7</v>
      </c>
    </row>
    <row r="33" spans="6:7" thickBot="1">
      <c r="F33" s="264" t="s">
        <v>806</v>
      </c>
      <c r="G33" s="138">
        <f t="shared" si="3"/>
        <v>5</v>
      </c>
    </row>
    <row r="34" spans="6:7" thickBot="1">
      <c r="F34" s="264" t="s">
        <v>801</v>
      </c>
      <c r="G34" s="138">
        <f t="shared" si="3"/>
        <v>0</v>
      </c>
    </row>
    <row r="35" spans="6:7" thickBot="1">
      <c r="F35" s="264" t="s">
        <v>780</v>
      </c>
      <c r="G35" s="138">
        <f t="shared" si="3"/>
        <v>0</v>
      </c>
    </row>
    <row r="36" spans="6:7" thickBot="1">
      <c r="F36" s="264" t="s">
        <v>802</v>
      </c>
      <c r="G36" s="138">
        <f t="shared" si="3"/>
        <v>0</v>
      </c>
    </row>
    <row r="37" spans="6:7" thickBot="1">
      <c r="F37" s="264" t="s">
        <v>808</v>
      </c>
      <c r="G37" s="138">
        <f t="shared" si="3"/>
        <v>0</v>
      </c>
    </row>
    <row r="38" spans="6:7" thickBot="1">
      <c r="F38" s="264" t="s">
        <v>818</v>
      </c>
      <c r="G38" s="138">
        <f t="shared" si="3"/>
        <v>2</v>
      </c>
    </row>
    <row r="39" spans="6:7" thickBot="1">
      <c r="F39" s="264" t="s">
        <v>1112</v>
      </c>
      <c r="G39" s="138">
        <f t="shared" si="3"/>
        <v>2</v>
      </c>
    </row>
    <row r="40" spans="6:7" thickBot="1">
      <c r="F40" s="264" t="s">
        <v>1106</v>
      </c>
      <c r="G40" s="138">
        <f t="shared" si="3"/>
        <v>2</v>
      </c>
    </row>
    <row r="41" spans="6:7" thickBot="1">
      <c r="F41" s="264" t="s">
        <v>1162</v>
      </c>
      <c r="G41" s="138">
        <f t="shared" si="3"/>
        <v>3</v>
      </c>
    </row>
    <row r="42" spans="6:7" ht="14.5"/>
    <row r="43" spans="6:7" ht="14.5"/>
    <row r="44" spans="6:7" ht="14.5"/>
    <row r="46" spans="6:7" ht="14.5"/>
    <row r="47" spans="6:7" ht="14.5"/>
  </sheetData>
  <mergeCells count="36">
    <mergeCell ref="D21:D22"/>
    <mergeCell ref="L28:N28"/>
    <mergeCell ref="C26:C27"/>
    <mergeCell ref="D26:D27"/>
    <mergeCell ref="A28:D28"/>
    <mergeCell ref="E28:F28"/>
    <mergeCell ref="C23:C24"/>
    <mergeCell ref="D23:D24"/>
    <mergeCell ref="B5:B27"/>
    <mergeCell ref="C5:C6"/>
    <mergeCell ref="D5:D6"/>
    <mergeCell ref="C9:C10"/>
    <mergeCell ref="D9:D10"/>
    <mergeCell ref="C12:C14"/>
    <mergeCell ref="C21:C22"/>
    <mergeCell ref="D12:D14"/>
    <mergeCell ref="R2:R3"/>
    <mergeCell ref="A1:R1"/>
    <mergeCell ref="A2:A4"/>
    <mergeCell ref="B2:B4"/>
    <mergeCell ref="C2:C4"/>
    <mergeCell ref="D2:D4"/>
    <mergeCell ref="E2:E4"/>
    <mergeCell ref="F2:F4"/>
    <mergeCell ref="G2:G4"/>
    <mergeCell ref="H2:H3"/>
    <mergeCell ref="I2:I3"/>
    <mergeCell ref="J2:J3"/>
    <mergeCell ref="K2:K4"/>
    <mergeCell ref="C15:C18"/>
    <mergeCell ref="L2:O3"/>
    <mergeCell ref="P2:P3"/>
    <mergeCell ref="Q2:Q3"/>
    <mergeCell ref="C19:C20"/>
    <mergeCell ref="D19:D20"/>
    <mergeCell ref="D15:D18"/>
  </mergeCells>
  <conditionalFormatting sqref="J5:J28 R5:R28">
    <cfRule type="colorScale" priority="1">
      <colorScale>
        <cfvo type="num" val="1"/>
        <cfvo type="num" val="8"/>
        <cfvo type="num" val="22"/>
        <color rgb="FF00B050"/>
        <color rgb="FFFFFF00"/>
        <color rgb="FFC00000"/>
      </colorScale>
    </cfRule>
  </conditionalFormatting>
  <dataValidations count="1">
    <dataValidation type="list" allowBlank="1" showInputMessage="1" showErrorMessage="1" sqref="F31:F41 G5:G27" xr:uid="{00000000-0002-0000-1900-000000000000}">
      <formula1>$F$31:$F$41</formula1>
    </dataValidation>
  </dataValidation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tabColor rgb="FFFFFF00"/>
    <pageSetUpPr fitToPage="1"/>
  </sheetPr>
  <dimension ref="A1:M26"/>
  <sheetViews>
    <sheetView tabSelected="1" topLeftCell="A5" zoomScale="70" zoomScaleNormal="70" workbookViewId="0">
      <selection activeCell="H7" sqref="H7"/>
    </sheetView>
  </sheetViews>
  <sheetFormatPr baseColWidth="10" defaultColWidth="11.453125" defaultRowHeight="14.5"/>
  <cols>
    <col min="1" max="1" width="11.453125" style="60" customWidth="1"/>
    <col min="2" max="2" width="4.90625" style="60" bestFit="1" customWidth="1"/>
    <col min="3" max="3" width="18.6328125" style="60" customWidth="1"/>
    <col min="4" max="4" width="25.36328125" style="60" customWidth="1"/>
    <col min="5" max="5" width="23.453125" style="60" customWidth="1"/>
    <col min="6" max="6" width="34.36328125" style="60" customWidth="1"/>
    <col min="7" max="7" width="27.1796875" style="60" customWidth="1"/>
    <col min="8" max="8" width="25.6328125" style="60" customWidth="1"/>
    <col min="9" max="10" width="11.453125" style="60"/>
    <col min="11" max="11" width="14.6328125" style="60" customWidth="1"/>
    <col min="12" max="12" width="14.90625" style="60" customWidth="1"/>
    <col min="13" max="16384" width="11.453125" style="60"/>
  </cols>
  <sheetData>
    <row r="1" spans="1:13" s="59" customFormat="1" ht="29.4" customHeight="1" thickBot="1">
      <c r="A1" s="514" t="s">
        <v>403</v>
      </c>
      <c r="B1" s="514"/>
      <c r="C1" s="514"/>
      <c r="D1" s="514"/>
      <c r="E1" s="514"/>
      <c r="F1" s="514"/>
      <c r="G1" s="514"/>
      <c r="H1" s="514"/>
      <c r="I1" s="514"/>
      <c r="J1" s="514"/>
      <c r="K1" s="514"/>
      <c r="L1" s="514"/>
      <c r="M1" s="514"/>
    </row>
    <row r="2" spans="1:13" s="59" customFormat="1" ht="10.75" customHeight="1" thickBot="1">
      <c r="A2" s="515"/>
      <c r="B2" s="515"/>
      <c r="C2" s="515"/>
      <c r="D2" s="515"/>
      <c r="E2" s="515"/>
      <c r="F2" s="515"/>
      <c r="G2" s="515"/>
      <c r="H2" s="515"/>
      <c r="I2" s="515"/>
      <c r="J2" s="515"/>
      <c r="K2" s="515"/>
      <c r="L2" s="515"/>
      <c r="M2" s="515"/>
    </row>
    <row r="3" spans="1:13" ht="70" customHeight="1">
      <c r="A3" s="511" t="s">
        <v>79</v>
      </c>
      <c r="B3" s="66">
        <v>6</v>
      </c>
      <c r="C3" s="238" t="s">
        <v>1353</v>
      </c>
      <c r="D3" s="239">
        <v>12</v>
      </c>
      <c r="E3" s="240">
        <v>18</v>
      </c>
      <c r="F3" s="241">
        <v>24</v>
      </c>
      <c r="G3" s="242">
        <v>30</v>
      </c>
      <c r="H3" s="243">
        <v>36</v>
      </c>
    </row>
    <row r="4" spans="1:13" ht="77.5" customHeight="1">
      <c r="A4" s="511"/>
      <c r="B4" s="66">
        <v>5</v>
      </c>
      <c r="C4" s="165" t="s">
        <v>1355</v>
      </c>
      <c r="D4" s="152" t="s">
        <v>647</v>
      </c>
      <c r="E4" s="166">
        <v>15</v>
      </c>
      <c r="F4" s="73">
        <v>20</v>
      </c>
      <c r="G4" s="209">
        <v>25</v>
      </c>
      <c r="H4" s="244">
        <v>30</v>
      </c>
    </row>
    <row r="5" spans="1:13" ht="75.5" customHeight="1">
      <c r="A5" s="511"/>
      <c r="B5" s="66">
        <v>4</v>
      </c>
      <c r="C5" s="245" t="s">
        <v>1352</v>
      </c>
      <c r="D5" s="203" t="s">
        <v>1350</v>
      </c>
      <c r="E5" s="152">
        <v>12</v>
      </c>
      <c r="F5" s="166">
        <v>16</v>
      </c>
      <c r="G5" s="153">
        <v>20</v>
      </c>
      <c r="H5" s="246">
        <v>24</v>
      </c>
    </row>
    <row r="6" spans="1:13" ht="74" customHeight="1">
      <c r="A6" s="511"/>
      <c r="B6" s="66">
        <v>3</v>
      </c>
      <c r="C6" s="245" t="s">
        <v>1354</v>
      </c>
      <c r="D6" s="203" t="s">
        <v>645</v>
      </c>
      <c r="E6" s="152">
        <v>9</v>
      </c>
      <c r="F6" s="152">
        <v>12</v>
      </c>
      <c r="G6" s="166">
        <v>15</v>
      </c>
      <c r="H6" s="247">
        <v>18</v>
      </c>
    </row>
    <row r="7" spans="1:13" ht="155">
      <c r="B7" s="67">
        <v>2</v>
      </c>
      <c r="C7" s="245">
        <v>2</v>
      </c>
      <c r="D7" s="248" t="s">
        <v>1349</v>
      </c>
      <c r="E7" s="203" t="s">
        <v>645</v>
      </c>
      <c r="F7" s="202" t="s">
        <v>1351</v>
      </c>
      <c r="G7" s="152" t="s">
        <v>646</v>
      </c>
      <c r="H7" s="249">
        <v>12</v>
      </c>
    </row>
    <row r="8" spans="1:13" ht="51" customHeight="1" thickBot="1">
      <c r="B8" s="67">
        <v>1</v>
      </c>
      <c r="C8" s="250">
        <v>1</v>
      </c>
      <c r="D8" s="251">
        <v>2</v>
      </c>
      <c r="E8" s="251">
        <v>3</v>
      </c>
      <c r="F8" s="251">
        <v>4</v>
      </c>
      <c r="G8" s="252">
        <v>5</v>
      </c>
      <c r="H8" s="253" t="s">
        <v>645</v>
      </c>
    </row>
    <row r="9" spans="1:13" ht="18.5">
      <c r="B9" s="63">
        <v>0</v>
      </c>
      <c r="C9" s="64">
        <v>1</v>
      </c>
      <c r="D9" s="64">
        <v>2</v>
      </c>
      <c r="E9" s="64">
        <v>3</v>
      </c>
      <c r="F9" s="64">
        <v>4</v>
      </c>
      <c r="G9" s="64">
        <v>5</v>
      </c>
      <c r="H9" s="65">
        <v>6</v>
      </c>
    </row>
    <row r="10" spans="1:13" ht="18.5">
      <c r="H10" s="62" t="s">
        <v>78</v>
      </c>
    </row>
    <row r="11" spans="1:13" s="61" customFormat="1" ht="15" thickBot="1"/>
    <row r="12" spans="1:13" s="61" customFormat="1" ht="26.5" thickBot="1">
      <c r="C12" s="512" t="s">
        <v>193</v>
      </c>
      <c r="D12" s="513"/>
      <c r="F12" s="220" t="str">
        <f>LEGENDE!C2</f>
        <v>PROCESSUS</v>
      </c>
      <c r="G12" s="220" t="str">
        <f>LEGENDE!D2</f>
        <v>GRAVITE</v>
      </c>
      <c r="H12" s="220" t="str">
        <f>LEGENDE!E2</f>
        <v>PROBABILITE</v>
      </c>
      <c r="I12" s="220" t="str">
        <f>LEGENDE!F2</f>
        <v>RISQUE BRUT</v>
      </c>
    </row>
    <row r="13" spans="1:13" ht="19" thickBot="1">
      <c r="C13" s="217"/>
      <c r="D13" s="77" t="s">
        <v>192</v>
      </c>
      <c r="F13" s="218" t="e">
        <f>LEGENDE!C3</f>
        <v>#REF!</v>
      </c>
      <c r="G13" s="221" t="e">
        <f>DMCC!#REF!</f>
        <v>#REF!</v>
      </c>
      <c r="H13" s="221" t="e">
        <f>DMCC!#REF!</f>
        <v>#REF!</v>
      </c>
      <c r="I13" s="218" t="e">
        <f>G13*H13</f>
        <v>#REF!</v>
      </c>
    </row>
    <row r="14" spans="1:13" ht="19" thickBot="1">
      <c r="C14" s="74"/>
      <c r="D14" s="77" t="s">
        <v>510</v>
      </c>
      <c r="F14" s="219" t="e">
        <f>LEGENDE!C4</f>
        <v>#REF!</v>
      </c>
      <c r="G14" s="222" t="e">
        <f>AGENCES!#REF!</f>
        <v>#REF!</v>
      </c>
      <c r="H14" s="222" t="e">
        <f>AGENCES!#REF!</f>
        <v>#REF!</v>
      </c>
      <c r="I14" s="218" t="e">
        <f t="shared" ref="I14:I26" si="0">G14*H14</f>
        <v>#REF!</v>
      </c>
    </row>
    <row r="15" spans="1:13" ht="19" thickBot="1">
      <c r="C15" s="157"/>
      <c r="D15" s="78" t="s">
        <v>210</v>
      </c>
      <c r="F15" s="219" t="e">
        <f>LEGENDE!C5</f>
        <v>#REF!</v>
      </c>
      <c r="G15" s="222" t="e">
        <f>CREDIT!#REF!</f>
        <v>#REF!</v>
      </c>
      <c r="H15" s="222" t="e">
        <f>CREDIT!#REF!</f>
        <v>#REF!</v>
      </c>
      <c r="I15" s="218" t="e">
        <f t="shared" si="0"/>
        <v>#REF!</v>
      </c>
    </row>
    <row r="16" spans="1:13" ht="19" thickBot="1">
      <c r="C16" s="76"/>
      <c r="D16" s="78" t="s">
        <v>189</v>
      </c>
      <c r="F16" s="219" t="e">
        <f>LEGENDE!C6</f>
        <v>#REF!</v>
      </c>
      <c r="G16" s="222" t="e">
        <f>RECOUVREMENT!#REF!</f>
        <v>#REF!</v>
      </c>
      <c r="H16" s="222" t="e">
        <f>RECOUVREMENT!#REF!</f>
        <v>#REF!</v>
      </c>
      <c r="I16" s="218" t="e">
        <f t="shared" si="0"/>
        <v>#REF!</v>
      </c>
    </row>
    <row r="17" spans="3:9" ht="19" thickBot="1">
      <c r="C17" s="75"/>
      <c r="D17" s="79" t="s">
        <v>190</v>
      </c>
      <c r="F17" s="219" t="e">
        <f>LEGENDE!C7</f>
        <v>#REF!</v>
      </c>
      <c r="G17" s="222" t="e">
        <f>OPERATIONS!#REF!</f>
        <v>#REF!</v>
      </c>
      <c r="H17" s="222" t="e">
        <f>OPERATIONS!#REF!</f>
        <v>#REF!</v>
      </c>
      <c r="I17" s="218" t="e">
        <f t="shared" si="0"/>
        <v>#REF!</v>
      </c>
    </row>
    <row r="18" spans="3:9" ht="19" thickBot="1">
      <c r="C18" s="216"/>
      <c r="D18" s="79" t="s">
        <v>509</v>
      </c>
      <c r="F18" s="219" t="e">
        <f>LEGENDE!C8</f>
        <v>#REF!</v>
      </c>
      <c r="G18" s="222" t="e">
        <f>'PRODUITS DIGITAUX'!#REF!</f>
        <v>#REF!</v>
      </c>
      <c r="H18" s="222" t="e">
        <f>'PRODUITS DIGITAUX'!#REF!</f>
        <v>#REF!</v>
      </c>
      <c r="I18" s="218" t="e">
        <f t="shared" si="0"/>
        <v>#REF!</v>
      </c>
    </row>
    <row r="19" spans="3:9">
      <c r="F19" s="219" t="e">
        <f>LEGENDE!C9</f>
        <v>#REF!</v>
      </c>
      <c r="G19" s="222" t="e">
        <f>'FINANCES &amp; REPORTING'!#REF!</f>
        <v>#REF!</v>
      </c>
      <c r="H19" s="222" t="e">
        <f>'FINANCES &amp; REPORTING'!#REF!</f>
        <v>#REF!</v>
      </c>
      <c r="I19" s="218" t="e">
        <f t="shared" si="0"/>
        <v>#REF!</v>
      </c>
    </row>
    <row r="20" spans="3:9">
      <c r="F20" s="219" t="e">
        <f>'IT '!#REF!</f>
        <v>#REF!</v>
      </c>
      <c r="G20" s="222" t="e">
        <f>'IT '!#REF!</f>
        <v>#REF!</v>
      </c>
      <c r="H20" s="222" t="e">
        <f>'IT '!#REF!</f>
        <v>#REF!</v>
      </c>
      <c r="I20" s="218" t="e">
        <f t="shared" si="0"/>
        <v>#REF!</v>
      </c>
    </row>
    <row r="21" spans="3:9">
      <c r="F21" s="219" t="str">
        <f>LEGENDE!C11</f>
        <v>GOUVERNANCE &amp; CI</v>
      </c>
      <c r="G21" s="222">
        <f>'GOUV &amp; CONTRÔLE INTERNE'!P25</f>
        <v>4</v>
      </c>
      <c r="H21" s="222">
        <f>'GOUV &amp; CONTRÔLE INTERNE'!Q25</f>
        <v>1</v>
      </c>
      <c r="I21" s="218">
        <f t="shared" si="0"/>
        <v>4</v>
      </c>
    </row>
    <row r="22" spans="3:9">
      <c r="F22" s="219" t="e">
        <f>LEGENDE!C12</f>
        <v>#REF!</v>
      </c>
      <c r="G22" s="222" t="e">
        <f>'JURIDIQUE &amp; CONTENTIEUX'!#REF!</f>
        <v>#REF!</v>
      </c>
      <c r="H22" s="222" t="e">
        <f>'JURIDIQUE &amp; CONTENTIEUX'!#REF!</f>
        <v>#REF!</v>
      </c>
      <c r="I22" s="218" t="e">
        <f t="shared" si="0"/>
        <v>#REF!</v>
      </c>
    </row>
    <row r="23" spans="3:9">
      <c r="F23" s="219" t="e">
        <f>LEGENDE!C13</f>
        <v>#REF!</v>
      </c>
      <c r="G23" s="222" t="e">
        <f>'RESSOURCES HUMAINES'!#REF!</f>
        <v>#REF!</v>
      </c>
      <c r="H23" s="222" t="e">
        <f>'RESSOURCES HUMAINES'!#REF!</f>
        <v>#REF!</v>
      </c>
      <c r="I23" s="218" t="e">
        <f t="shared" si="0"/>
        <v>#REF!</v>
      </c>
    </row>
    <row r="24" spans="3:9">
      <c r="F24" s="219" t="e">
        <f>LEGENDE!C14</f>
        <v>#REF!</v>
      </c>
      <c r="G24" s="222" t="e">
        <f>'ACHATS &amp; LOGISTIQUE'!#REF!</f>
        <v>#REF!</v>
      </c>
      <c r="H24" s="222" t="e">
        <f>'ACHATS &amp; LOGISTIQUE'!#REF!</f>
        <v>#REF!</v>
      </c>
      <c r="I24" s="218" t="e">
        <f t="shared" si="0"/>
        <v>#REF!</v>
      </c>
    </row>
    <row r="25" spans="3:9">
      <c r="F25" s="219" t="e">
        <f>CONFORMITE!#REF!</f>
        <v>#REF!</v>
      </c>
      <c r="G25" s="222" t="e">
        <f>CONFORMITE!#REF!</f>
        <v>#REF!</v>
      </c>
      <c r="H25" s="222" t="e">
        <f>CONFORMITE!#REF!</f>
        <v>#REF!</v>
      </c>
      <c r="I25" s="218" t="e">
        <f t="shared" si="0"/>
        <v>#REF!</v>
      </c>
    </row>
    <row r="26" spans="3:9">
      <c r="F26" s="219" t="s">
        <v>511</v>
      </c>
      <c r="G26" s="219">
        <f>+ROUND(IFERROR(AVERAGE(G13:G24),0),0)</f>
        <v>0</v>
      </c>
      <c r="H26" s="219">
        <f>+ROUND(IFERROR(AVERAGE(H13:H24),0),0)</f>
        <v>0</v>
      </c>
      <c r="I26" s="218">
        <f t="shared" si="0"/>
        <v>0</v>
      </c>
    </row>
  </sheetData>
  <mergeCells count="4">
    <mergeCell ref="A3:A6"/>
    <mergeCell ref="A1:M1"/>
    <mergeCell ref="A2:M2"/>
    <mergeCell ref="C12:D12"/>
  </mergeCells>
  <pageMargins left="0.70866141732283472" right="0.70866141732283472" top="0.74803149606299213" bottom="0.74803149606299213" header="0.31496062992125984" footer="0.31496062992125984"/>
  <pageSetup paperSize="9" scale="67" orientation="landscape" verticalDpi="0" r:id="rId1"/>
  <drawing r:id="rId2"/>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tabColor theme="5"/>
    <pageSetUpPr fitToPage="1"/>
  </sheetPr>
  <dimension ref="A1:L27"/>
  <sheetViews>
    <sheetView topLeftCell="D4" zoomScale="70" zoomScaleNormal="70" workbookViewId="0">
      <selection activeCell="J22" sqref="J22"/>
    </sheetView>
  </sheetViews>
  <sheetFormatPr baseColWidth="10" defaultColWidth="11.453125" defaultRowHeight="14.5"/>
  <cols>
    <col min="1" max="1" width="11.453125" style="60" customWidth="1"/>
    <col min="2" max="2" width="4.90625" style="60" bestFit="1" customWidth="1"/>
    <col min="3" max="3" width="18.6328125" style="60" customWidth="1"/>
    <col min="4" max="4" width="21.1796875" style="60" bestFit="1" customWidth="1"/>
    <col min="5" max="5" width="18.6328125" style="60" customWidth="1"/>
    <col min="6" max="6" width="39.453125" style="60" customWidth="1"/>
    <col min="7" max="7" width="27.08984375" style="60" customWidth="1"/>
    <col min="8" max="8" width="25.90625" style="60" customWidth="1"/>
    <col min="9" max="9" width="11.453125" style="60"/>
    <col min="10" max="10" width="14.6328125" style="60" customWidth="1"/>
    <col min="11" max="11" width="20.1796875" style="60" bestFit="1" customWidth="1"/>
    <col min="12" max="16384" width="11.453125" style="60"/>
  </cols>
  <sheetData>
    <row r="1" spans="1:12" s="59" customFormat="1" ht="31.75" customHeight="1" thickBot="1">
      <c r="A1" s="514" t="s">
        <v>402</v>
      </c>
      <c r="B1" s="514"/>
      <c r="C1" s="514"/>
      <c r="D1" s="514"/>
      <c r="E1" s="514"/>
      <c r="F1" s="514"/>
      <c r="G1" s="514"/>
      <c r="H1" s="514"/>
      <c r="I1" s="514"/>
      <c r="J1" s="514"/>
      <c r="K1" s="514"/>
      <c r="L1" s="514"/>
    </row>
    <row r="2" spans="1:12" s="59" customFormat="1" ht="10.75" customHeight="1" thickBot="1">
      <c r="A2" s="515"/>
      <c r="B2" s="515"/>
      <c r="C2" s="515"/>
      <c r="D2" s="515"/>
      <c r="E2" s="515"/>
      <c r="F2" s="515"/>
      <c r="G2" s="515"/>
      <c r="H2" s="515"/>
      <c r="I2" s="515"/>
      <c r="J2" s="515"/>
      <c r="K2" s="515"/>
      <c r="L2" s="515"/>
    </row>
    <row r="3" spans="1:12" ht="54" customHeight="1">
      <c r="A3" s="511" t="s">
        <v>79</v>
      </c>
      <c r="B3" s="66">
        <v>6</v>
      </c>
      <c r="C3" s="204">
        <v>6</v>
      </c>
      <c r="D3" s="205">
        <v>12</v>
      </c>
      <c r="E3" s="154">
        <v>18</v>
      </c>
      <c r="F3" s="68">
        <v>24</v>
      </c>
      <c r="G3" s="207">
        <v>30</v>
      </c>
      <c r="H3" s="208">
        <v>36</v>
      </c>
    </row>
    <row r="4" spans="1:12" ht="54" customHeight="1">
      <c r="A4" s="511"/>
      <c r="B4" s="66">
        <v>5</v>
      </c>
      <c r="C4" s="57">
        <v>5</v>
      </c>
      <c r="D4" s="69">
        <v>10</v>
      </c>
      <c r="E4" s="166">
        <v>15</v>
      </c>
      <c r="F4" s="73">
        <v>20</v>
      </c>
      <c r="G4" s="209">
        <v>25</v>
      </c>
      <c r="H4" s="210">
        <v>30</v>
      </c>
    </row>
    <row r="5" spans="1:12" ht="119.5" customHeight="1">
      <c r="A5" s="511"/>
      <c r="B5" s="66">
        <v>4</v>
      </c>
      <c r="C5" s="197">
        <v>4</v>
      </c>
      <c r="D5" s="203">
        <v>8</v>
      </c>
      <c r="E5" s="152" t="s">
        <v>644</v>
      </c>
      <c r="F5" s="166" t="s">
        <v>969</v>
      </c>
      <c r="G5" s="70">
        <v>20</v>
      </c>
      <c r="H5" s="71">
        <v>24</v>
      </c>
    </row>
    <row r="6" spans="1:12" ht="170.5">
      <c r="A6" s="511"/>
      <c r="B6" s="66">
        <v>3</v>
      </c>
      <c r="C6" s="197">
        <v>3</v>
      </c>
      <c r="D6" s="72">
        <v>6</v>
      </c>
      <c r="E6" s="152" t="s">
        <v>919</v>
      </c>
      <c r="F6" s="152" t="s">
        <v>970</v>
      </c>
      <c r="G6" s="155">
        <v>15</v>
      </c>
      <c r="H6" s="156">
        <v>18</v>
      </c>
    </row>
    <row r="7" spans="1:12" ht="58.5" customHeight="1">
      <c r="B7" s="67">
        <v>2</v>
      </c>
      <c r="C7" s="197">
        <v>2</v>
      </c>
      <c r="D7" s="199">
        <v>4</v>
      </c>
      <c r="E7" s="72">
        <v>6</v>
      </c>
      <c r="F7" s="203">
        <v>8</v>
      </c>
      <c r="G7" s="152">
        <v>10</v>
      </c>
      <c r="H7" s="206">
        <v>12</v>
      </c>
    </row>
    <row r="8" spans="1:12" ht="51" customHeight="1" thickBot="1">
      <c r="B8" s="67">
        <v>1</v>
      </c>
      <c r="C8" s="198">
        <v>1</v>
      </c>
      <c r="D8" s="200">
        <v>2</v>
      </c>
      <c r="E8" s="200">
        <v>3</v>
      </c>
      <c r="F8" s="200">
        <v>4</v>
      </c>
      <c r="G8" s="58">
        <v>5</v>
      </c>
      <c r="H8" s="201">
        <v>6</v>
      </c>
    </row>
    <row r="9" spans="1:12" ht="18.5">
      <c r="B9" s="63">
        <v>0</v>
      </c>
      <c r="C9" s="64">
        <v>1</v>
      </c>
      <c r="D9" s="64">
        <v>2</v>
      </c>
      <c r="E9" s="64">
        <v>3</v>
      </c>
      <c r="F9" s="64">
        <v>4</v>
      </c>
      <c r="G9" s="64">
        <v>5</v>
      </c>
      <c r="H9" s="65">
        <v>6</v>
      </c>
    </row>
    <row r="10" spans="1:12" ht="18.5">
      <c r="H10" s="62" t="s">
        <v>78</v>
      </c>
    </row>
    <row r="11" spans="1:12" s="61" customFormat="1" ht="15" thickBot="1">
      <c r="J11" s="60"/>
      <c r="K11" s="60"/>
    </row>
    <row r="12" spans="1:12" s="61" customFormat="1" ht="26.5" thickBot="1">
      <c r="C12" s="512" t="s">
        <v>193</v>
      </c>
      <c r="D12" s="513"/>
      <c r="F12" s="220" t="str">
        <f>LEGENDE!C2</f>
        <v>PROCESSUS</v>
      </c>
      <c r="G12" s="220" t="str">
        <f>LEGENDE!D2</f>
        <v>GRAVITE</v>
      </c>
      <c r="H12" s="220" t="str">
        <f>LEGENDE!E2</f>
        <v>PROBABILITE</v>
      </c>
      <c r="I12" s="220" t="str">
        <f>LEGENDE!F2</f>
        <v>RISQUE BRUT</v>
      </c>
    </row>
    <row r="13" spans="1:12" s="61" customFormat="1" ht="19" thickBot="1">
      <c r="C13" s="217"/>
      <c r="D13" s="77" t="s">
        <v>192</v>
      </c>
      <c r="F13" s="218" t="str">
        <f>DMCC!B5</f>
        <v>MARKETING  PRODUITS</v>
      </c>
      <c r="G13" s="221">
        <f>DMCC!H23</f>
        <v>4</v>
      </c>
      <c r="H13" s="221">
        <f>DMCC!I23</f>
        <v>2</v>
      </c>
      <c r="I13" s="218">
        <f>G13*H13</f>
        <v>8</v>
      </c>
    </row>
    <row r="14" spans="1:12" ht="19" thickBot="1">
      <c r="C14" s="74"/>
      <c r="D14" s="77" t="s">
        <v>510</v>
      </c>
      <c r="F14" s="219" t="s">
        <v>1344</v>
      </c>
      <c r="G14" s="222">
        <f>AGENCES!H40</f>
        <v>4</v>
      </c>
      <c r="H14" s="222">
        <f>AGENCES!I40</f>
        <v>2</v>
      </c>
      <c r="I14" s="218">
        <f>AGENCES!J40</f>
        <v>8</v>
      </c>
      <c r="J14" s="61"/>
      <c r="K14" s="61"/>
    </row>
    <row r="15" spans="1:12" ht="19" thickBot="1">
      <c r="C15" s="157"/>
      <c r="D15" s="78" t="s">
        <v>210</v>
      </c>
      <c r="F15" s="219" t="s">
        <v>493</v>
      </c>
      <c r="G15" s="222">
        <f>'RESSOURCES HUMAINES'!H37</f>
        <v>3</v>
      </c>
      <c r="H15" s="222">
        <f>'RESSOURCES HUMAINES'!I37</f>
        <v>2</v>
      </c>
      <c r="I15" s="218">
        <f>'RESSOURCES HUMAINES'!J37</f>
        <v>6</v>
      </c>
    </row>
    <row r="16" spans="1:12" ht="19" thickBot="1">
      <c r="C16" s="76"/>
      <c r="D16" s="78" t="s">
        <v>189</v>
      </c>
      <c r="F16" s="219" t="s">
        <v>490</v>
      </c>
      <c r="G16" s="222">
        <f>OPERATIONS!H32</f>
        <v>4</v>
      </c>
      <c r="H16" s="222">
        <f>OPERATIONS!I32</f>
        <v>2</v>
      </c>
      <c r="I16" s="218">
        <f>OPERATIONS!J32</f>
        <v>8</v>
      </c>
    </row>
    <row r="17" spans="3:9" ht="19" thickBot="1">
      <c r="C17" s="75"/>
      <c r="D17" s="79" t="s">
        <v>190</v>
      </c>
      <c r="F17" s="219" t="s">
        <v>821</v>
      </c>
      <c r="G17" s="222">
        <f>CREDIT!H38</f>
        <v>4</v>
      </c>
      <c r="H17" s="222">
        <f>OPERATIONS!I32</f>
        <v>2</v>
      </c>
      <c r="I17" s="218">
        <f t="shared" ref="I14:I26" si="0">G17*H17</f>
        <v>8</v>
      </c>
    </row>
    <row r="18" spans="3:9" ht="19" thickBot="1">
      <c r="C18" s="216"/>
      <c r="D18" s="79" t="s">
        <v>509</v>
      </c>
      <c r="F18" s="219" t="s">
        <v>1345</v>
      </c>
      <c r="G18" s="222">
        <f>'FINANCES &amp; REPORTING'!H31</f>
        <v>4</v>
      </c>
      <c r="H18" s="222">
        <f>'FINANCES &amp; REPORTING'!I31</f>
        <v>3</v>
      </c>
      <c r="I18" s="218">
        <f t="shared" si="0"/>
        <v>12</v>
      </c>
    </row>
    <row r="19" spans="3:9">
      <c r="F19" s="219" t="s">
        <v>315</v>
      </c>
      <c r="G19" s="222">
        <f>'IT '!H31</f>
        <v>4</v>
      </c>
      <c r="H19" s="222">
        <f>'IT '!I31</f>
        <v>3</v>
      </c>
      <c r="I19" s="218">
        <f t="shared" si="0"/>
        <v>12</v>
      </c>
    </row>
    <row r="20" spans="3:9">
      <c r="F20" s="219" t="str">
        <f>LEGENDE!C11</f>
        <v>GOUVERNANCE &amp; CI</v>
      </c>
      <c r="G20" s="222">
        <f>'GOUV &amp; CONTRÔLE INTERNE'!H25</f>
        <v>4</v>
      </c>
      <c r="H20" s="219">
        <f>LEGENDE!E11</f>
        <v>3</v>
      </c>
      <c r="I20" s="218">
        <f t="shared" si="0"/>
        <v>12</v>
      </c>
    </row>
    <row r="21" spans="3:9">
      <c r="F21" s="219" t="s">
        <v>457</v>
      </c>
      <c r="G21" s="219"/>
      <c r="H21" s="219" t="e">
        <f>LEGENDE!E12</f>
        <v>#REF!</v>
      </c>
      <c r="I21" s="218" t="e">
        <f t="shared" si="0"/>
        <v>#REF!</v>
      </c>
    </row>
    <row r="22" spans="3:9">
      <c r="F22" s="219" t="s">
        <v>1346</v>
      </c>
      <c r="G22" s="222">
        <f>'PRODUITS DIGITAUX'!H26</f>
        <v>4</v>
      </c>
      <c r="H22" s="222">
        <f>'PRODUITS DIGITAUX'!I26</f>
        <v>3</v>
      </c>
      <c r="I22" s="218">
        <f t="shared" si="0"/>
        <v>12</v>
      </c>
    </row>
    <row r="23" spans="3:9">
      <c r="F23" s="219" t="s">
        <v>1347</v>
      </c>
      <c r="G23" s="222">
        <f>'JURIDIQUE &amp; CONTENTIEUX'!H20</f>
        <v>4</v>
      </c>
      <c r="H23" s="222">
        <f>'JURIDIQUE &amp; CONTENTIEUX'!I20</f>
        <v>3</v>
      </c>
      <c r="I23" s="218">
        <f t="shared" si="0"/>
        <v>12</v>
      </c>
    </row>
    <row r="24" spans="3:9">
      <c r="F24" s="219" t="s">
        <v>1348</v>
      </c>
      <c r="G24" s="222">
        <f>'ACHATS &amp; LOGISTIQUE'!H22</f>
        <v>4</v>
      </c>
      <c r="H24" s="222">
        <f>'ACHATS &amp; LOGISTIQUE'!I22</f>
        <v>2</v>
      </c>
      <c r="I24" s="218">
        <f t="shared" si="0"/>
        <v>8</v>
      </c>
    </row>
    <row r="25" spans="3:9">
      <c r="F25" s="219" t="s">
        <v>570</v>
      </c>
      <c r="G25" s="222">
        <f>CONFORMITE!H25</f>
        <v>4</v>
      </c>
      <c r="H25" s="222">
        <f>CONFORMITE!I25</f>
        <v>3</v>
      </c>
      <c r="I25" s="218">
        <f t="shared" si="0"/>
        <v>12</v>
      </c>
    </row>
    <row r="26" spans="3:9">
      <c r="F26" s="219" t="s">
        <v>1097</v>
      </c>
      <c r="G26" s="219">
        <f>+ROUND(IFERROR(AVERAGE(G13:G25),0),0)</f>
        <v>4</v>
      </c>
      <c r="H26" s="222">
        <f>'INNOVATION ET PARTENARIAT'!I28</f>
        <v>2</v>
      </c>
      <c r="I26" s="218">
        <f t="shared" si="0"/>
        <v>8</v>
      </c>
    </row>
    <row r="27" spans="3:9">
      <c r="F27" s="219" t="s">
        <v>1336</v>
      </c>
      <c r="G27" s="222">
        <f>'GRAND COMPTE'!H32</f>
        <v>4</v>
      </c>
      <c r="H27" s="222">
        <f>'GRAND COMPTE'!I32</f>
        <v>2</v>
      </c>
      <c r="I27" s="219">
        <f>'GRAND COMPTE'!J32</f>
        <v>8</v>
      </c>
    </row>
  </sheetData>
  <mergeCells count="4">
    <mergeCell ref="A3:A6"/>
    <mergeCell ref="C12:D12"/>
    <mergeCell ref="A1:L1"/>
    <mergeCell ref="A2:L2"/>
  </mergeCells>
  <pageMargins left="0.70866141732283472" right="0.70866141732283472" top="0.74803149606299213" bottom="0.74803149606299213" header="0.31496062992125984" footer="0.31496062992125984"/>
  <pageSetup paperSize="9" scale="67" orientation="landscape" verticalDpi="0" r:id="rId1"/>
  <drawing r:id="rId2"/>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tabColor rgb="FFC00000"/>
  </sheetPr>
  <dimension ref="A1:S42"/>
  <sheetViews>
    <sheetView topLeftCell="O27" workbookViewId="0">
      <selection activeCell="O28" sqref="O28:O29"/>
    </sheetView>
  </sheetViews>
  <sheetFormatPr baseColWidth="10" defaultColWidth="11.54296875" defaultRowHeight="15" thickBottom="1"/>
  <cols>
    <col min="1" max="1" width="3.54296875" style="126" customWidth="1"/>
    <col min="2" max="2" width="15" style="126" customWidth="1"/>
    <col min="3" max="3" width="5.90625" style="126" customWidth="1"/>
    <col min="4" max="4" width="16.6328125" style="126" bestFit="1" customWidth="1"/>
    <col min="5" max="5" width="35.453125" style="137" customWidth="1"/>
    <col min="6" max="7" width="26.36328125" style="137" customWidth="1"/>
    <col min="8" max="8" width="7.453125" style="138" customWidth="1"/>
    <col min="9" max="9" width="9.36328125" style="138" customWidth="1"/>
    <col min="10" max="10" width="10.08984375" style="138" customWidth="1"/>
    <col min="11" max="11" width="27.54296875" style="183" customWidth="1"/>
    <col min="12" max="12" width="42.08984375" style="137" customWidth="1"/>
    <col min="13" max="13" width="29.54296875" style="137" customWidth="1"/>
    <col min="14" max="14" width="13.6328125" style="137" customWidth="1"/>
    <col min="15" max="15" width="12.90625" style="138" customWidth="1"/>
    <col min="16" max="16" width="11.54296875" style="138"/>
    <col min="17" max="17" width="10" style="138" customWidth="1"/>
    <col min="18" max="18" width="11.54296875" style="138"/>
    <col min="19" max="16384" width="11.54296875" style="126"/>
  </cols>
  <sheetData>
    <row r="1" spans="1:19" ht="36.65" customHeight="1" thickBot="1">
      <c r="A1" s="514" t="s">
        <v>226</v>
      </c>
      <c r="B1" s="514"/>
      <c r="C1" s="514"/>
      <c r="D1" s="514"/>
      <c r="E1" s="514"/>
      <c r="F1" s="514"/>
      <c r="G1" s="514"/>
      <c r="H1" s="514"/>
      <c r="I1" s="514"/>
      <c r="J1" s="514"/>
      <c r="K1" s="514"/>
      <c r="L1" s="514"/>
      <c r="M1" s="514"/>
      <c r="N1" s="514"/>
      <c r="O1" s="514"/>
      <c r="P1" s="514"/>
      <c r="Q1" s="514"/>
      <c r="R1" s="514"/>
      <c r="S1" s="125"/>
    </row>
    <row r="2" spans="1:19" thickBot="1">
      <c r="A2" s="573" t="s">
        <v>71</v>
      </c>
      <c r="B2" s="589" t="s">
        <v>72</v>
      </c>
      <c r="C2" s="590" t="s">
        <v>73</v>
      </c>
      <c r="D2" s="591" t="s">
        <v>74</v>
      </c>
      <c r="E2" s="589" t="s">
        <v>350</v>
      </c>
      <c r="F2" s="582" t="s">
        <v>804</v>
      </c>
      <c r="G2" s="582" t="s">
        <v>809</v>
      </c>
      <c r="H2" s="585" t="s">
        <v>58</v>
      </c>
      <c r="I2" s="585" t="s">
        <v>43</v>
      </c>
      <c r="J2" s="585" t="s">
        <v>245</v>
      </c>
      <c r="K2" s="586" t="s">
        <v>455</v>
      </c>
      <c r="L2" s="585" t="s">
        <v>330</v>
      </c>
      <c r="M2" s="585"/>
      <c r="N2" s="585"/>
      <c r="O2" s="585"/>
      <c r="P2" s="585" t="s">
        <v>252</v>
      </c>
      <c r="Q2" s="585" t="s">
        <v>253</v>
      </c>
      <c r="R2" s="585" t="s">
        <v>246</v>
      </c>
      <c r="S2" s="125"/>
    </row>
    <row r="3" spans="1:19" thickBot="1">
      <c r="A3" s="574"/>
      <c r="B3" s="589"/>
      <c r="C3" s="590"/>
      <c r="D3" s="591"/>
      <c r="E3" s="589"/>
      <c r="F3" s="583"/>
      <c r="G3" s="583"/>
      <c r="H3" s="585"/>
      <c r="I3" s="585"/>
      <c r="J3" s="585"/>
      <c r="K3" s="587"/>
      <c r="L3" s="585"/>
      <c r="M3" s="585"/>
      <c r="N3" s="585"/>
      <c r="O3" s="585"/>
      <c r="P3" s="585"/>
      <c r="Q3" s="585"/>
      <c r="R3" s="585"/>
      <c r="S3" s="125"/>
    </row>
    <row r="4" spans="1:19" ht="23" customHeight="1" thickBot="1">
      <c r="A4" s="575"/>
      <c r="B4" s="589"/>
      <c r="C4" s="590"/>
      <c r="D4" s="591"/>
      <c r="E4" s="589"/>
      <c r="F4" s="584"/>
      <c r="G4" s="584"/>
      <c r="H4" s="127" t="s">
        <v>0</v>
      </c>
      <c r="I4" s="127" t="s">
        <v>1</v>
      </c>
      <c r="J4" s="127" t="s">
        <v>4</v>
      </c>
      <c r="K4" s="588"/>
      <c r="L4" s="127" t="s">
        <v>230</v>
      </c>
      <c r="M4" s="430" t="s">
        <v>405</v>
      </c>
      <c r="N4" s="159" t="s">
        <v>254</v>
      </c>
      <c r="O4" s="127" t="s">
        <v>225</v>
      </c>
      <c r="P4" s="127" t="s">
        <v>0</v>
      </c>
      <c r="Q4" s="127" t="s">
        <v>351</v>
      </c>
      <c r="R4" s="127" t="s">
        <v>4</v>
      </c>
      <c r="S4" s="125"/>
    </row>
    <row r="5" spans="1:19" ht="58" customHeight="1" thickBot="1">
      <c r="A5" s="564"/>
      <c r="B5" s="561" t="s">
        <v>416</v>
      </c>
      <c r="C5" s="606">
        <v>0.1</v>
      </c>
      <c r="D5" s="570" t="s">
        <v>219</v>
      </c>
      <c r="E5" s="274" t="s">
        <v>231</v>
      </c>
      <c r="F5" s="279" t="s">
        <v>406</v>
      </c>
      <c r="G5" s="279" t="s">
        <v>361</v>
      </c>
      <c r="H5" s="129">
        <v>4</v>
      </c>
      <c r="I5" s="129">
        <v>3</v>
      </c>
      <c r="J5" s="132">
        <f t="shared" ref="J5:J31" si="0">H5*I5</f>
        <v>12</v>
      </c>
      <c r="K5" s="184"/>
      <c r="L5" s="131" t="s">
        <v>232</v>
      </c>
      <c r="M5" s="131" t="s">
        <v>525</v>
      </c>
      <c r="N5" s="149" t="s">
        <v>1189</v>
      </c>
      <c r="O5" s="129">
        <v>2</v>
      </c>
      <c r="P5" s="129">
        <f>H5</f>
        <v>4</v>
      </c>
      <c r="Q5" s="129">
        <f t="shared" ref="Q5:Q31" si="1">I5/O5</f>
        <v>1.5</v>
      </c>
      <c r="R5" s="132">
        <f t="shared" ref="R5:R31" si="2">P5*Q5</f>
        <v>6</v>
      </c>
      <c r="S5" s="125"/>
    </row>
    <row r="6" spans="1:19" ht="44" thickBot="1">
      <c r="A6" s="565"/>
      <c r="B6" s="562"/>
      <c r="C6" s="607"/>
      <c r="D6" s="571"/>
      <c r="E6" s="278" t="s">
        <v>785</v>
      </c>
      <c r="F6" s="279" t="s">
        <v>461</v>
      </c>
      <c r="G6" s="279" t="s">
        <v>800</v>
      </c>
      <c r="H6" s="290">
        <v>5</v>
      </c>
      <c r="I6" s="290">
        <v>1</v>
      </c>
      <c r="J6" s="306">
        <f t="shared" si="0"/>
        <v>5</v>
      </c>
      <c r="K6" s="257"/>
      <c r="L6" s="274" t="s">
        <v>922</v>
      </c>
      <c r="M6" s="274" t="s">
        <v>525</v>
      </c>
      <c r="N6" s="149" t="s">
        <v>1189</v>
      </c>
      <c r="O6" s="256">
        <v>2</v>
      </c>
      <c r="P6" s="129">
        <f t="shared" ref="P6:P31" si="3">H6</f>
        <v>5</v>
      </c>
      <c r="Q6" s="129">
        <f t="shared" si="1"/>
        <v>0.5</v>
      </c>
      <c r="R6" s="132">
        <f t="shared" si="2"/>
        <v>2.5</v>
      </c>
      <c r="S6" s="125"/>
    </row>
    <row r="7" spans="1:19" ht="81" customHeight="1" thickBot="1">
      <c r="A7" s="565"/>
      <c r="B7" s="562"/>
      <c r="C7" s="607"/>
      <c r="D7" s="571"/>
      <c r="E7" s="278" t="s">
        <v>233</v>
      </c>
      <c r="F7" s="280" t="s">
        <v>397</v>
      </c>
      <c r="G7" s="280" t="s">
        <v>361</v>
      </c>
      <c r="H7" s="129">
        <v>4</v>
      </c>
      <c r="I7" s="129">
        <v>1</v>
      </c>
      <c r="J7" s="171">
        <f t="shared" si="0"/>
        <v>4</v>
      </c>
      <c r="K7" s="184"/>
      <c r="L7" s="131" t="s">
        <v>1190</v>
      </c>
      <c r="M7" s="131" t="s">
        <v>525</v>
      </c>
      <c r="N7" s="149" t="s">
        <v>1189</v>
      </c>
      <c r="O7" s="129">
        <v>2</v>
      </c>
      <c r="P7" s="129">
        <f t="shared" si="3"/>
        <v>4</v>
      </c>
      <c r="Q7" s="129">
        <f t="shared" si="1"/>
        <v>0.5</v>
      </c>
      <c r="R7" s="132">
        <f t="shared" si="2"/>
        <v>2</v>
      </c>
      <c r="S7" s="125"/>
    </row>
    <row r="8" spans="1:19" ht="81" customHeight="1" thickBot="1">
      <c r="A8" s="565"/>
      <c r="B8" s="562"/>
      <c r="C8" s="607"/>
      <c r="D8" s="571"/>
      <c r="E8" s="274" t="s">
        <v>1191</v>
      </c>
      <c r="F8" s="279" t="s">
        <v>461</v>
      </c>
      <c r="G8" s="279" t="s">
        <v>800</v>
      </c>
      <c r="H8" s="129">
        <v>3</v>
      </c>
      <c r="I8" s="129">
        <v>3</v>
      </c>
      <c r="J8" s="171">
        <f t="shared" si="0"/>
        <v>9</v>
      </c>
      <c r="K8" s="184"/>
      <c r="L8" s="142" t="s">
        <v>694</v>
      </c>
      <c r="M8" s="131" t="s">
        <v>525</v>
      </c>
      <c r="N8" s="149" t="s">
        <v>1192</v>
      </c>
      <c r="O8" s="129">
        <v>2</v>
      </c>
      <c r="P8" s="129">
        <f t="shared" si="3"/>
        <v>3</v>
      </c>
      <c r="Q8" s="129">
        <f t="shared" si="1"/>
        <v>1.5</v>
      </c>
      <c r="R8" s="132">
        <f t="shared" si="2"/>
        <v>4.5</v>
      </c>
      <c r="S8" s="125"/>
    </row>
    <row r="9" spans="1:19" s="435" customFormat="1" ht="81" customHeight="1" thickBot="1">
      <c r="A9" s="565"/>
      <c r="B9" s="562"/>
      <c r="C9" s="607"/>
      <c r="D9" s="571"/>
      <c r="E9" s="431" t="s">
        <v>941</v>
      </c>
      <c r="F9" s="432" t="s">
        <v>406</v>
      </c>
      <c r="G9" s="432" t="s">
        <v>361</v>
      </c>
      <c r="H9" s="382">
        <v>4</v>
      </c>
      <c r="I9" s="382">
        <v>1</v>
      </c>
      <c r="J9" s="382">
        <v>8</v>
      </c>
      <c r="K9" s="383"/>
      <c r="L9" s="433" t="s">
        <v>942</v>
      </c>
      <c r="M9" s="289" t="s">
        <v>525</v>
      </c>
      <c r="N9" s="385" t="s">
        <v>1192</v>
      </c>
      <c r="O9" s="382">
        <v>3</v>
      </c>
      <c r="P9" s="382">
        <v>4</v>
      </c>
      <c r="Q9" s="382">
        <f t="shared" si="1"/>
        <v>0.33333333333333331</v>
      </c>
      <c r="R9" s="132">
        <f t="shared" si="2"/>
        <v>1.3333333333333333</v>
      </c>
      <c r="S9" s="434"/>
    </row>
    <row r="10" spans="1:19" s="435" customFormat="1" ht="81" customHeight="1" thickBot="1">
      <c r="A10" s="565"/>
      <c r="B10" s="562"/>
      <c r="C10" s="607"/>
      <c r="D10" s="571"/>
      <c r="E10" s="431" t="s">
        <v>1193</v>
      </c>
      <c r="F10" s="432" t="s">
        <v>406</v>
      </c>
      <c r="G10" s="432" t="s">
        <v>361</v>
      </c>
      <c r="H10" s="382">
        <v>4</v>
      </c>
      <c r="I10" s="382">
        <v>4</v>
      </c>
      <c r="J10" s="382">
        <v>16</v>
      </c>
      <c r="K10" s="383"/>
      <c r="L10" s="433" t="s">
        <v>1194</v>
      </c>
      <c r="M10" s="289" t="s">
        <v>539</v>
      </c>
      <c r="N10" s="385" t="s">
        <v>1189</v>
      </c>
      <c r="O10" s="382">
        <v>1</v>
      </c>
      <c r="P10" s="382">
        <v>4</v>
      </c>
      <c r="Q10" s="382">
        <f t="shared" si="1"/>
        <v>4</v>
      </c>
      <c r="R10" s="132">
        <f t="shared" si="2"/>
        <v>16</v>
      </c>
      <c r="S10" s="434"/>
    </row>
    <row r="11" spans="1:19" ht="81" customHeight="1" thickBot="1">
      <c r="A11" s="565"/>
      <c r="B11" s="562"/>
      <c r="C11" s="607"/>
      <c r="D11" s="571"/>
      <c r="E11" s="274" t="s">
        <v>693</v>
      </c>
      <c r="F11" s="279" t="s">
        <v>371</v>
      </c>
      <c r="G11" s="279" t="s">
        <v>800</v>
      </c>
      <c r="H11" s="129">
        <v>4</v>
      </c>
      <c r="I11" s="129">
        <v>3</v>
      </c>
      <c r="J11" s="171">
        <f t="shared" si="0"/>
        <v>12</v>
      </c>
      <c r="K11" s="184"/>
      <c r="L11" s="142" t="s">
        <v>695</v>
      </c>
      <c r="M11" s="131"/>
      <c r="N11" s="149" t="s">
        <v>1192</v>
      </c>
      <c r="O11" s="129">
        <v>2</v>
      </c>
      <c r="P11" s="129">
        <f t="shared" si="3"/>
        <v>4</v>
      </c>
      <c r="Q11" s="129">
        <f t="shared" si="1"/>
        <v>1.5</v>
      </c>
      <c r="R11" s="132">
        <f t="shared" si="2"/>
        <v>6</v>
      </c>
      <c r="S11" s="125"/>
    </row>
    <row r="12" spans="1:19" ht="52.75" customHeight="1" thickBot="1">
      <c r="A12" s="565"/>
      <c r="B12" s="562"/>
      <c r="C12" s="607"/>
      <c r="D12" s="571"/>
      <c r="E12" s="274" t="s">
        <v>234</v>
      </c>
      <c r="F12" s="279" t="s">
        <v>396</v>
      </c>
      <c r="G12" s="279" t="s">
        <v>800</v>
      </c>
      <c r="H12" s="129">
        <v>4</v>
      </c>
      <c r="I12" s="129">
        <v>1</v>
      </c>
      <c r="J12" s="171">
        <f t="shared" si="0"/>
        <v>4</v>
      </c>
      <c r="K12" s="184"/>
      <c r="L12" s="131" t="s">
        <v>235</v>
      </c>
      <c r="M12" s="131" t="s">
        <v>525</v>
      </c>
      <c r="N12" s="149" t="s">
        <v>1192</v>
      </c>
      <c r="O12" s="129">
        <v>2</v>
      </c>
      <c r="P12" s="129">
        <f t="shared" si="3"/>
        <v>4</v>
      </c>
      <c r="Q12" s="129">
        <f t="shared" si="1"/>
        <v>0.5</v>
      </c>
      <c r="R12" s="132">
        <f t="shared" si="2"/>
        <v>2</v>
      </c>
      <c r="S12" s="125"/>
    </row>
    <row r="13" spans="1:19" ht="52.75" customHeight="1" thickBot="1">
      <c r="A13" s="565"/>
      <c r="B13" s="562"/>
      <c r="C13" s="607"/>
      <c r="D13" s="571"/>
      <c r="E13" s="274" t="s">
        <v>786</v>
      </c>
      <c r="F13" s="279" t="s">
        <v>534</v>
      </c>
      <c r="G13" s="279" t="s">
        <v>361</v>
      </c>
      <c r="H13" s="129">
        <v>4</v>
      </c>
      <c r="I13" s="129">
        <v>2</v>
      </c>
      <c r="J13" s="171">
        <f t="shared" si="0"/>
        <v>8</v>
      </c>
      <c r="K13" s="184"/>
      <c r="L13" s="131" t="s">
        <v>535</v>
      </c>
      <c r="M13" s="131" t="s">
        <v>525</v>
      </c>
      <c r="N13" s="149" t="s">
        <v>1192</v>
      </c>
      <c r="O13" s="129">
        <v>2</v>
      </c>
      <c r="P13" s="129">
        <f t="shared" si="3"/>
        <v>4</v>
      </c>
      <c r="Q13" s="129">
        <f t="shared" si="1"/>
        <v>1</v>
      </c>
      <c r="R13" s="132">
        <f t="shared" si="2"/>
        <v>4</v>
      </c>
      <c r="S13" s="125"/>
    </row>
    <row r="14" spans="1:19" ht="52.75" customHeight="1" thickBot="1">
      <c r="A14" s="565"/>
      <c r="B14" s="562"/>
      <c r="C14" s="607"/>
      <c r="D14" s="571"/>
      <c r="E14" s="274" t="s">
        <v>787</v>
      </c>
      <c r="F14" s="279" t="s">
        <v>371</v>
      </c>
      <c r="G14" s="279" t="s">
        <v>800</v>
      </c>
      <c r="H14" s="129">
        <v>4</v>
      </c>
      <c r="I14" s="129">
        <v>3</v>
      </c>
      <c r="J14" s="171">
        <f t="shared" si="0"/>
        <v>12</v>
      </c>
      <c r="K14" s="184"/>
      <c r="L14" s="131" t="s">
        <v>532</v>
      </c>
      <c r="M14" s="131" t="s">
        <v>525</v>
      </c>
      <c r="N14" s="149" t="s">
        <v>1189</v>
      </c>
      <c r="O14" s="129">
        <v>2</v>
      </c>
      <c r="P14" s="129">
        <f t="shared" si="3"/>
        <v>4</v>
      </c>
      <c r="Q14" s="129">
        <f t="shared" si="1"/>
        <v>1.5</v>
      </c>
      <c r="R14" s="132">
        <f t="shared" si="2"/>
        <v>6</v>
      </c>
      <c r="S14" s="125"/>
    </row>
    <row r="15" spans="1:19" ht="63.65" customHeight="1" thickBot="1">
      <c r="A15" s="565"/>
      <c r="B15" s="562"/>
      <c r="C15" s="607"/>
      <c r="D15" s="571"/>
      <c r="E15" s="274" t="s">
        <v>1195</v>
      </c>
      <c r="F15" s="279" t="s">
        <v>389</v>
      </c>
      <c r="G15" s="279" t="s">
        <v>361</v>
      </c>
      <c r="H15" s="129">
        <v>4</v>
      </c>
      <c r="I15" s="129">
        <v>2</v>
      </c>
      <c r="J15" s="171">
        <f t="shared" si="0"/>
        <v>8</v>
      </c>
      <c r="K15" s="184"/>
      <c r="L15" s="131" t="s">
        <v>1196</v>
      </c>
      <c r="M15" s="131" t="s">
        <v>525</v>
      </c>
      <c r="N15" s="149" t="s">
        <v>1192</v>
      </c>
      <c r="O15" s="129">
        <v>2</v>
      </c>
      <c r="P15" s="129">
        <f t="shared" si="3"/>
        <v>4</v>
      </c>
      <c r="Q15" s="129">
        <f t="shared" si="1"/>
        <v>1</v>
      </c>
      <c r="R15" s="132">
        <f t="shared" si="2"/>
        <v>4</v>
      </c>
      <c r="S15" s="125"/>
    </row>
    <row r="16" spans="1:19" ht="131" customHeight="1" thickBot="1">
      <c r="A16" s="565"/>
      <c r="B16" s="562"/>
      <c r="C16" s="607"/>
      <c r="D16" s="571"/>
      <c r="E16" s="274" t="s">
        <v>789</v>
      </c>
      <c r="F16" s="279" t="s">
        <v>398</v>
      </c>
      <c r="G16" s="279" t="s">
        <v>361</v>
      </c>
      <c r="H16" s="129">
        <v>4</v>
      </c>
      <c r="I16" s="129">
        <v>4</v>
      </c>
      <c r="J16" s="171">
        <f t="shared" si="0"/>
        <v>16</v>
      </c>
      <c r="K16" s="184"/>
      <c r="L16" s="131" t="s">
        <v>1197</v>
      </c>
      <c r="M16" s="131" t="s">
        <v>525</v>
      </c>
      <c r="N16" s="149" t="s">
        <v>318</v>
      </c>
      <c r="O16" s="129">
        <v>2</v>
      </c>
      <c r="P16" s="129">
        <f t="shared" si="3"/>
        <v>4</v>
      </c>
      <c r="Q16" s="129">
        <f t="shared" si="1"/>
        <v>2</v>
      </c>
      <c r="R16" s="132">
        <f t="shared" si="2"/>
        <v>8</v>
      </c>
      <c r="S16" s="125"/>
    </row>
    <row r="17" spans="1:19" ht="29.5" thickBot="1">
      <c r="A17" s="565"/>
      <c r="B17" s="562"/>
      <c r="C17" s="607"/>
      <c r="D17" s="571"/>
      <c r="E17" s="278" t="s">
        <v>788</v>
      </c>
      <c r="F17" s="279" t="s">
        <v>395</v>
      </c>
      <c r="G17" s="279" t="s">
        <v>361</v>
      </c>
      <c r="H17" s="129">
        <v>4</v>
      </c>
      <c r="I17" s="129">
        <v>4</v>
      </c>
      <c r="J17" s="171">
        <f t="shared" si="0"/>
        <v>16</v>
      </c>
      <c r="K17" s="184"/>
      <c r="L17" s="131" t="s">
        <v>1198</v>
      </c>
      <c r="M17" s="131" t="s">
        <v>525</v>
      </c>
      <c r="N17" s="149" t="s">
        <v>1192</v>
      </c>
      <c r="O17" s="129">
        <v>2</v>
      </c>
      <c r="P17" s="129">
        <f t="shared" si="3"/>
        <v>4</v>
      </c>
      <c r="Q17" s="129">
        <f t="shared" si="1"/>
        <v>2</v>
      </c>
      <c r="R17" s="132">
        <f t="shared" si="2"/>
        <v>8</v>
      </c>
      <c r="S17" s="125"/>
    </row>
    <row r="18" spans="1:19" ht="131" customHeight="1" thickBot="1">
      <c r="A18" s="565"/>
      <c r="B18" s="562"/>
      <c r="C18" s="607"/>
      <c r="D18" s="571"/>
      <c r="E18" s="274" t="s">
        <v>533</v>
      </c>
      <c r="F18" s="279" t="s">
        <v>370</v>
      </c>
      <c r="G18" s="279" t="s">
        <v>800</v>
      </c>
      <c r="H18" s="129">
        <v>4</v>
      </c>
      <c r="I18" s="129">
        <v>2</v>
      </c>
      <c r="J18" s="171">
        <f t="shared" si="0"/>
        <v>8</v>
      </c>
      <c r="K18" s="184"/>
      <c r="L18" s="131" t="s">
        <v>1199</v>
      </c>
      <c r="M18" s="131" t="s">
        <v>525</v>
      </c>
      <c r="N18" s="149" t="s">
        <v>923</v>
      </c>
      <c r="O18" s="129">
        <v>2</v>
      </c>
      <c r="P18" s="129">
        <f>H18</f>
        <v>4</v>
      </c>
      <c r="Q18" s="129">
        <f t="shared" si="1"/>
        <v>1</v>
      </c>
      <c r="R18" s="132">
        <f t="shared" si="2"/>
        <v>4</v>
      </c>
      <c r="S18" s="125"/>
    </row>
    <row r="19" spans="1:19" ht="44" thickBot="1">
      <c r="A19" s="565"/>
      <c r="B19" s="562"/>
      <c r="C19" s="607"/>
      <c r="D19" s="571"/>
      <c r="E19" s="278" t="s">
        <v>500</v>
      </c>
      <c r="F19" s="279" t="s">
        <v>810</v>
      </c>
      <c r="G19" s="279" t="s">
        <v>806</v>
      </c>
      <c r="H19" s="129">
        <v>4</v>
      </c>
      <c r="I19" s="129">
        <v>1</v>
      </c>
      <c r="J19" s="171">
        <f>H19*I19</f>
        <v>4</v>
      </c>
      <c r="K19" s="184"/>
      <c r="L19" s="131" t="s">
        <v>1200</v>
      </c>
      <c r="M19" s="131" t="s">
        <v>539</v>
      </c>
      <c r="N19" s="149" t="s">
        <v>1192</v>
      </c>
      <c r="O19" s="129">
        <v>1</v>
      </c>
      <c r="P19" s="129">
        <f t="shared" si="3"/>
        <v>4</v>
      </c>
      <c r="Q19" s="129">
        <f t="shared" si="1"/>
        <v>1</v>
      </c>
      <c r="R19" s="132">
        <f t="shared" si="2"/>
        <v>4</v>
      </c>
      <c r="S19" s="125"/>
    </row>
    <row r="20" spans="1:19" ht="131" customHeight="1" thickBot="1">
      <c r="A20" s="565"/>
      <c r="B20" s="562"/>
      <c r="C20" s="607"/>
      <c r="D20" s="571"/>
      <c r="E20" s="274" t="s">
        <v>237</v>
      </c>
      <c r="F20" s="279" t="s">
        <v>397</v>
      </c>
      <c r="G20" s="279" t="s">
        <v>361</v>
      </c>
      <c r="H20" s="129">
        <v>4</v>
      </c>
      <c r="I20" s="129">
        <v>2</v>
      </c>
      <c r="J20" s="171">
        <f t="shared" si="0"/>
        <v>8</v>
      </c>
      <c r="K20" s="184"/>
      <c r="L20" s="131" t="s">
        <v>236</v>
      </c>
      <c r="M20" s="131" t="s">
        <v>525</v>
      </c>
      <c r="N20" s="149" t="s">
        <v>1192</v>
      </c>
      <c r="O20" s="129">
        <v>2</v>
      </c>
      <c r="P20" s="129">
        <f t="shared" si="3"/>
        <v>4</v>
      </c>
      <c r="Q20" s="129">
        <f t="shared" si="1"/>
        <v>1</v>
      </c>
      <c r="R20" s="132">
        <f t="shared" si="2"/>
        <v>4</v>
      </c>
      <c r="S20" s="125"/>
    </row>
    <row r="21" spans="1:19" ht="44" thickBot="1">
      <c r="A21" s="565"/>
      <c r="B21" s="562"/>
      <c r="C21" s="607"/>
      <c r="D21" s="571"/>
      <c r="E21" s="274" t="s">
        <v>563</v>
      </c>
      <c r="F21" s="279" t="s">
        <v>370</v>
      </c>
      <c r="G21" s="279" t="s">
        <v>800</v>
      </c>
      <c r="H21" s="129">
        <v>5</v>
      </c>
      <c r="I21" s="129">
        <v>2</v>
      </c>
      <c r="J21" s="171">
        <f t="shared" si="0"/>
        <v>10</v>
      </c>
      <c r="K21" s="184"/>
      <c r="L21" s="131" t="s">
        <v>580</v>
      </c>
      <c r="M21" s="131" t="s">
        <v>525</v>
      </c>
      <c r="N21" s="149" t="s">
        <v>1192</v>
      </c>
      <c r="O21" s="129">
        <v>2</v>
      </c>
      <c r="P21" s="129">
        <f t="shared" si="3"/>
        <v>5</v>
      </c>
      <c r="Q21" s="129">
        <f t="shared" si="1"/>
        <v>1</v>
      </c>
      <c r="R21" s="132">
        <f t="shared" si="2"/>
        <v>5</v>
      </c>
      <c r="S21" s="125"/>
    </row>
    <row r="22" spans="1:19" ht="131" customHeight="1" thickBot="1">
      <c r="A22" s="565"/>
      <c r="B22" s="562"/>
      <c r="C22" s="607"/>
      <c r="D22" s="571"/>
      <c r="E22" s="274" t="s">
        <v>700</v>
      </c>
      <c r="F22" s="173" t="s">
        <v>396</v>
      </c>
      <c r="G22" s="173" t="s">
        <v>800</v>
      </c>
      <c r="H22" s="129">
        <v>5</v>
      </c>
      <c r="I22" s="129">
        <v>2</v>
      </c>
      <c r="J22" s="171">
        <f t="shared" si="0"/>
        <v>10</v>
      </c>
      <c r="K22" s="184"/>
      <c r="L22" s="142" t="s">
        <v>695</v>
      </c>
      <c r="M22" s="131" t="s">
        <v>525</v>
      </c>
      <c r="N22" s="149" t="s">
        <v>923</v>
      </c>
      <c r="O22" s="129">
        <v>2</v>
      </c>
      <c r="P22" s="129">
        <f t="shared" si="3"/>
        <v>5</v>
      </c>
      <c r="Q22" s="129">
        <f t="shared" si="1"/>
        <v>1</v>
      </c>
      <c r="R22" s="132">
        <f t="shared" si="2"/>
        <v>5</v>
      </c>
      <c r="S22" s="125"/>
    </row>
    <row r="23" spans="1:19" ht="58.5" thickBot="1">
      <c r="A23" s="565"/>
      <c r="B23" s="562"/>
      <c r="C23" s="607"/>
      <c r="D23" s="571"/>
      <c r="E23" s="274" t="s">
        <v>701</v>
      </c>
      <c r="F23" s="173" t="s">
        <v>702</v>
      </c>
      <c r="G23" s="173" t="s">
        <v>800</v>
      </c>
      <c r="H23" s="129">
        <v>4</v>
      </c>
      <c r="I23" s="129">
        <v>3</v>
      </c>
      <c r="J23" s="171">
        <f t="shared" si="0"/>
        <v>12</v>
      </c>
      <c r="K23" s="184"/>
      <c r="L23" s="142" t="s">
        <v>703</v>
      </c>
      <c r="M23" s="131" t="s">
        <v>525</v>
      </c>
      <c r="N23" s="149" t="s">
        <v>1192</v>
      </c>
      <c r="O23" s="129">
        <v>2</v>
      </c>
      <c r="P23" s="129">
        <f t="shared" si="3"/>
        <v>4</v>
      </c>
      <c r="Q23" s="129">
        <f t="shared" si="1"/>
        <v>1.5</v>
      </c>
      <c r="R23" s="132">
        <f t="shared" si="2"/>
        <v>6</v>
      </c>
      <c r="S23" s="125"/>
    </row>
    <row r="24" spans="1:19" ht="131" customHeight="1" thickBot="1">
      <c r="A24" s="565"/>
      <c r="B24" s="562"/>
      <c r="C24" s="607"/>
      <c r="D24" s="571"/>
      <c r="E24" s="274" t="s">
        <v>795</v>
      </c>
      <c r="F24" s="173" t="s">
        <v>811</v>
      </c>
      <c r="G24" s="173" t="s">
        <v>806</v>
      </c>
      <c r="H24" s="129">
        <v>4</v>
      </c>
      <c r="I24" s="129">
        <v>2</v>
      </c>
      <c r="J24" s="171">
        <f t="shared" si="0"/>
        <v>8</v>
      </c>
      <c r="K24" s="184"/>
      <c r="L24" s="142" t="s">
        <v>704</v>
      </c>
      <c r="M24" s="131" t="s">
        <v>525</v>
      </c>
      <c r="N24" s="149" t="s">
        <v>1192</v>
      </c>
      <c r="O24" s="129">
        <v>2</v>
      </c>
      <c r="P24" s="129">
        <f t="shared" si="3"/>
        <v>4</v>
      </c>
      <c r="Q24" s="129">
        <f t="shared" si="1"/>
        <v>1</v>
      </c>
      <c r="R24" s="132">
        <f t="shared" si="2"/>
        <v>4</v>
      </c>
      <c r="S24" s="125"/>
    </row>
    <row r="25" spans="1:19" ht="44" thickBot="1">
      <c r="A25" s="565"/>
      <c r="B25" s="562"/>
      <c r="C25" s="607"/>
      <c r="D25" s="571"/>
      <c r="E25" s="274" t="s">
        <v>564</v>
      </c>
      <c r="F25" s="279" t="s">
        <v>370</v>
      </c>
      <c r="G25" s="279" t="s">
        <v>800</v>
      </c>
      <c r="H25" s="129">
        <v>5</v>
      </c>
      <c r="I25" s="129">
        <v>2</v>
      </c>
      <c r="J25" s="171">
        <f t="shared" si="0"/>
        <v>10</v>
      </c>
      <c r="K25" s="184"/>
      <c r="L25" s="131" t="s">
        <v>565</v>
      </c>
      <c r="M25" s="131" t="s">
        <v>525</v>
      </c>
      <c r="N25" s="149" t="s">
        <v>1192</v>
      </c>
      <c r="O25" s="129">
        <v>2</v>
      </c>
      <c r="P25" s="129">
        <f t="shared" si="3"/>
        <v>5</v>
      </c>
      <c r="Q25" s="129">
        <f t="shared" si="1"/>
        <v>1</v>
      </c>
      <c r="R25" s="132">
        <f t="shared" si="2"/>
        <v>5</v>
      </c>
      <c r="S25" s="125"/>
    </row>
    <row r="26" spans="1:19" ht="46.25" customHeight="1" thickBot="1">
      <c r="A26" s="565"/>
      <c r="B26" s="562"/>
      <c r="C26" s="607"/>
      <c r="D26" s="571"/>
      <c r="E26" s="274" t="s">
        <v>566</v>
      </c>
      <c r="F26" s="279" t="s">
        <v>370</v>
      </c>
      <c r="G26" s="279" t="s">
        <v>800</v>
      </c>
      <c r="H26" s="129">
        <v>5</v>
      </c>
      <c r="I26" s="129">
        <v>2</v>
      </c>
      <c r="J26" s="171">
        <f t="shared" si="0"/>
        <v>10</v>
      </c>
      <c r="K26" s="184"/>
      <c r="L26" s="131" t="s">
        <v>567</v>
      </c>
      <c r="M26" s="131" t="s">
        <v>525</v>
      </c>
      <c r="N26" s="149" t="s">
        <v>1192</v>
      </c>
      <c r="O26" s="129">
        <v>2</v>
      </c>
      <c r="P26" s="129">
        <f t="shared" si="3"/>
        <v>5</v>
      </c>
      <c r="Q26" s="129">
        <f t="shared" si="1"/>
        <v>1</v>
      </c>
      <c r="R26" s="132">
        <f t="shared" si="2"/>
        <v>5</v>
      </c>
      <c r="S26" s="125"/>
    </row>
    <row r="27" spans="1:19" ht="44" thickBot="1">
      <c r="A27" s="566"/>
      <c r="B27" s="563"/>
      <c r="C27" s="608"/>
      <c r="D27" s="571"/>
      <c r="E27" s="278" t="s">
        <v>790</v>
      </c>
      <c r="F27" s="436" t="s">
        <v>399</v>
      </c>
      <c r="G27" s="279" t="s">
        <v>806</v>
      </c>
      <c r="H27" s="129">
        <v>4</v>
      </c>
      <c r="I27" s="129">
        <v>2</v>
      </c>
      <c r="J27" s="171">
        <f t="shared" si="0"/>
        <v>8</v>
      </c>
      <c r="K27" s="189"/>
      <c r="L27" s="131" t="s">
        <v>238</v>
      </c>
      <c r="M27" s="131" t="s">
        <v>525</v>
      </c>
      <c r="N27" s="149" t="s">
        <v>1201</v>
      </c>
      <c r="O27" s="129">
        <v>2</v>
      </c>
      <c r="P27" s="129">
        <f t="shared" si="3"/>
        <v>4</v>
      </c>
      <c r="Q27" s="129">
        <f t="shared" si="1"/>
        <v>1</v>
      </c>
      <c r="R27" s="132">
        <f t="shared" si="2"/>
        <v>4</v>
      </c>
      <c r="S27" s="125"/>
    </row>
    <row r="28" spans="1:19" s="140" customFormat="1" ht="52.5" customHeight="1" thickBot="1">
      <c r="A28" s="352"/>
      <c r="B28" s="356"/>
      <c r="C28" s="437"/>
      <c r="D28" s="666" t="s">
        <v>221</v>
      </c>
      <c r="E28" s="438" t="s">
        <v>222</v>
      </c>
      <c r="F28" s="186" t="s">
        <v>389</v>
      </c>
      <c r="G28" s="186" t="s">
        <v>801</v>
      </c>
      <c r="H28" s="187">
        <v>4</v>
      </c>
      <c r="I28" s="187">
        <v>2</v>
      </c>
      <c r="J28" s="188">
        <f t="shared" si="0"/>
        <v>8</v>
      </c>
      <c r="K28" s="189"/>
      <c r="L28" s="196" t="s">
        <v>571</v>
      </c>
      <c r="M28" s="196" t="s">
        <v>525</v>
      </c>
      <c r="N28" s="149" t="s">
        <v>1202</v>
      </c>
      <c r="O28" s="129">
        <v>2</v>
      </c>
      <c r="P28" s="129">
        <f t="shared" si="3"/>
        <v>4</v>
      </c>
      <c r="Q28" s="129">
        <f t="shared" si="1"/>
        <v>1</v>
      </c>
      <c r="R28" s="171">
        <f t="shared" si="2"/>
        <v>4</v>
      </c>
      <c r="S28" s="139"/>
    </row>
    <row r="29" spans="1:19" s="447" customFormat="1" ht="52.5" customHeight="1" thickBot="1">
      <c r="A29" s="284"/>
      <c r="B29" s="286"/>
      <c r="C29" s="439"/>
      <c r="D29" s="666"/>
      <c r="E29" s="440" t="s">
        <v>1203</v>
      </c>
      <c r="F29" s="441"/>
      <c r="G29" s="441"/>
      <c r="H29" s="442">
        <v>3</v>
      </c>
      <c r="I29" s="442">
        <v>2</v>
      </c>
      <c r="J29" s="442">
        <f t="shared" si="0"/>
        <v>6</v>
      </c>
      <c r="K29" s="443"/>
      <c r="L29" s="444" t="s">
        <v>1204</v>
      </c>
      <c r="M29" s="444"/>
      <c r="N29" s="445"/>
      <c r="O29" s="129">
        <v>2</v>
      </c>
      <c r="P29" s="446">
        <f t="shared" si="3"/>
        <v>3</v>
      </c>
      <c r="Q29" s="129">
        <f t="shared" si="1"/>
        <v>1</v>
      </c>
      <c r="R29" s="171">
        <f t="shared" si="2"/>
        <v>3</v>
      </c>
      <c r="S29" s="386"/>
    </row>
    <row r="30" spans="1:19" ht="81" customHeight="1" thickBot="1">
      <c r="A30" s="284"/>
      <c r="B30" s="286"/>
      <c r="C30" s="439"/>
      <c r="D30" s="666"/>
      <c r="E30" s="278" t="s">
        <v>1205</v>
      </c>
      <c r="F30" s="280" t="s">
        <v>397</v>
      </c>
      <c r="G30" s="280" t="s">
        <v>361</v>
      </c>
      <c r="H30" s="129">
        <v>4</v>
      </c>
      <c r="I30" s="129">
        <v>2</v>
      </c>
      <c r="J30" s="171">
        <f t="shared" ref="J30" si="4">H30*I30</f>
        <v>8</v>
      </c>
      <c r="K30" s="184"/>
      <c r="L30" s="131" t="s">
        <v>1206</v>
      </c>
      <c r="M30" s="131" t="s">
        <v>525</v>
      </c>
      <c r="N30" s="149" t="s">
        <v>923</v>
      </c>
      <c r="O30" s="129">
        <v>2</v>
      </c>
      <c r="P30" s="129">
        <f t="shared" ref="P30" si="5">H30</f>
        <v>4</v>
      </c>
      <c r="Q30" s="129">
        <f t="shared" ref="Q30" si="6">I30/O30</f>
        <v>1</v>
      </c>
      <c r="R30" s="132">
        <f t="shared" ref="R30" si="7">P30*Q30</f>
        <v>4</v>
      </c>
      <c r="S30" s="125"/>
    </row>
    <row r="31" spans="1:19" s="140" customFormat="1" ht="29.5" thickBot="1">
      <c r="A31" s="285"/>
      <c r="B31" s="357"/>
      <c r="C31" s="448"/>
      <c r="D31" s="666"/>
      <c r="E31" s="438" t="s">
        <v>473</v>
      </c>
      <c r="F31" s="193" t="s">
        <v>355</v>
      </c>
      <c r="G31" s="193" t="s">
        <v>801</v>
      </c>
      <c r="H31" s="194">
        <v>4</v>
      </c>
      <c r="I31" s="194">
        <v>2</v>
      </c>
      <c r="J31" s="195">
        <f t="shared" si="0"/>
        <v>8</v>
      </c>
      <c r="K31" s="266"/>
      <c r="L31" s="265" t="s">
        <v>583</v>
      </c>
      <c r="M31" s="265" t="s">
        <v>525</v>
      </c>
      <c r="N31" s="149" t="s">
        <v>347</v>
      </c>
      <c r="O31" s="129">
        <v>2</v>
      </c>
      <c r="P31" s="129">
        <f t="shared" si="3"/>
        <v>4</v>
      </c>
      <c r="Q31" s="129">
        <f t="shared" si="1"/>
        <v>1</v>
      </c>
      <c r="R31" s="171">
        <f t="shared" si="2"/>
        <v>4</v>
      </c>
      <c r="S31" s="139"/>
    </row>
    <row r="32" spans="1:19" ht="16" thickBot="1">
      <c r="A32" s="293" t="s">
        <v>416</v>
      </c>
      <c r="B32" s="293"/>
      <c r="C32" s="449"/>
      <c r="D32" s="450"/>
      <c r="E32" s="667" t="s">
        <v>243</v>
      </c>
      <c r="F32" s="596"/>
      <c r="G32" s="317"/>
      <c r="H32" s="190">
        <f>+ROUND(IFERROR(AVERAGE(H5:H27),0),0)</f>
        <v>4</v>
      </c>
      <c r="I32" s="190">
        <f>+ROUND(IFERROR(AVERAGE(I5:I27),0),0)</f>
        <v>2</v>
      </c>
      <c r="J32" s="298">
        <f>H32*I32</f>
        <v>8</v>
      </c>
      <c r="K32" s="451"/>
      <c r="L32" s="597" t="s">
        <v>244</v>
      </c>
      <c r="M32" s="597"/>
      <c r="N32" s="598"/>
      <c r="O32" s="190">
        <f>+ROUND(IFERROR(AVERAGE(O5:O27),0),0)</f>
        <v>2</v>
      </c>
      <c r="P32" s="190">
        <f>+ROUND(IFERROR(AVERAGE(P5:P27),0),0)</f>
        <v>4</v>
      </c>
      <c r="Q32" s="190">
        <f>+ROUND(IFERROR(AVERAGE(Q5:Q27),0),0)</f>
        <v>1</v>
      </c>
      <c r="R32" s="300">
        <f>+ROUND(IFERROR(AVERAGE(R5:R27),0),0)</f>
        <v>5</v>
      </c>
      <c r="S32" s="125"/>
    </row>
    <row r="33" spans="4:11" thickBot="1">
      <c r="D33" s="134"/>
      <c r="K33" s="182"/>
    </row>
    <row r="35" spans="4:11" thickBot="1">
      <c r="F35" s="137" t="s">
        <v>800</v>
      </c>
      <c r="G35" s="137">
        <f>COUNTIF(G5:G32,F35)</f>
        <v>11</v>
      </c>
    </row>
    <row r="36" spans="4:11" thickBot="1">
      <c r="F36" s="137" t="s">
        <v>361</v>
      </c>
      <c r="G36" s="137">
        <f>COUNTIF(G5:G32,F36)</f>
        <v>10</v>
      </c>
    </row>
    <row r="37" spans="4:11" thickBot="1">
      <c r="F37" s="137" t="s">
        <v>806</v>
      </c>
      <c r="G37" s="137">
        <f>COUNTIF(G5:G32,F37)</f>
        <v>3</v>
      </c>
    </row>
    <row r="38" spans="4:11" thickBot="1">
      <c r="F38" s="137" t="s">
        <v>801</v>
      </c>
      <c r="G38" s="137">
        <f>COUNTIF(G5:G32,F38)</f>
        <v>2</v>
      </c>
    </row>
    <row r="39" spans="4:11" thickBot="1">
      <c r="F39" s="137" t="s">
        <v>780</v>
      </c>
      <c r="G39" s="137">
        <f>COUNTIF(G5:G32,F39)</f>
        <v>0</v>
      </c>
    </row>
    <row r="40" spans="4:11" thickBot="1">
      <c r="F40" s="137" t="s">
        <v>802</v>
      </c>
      <c r="G40" s="137">
        <f>COUNTIF(G5:G32,F40)</f>
        <v>0</v>
      </c>
    </row>
    <row r="41" spans="4:11" thickBot="1">
      <c r="F41" s="137" t="s">
        <v>808</v>
      </c>
      <c r="G41" s="137">
        <f>COUNTIF(G5:G32,F41)</f>
        <v>0</v>
      </c>
    </row>
    <row r="42" spans="4:11" ht="14.5"/>
  </sheetData>
  <mergeCells count="23">
    <mergeCell ref="L32:N32"/>
    <mergeCell ref="A5:A27"/>
    <mergeCell ref="B5:B27"/>
    <mergeCell ref="C5:C27"/>
    <mergeCell ref="D5:D27"/>
    <mergeCell ref="D28:D31"/>
    <mergeCell ref="E32:F32"/>
    <mergeCell ref="R2:R3"/>
    <mergeCell ref="A1:R1"/>
    <mergeCell ref="A2:A4"/>
    <mergeCell ref="B2:B4"/>
    <mergeCell ref="C2:C4"/>
    <mergeCell ref="D2:D4"/>
    <mergeCell ref="E2:E4"/>
    <mergeCell ref="F2:F4"/>
    <mergeCell ref="G2:G4"/>
    <mergeCell ref="H2:H3"/>
    <mergeCell ref="I2:I3"/>
    <mergeCell ref="J2:J3"/>
    <mergeCell ref="K2:K4"/>
    <mergeCell ref="L2:O3"/>
    <mergeCell ref="P2:P3"/>
    <mergeCell ref="Q2:Q3"/>
  </mergeCells>
  <conditionalFormatting sqref="J28:J29 J31 R31 R28:R29">
    <cfRule type="colorScale" priority="2">
      <colorScale>
        <cfvo type="num" val="1"/>
        <cfvo type="num" val="8"/>
        <cfvo type="num" val="22"/>
        <color rgb="FF00B050"/>
        <color rgb="FFFFFF00"/>
        <color rgb="FFC00000"/>
      </colorScale>
    </cfRule>
    <cfRule type="colorScale" priority="3">
      <colorScale>
        <cfvo type="num" val="1"/>
        <cfvo type="num" val="8"/>
        <cfvo type="num" val="22"/>
        <color rgb="FF00B050"/>
        <color rgb="FFFFFF00"/>
        <color rgb="FFC00000"/>
      </colorScale>
    </cfRule>
  </conditionalFormatting>
  <conditionalFormatting sqref="R30 J30">
    <cfRule type="colorScale" priority="1">
      <colorScale>
        <cfvo type="num" val="1"/>
        <cfvo type="num" val="8"/>
        <cfvo type="num" val="22"/>
        <color rgb="FF00B050"/>
        <color rgb="FFFFFF00"/>
        <color rgb="FFC00000"/>
      </colorScale>
    </cfRule>
  </conditionalFormatting>
  <conditionalFormatting sqref="R32 J32 J5:J27 R5:R27">
    <cfRule type="colorScale" priority="4">
      <colorScale>
        <cfvo type="num" val="1"/>
        <cfvo type="num" val="8"/>
        <cfvo type="num" val="22"/>
        <color rgb="FF00B050"/>
        <color rgb="FFFFFF00"/>
        <color rgb="FFC00000"/>
      </colorScale>
    </cfRule>
  </conditionalFormatting>
  <pageMargins left="0.7" right="0.7" top="0.75" bottom="0.75" header="0.3" footer="0.3"/>
  <drawing r:id="rId1"/>
  <legacyDrawing r:id="rId2"/>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BA3E9D-BC89-494B-9A08-03C70B4C3464}">
  <dimension ref="A1:N17"/>
  <sheetViews>
    <sheetView workbookViewId="0">
      <selection activeCell="P5" sqref="P5"/>
    </sheetView>
  </sheetViews>
  <sheetFormatPr baseColWidth="10" defaultRowHeight="14.5"/>
  <cols>
    <col min="2" max="2" width="26.26953125" customWidth="1"/>
    <col min="3" max="3" width="14.08984375" customWidth="1"/>
    <col min="4" max="4" width="22" customWidth="1"/>
    <col min="5" max="5" width="17.90625" customWidth="1"/>
    <col min="6" max="6" width="14.08984375" customWidth="1"/>
    <col min="7" max="7" width="23.26953125" customWidth="1"/>
    <col min="8" max="14" width="14.08984375" customWidth="1"/>
  </cols>
  <sheetData>
    <row r="1" spans="1:14" ht="63">
      <c r="A1" s="672" t="s">
        <v>1333</v>
      </c>
      <c r="B1" s="672"/>
      <c r="C1" s="325" t="s">
        <v>823</v>
      </c>
      <c r="D1" s="325" t="s">
        <v>824</v>
      </c>
      <c r="E1" s="325" t="s">
        <v>825</v>
      </c>
      <c r="F1" s="325" t="s">
        <v>826</v>
      </c>
      <c r="G1" s="325" t="s">
        <v>827</v>
      </c>
      <c r="H1" s="325" t="s">
        <v>828</v>
      </c>
      <c r="I1" s="325" t="s">
        <v>829</v>
      </c>
      <c r="J1" s="325" t="s">
        <v>818</v>
      </c>
      <c r="K1" s="325" t="s">
        <v>1334</v>
      </c>
      <c r="L1" s="325" t="s">
        <v>1335</v>
      </c>
      <c r="M1" s="325" t="s">
        <v>1286</v>
      </c>
      <c r="N1" s="330" t="s">
        <v>830</v>
      </c>
    </row>
    <row r="2" spans="1:14" ht="18.5">
      <c r="A2" s="673" t="s">
        <v>820</v>
      </c>
      <c r="B2" s="673"/>
      <c r="C2" s="331">
        <f>DMCC!G25</f>
        <v>0</v>
      </c>
      <c r="D2" s="331">
        <f>DMCC!G26</f>
        <v>5</v>
      </c>
      <c r="E2" s="331">
        <f>DMCC!G27</f>
        <v>12</v>
      </c>
      <c r="F2" s="331">
        <f>AGENCES!G46</f>
        <v>0</v>
      </c>
      <c r="G2" s="331">
        <f>DMCC!G29</f>
        <v>1</v>
      </c>
      <c r="H2" s="331">
        <f>DMCC!G30</f>
        <v>0</v>
      </c>
      <c r="I2" s="331">
        <f>DMCC!G31</f>
        <v>0</v>
      </c>
      <c r="J2" s="331">
        <f>DMCC!H31</f>
        <v>0</v>
      </c>
      <c r="K2" s="331">
        <f>DMCC!I31</f>
        <v>0</v>
      </c>
      <c r="L2" s="331">
        <f>DMCC!J31</f>
        <v>0</v>
      </c>
      <c r="M2" s="331">
        <f>DMCC!K31</f>
        <v>0</v>
      </c>
      <c r="N2" s="331">
        <f t="shared" ref="N2:N16" si="0">SUM(C2:M2)</f>
        <v>18</v>
      </c>
    </row>
    <row r="3" spans="1:14" ht="18.5">
      <c r="A3" s="668" t="s">
        <v>416</v>
      </c>
      <c r="B3" s="668"/>
      <c r="C3" s="331">
        <f>AGENCES!G43</f>
        <v>17</v>
      </c>
      <c r="D3" s="331">
        <f>AGENCES!G44</f>
        <v>15</v>
      </c>
      <c r="E3" s="331">
        <f>AGENCES!G45</f>
        <v>3</v>
      </c>
      <c r="F3" s="331">
        <f>AGENCES!G46</f>
        <v>0</v>
      </c>
      <c r="G3" s="331">
        <f>AGENCES!G47</f>
        <v>0</v>
      </c>
      <c r="H3" s="331">
        <f>AGENCES!G48</f>
        <v>0</v>
      </c>
      <c r="I3" s="331">
        <f>AGENCES!G49</f>
        <v>0</v>
      </c>
      <c r="J3" s="331">
        <f>DMCC!H32</f>
        <v>0</v>
      </c>
      <c r="K3" s="331">
        <f>DMCC!I32</f>
        <v>0</v>
      </c>
      <c r="L3" s="331">
        <f>DMCC!J32</f>
        <v>0</v>
      </c>
      <c r="M3" s="331">
        <f>DMCC!K32</f>
        <v>0</v>
      </c>
      <c r="N3" s="331">
        <f t="shared" si="0"/>
        <v>35</v>
      </c>
    </row>
    <row r="4" spans="1:14" ht="21">
      <c r="A4" s="674" t="s">
        <v>493</v>
      </c>
      <c r="B4" s="674"/>
      <c r="C4" s="331">
        <f>'RESSOURCES HUMAINES'!G40</f>
        <v>4</v>
      </c>
      <c r="D4" s="331">
        <v>0</v>
      </c>
      <c r="E4" s="331">
        <f>'RESSOURCES HUMAINES'!G41</f>
        <v>9</v>
      </c>
      <c r="F4" s="331">
        <f>'RESSOURCES HUMAINES'!G42</f>
        <v>0</v>
      </c>
      <c r="G4" s="331">
        <f>'RESSOURCES HUMAINES'!G43</f>
        <v>3</v>
      </c>
      <c r="H4" s="331">
        <f>'RESSOURCES HUMAINES'!G44</f>
        <v>0</v>
      </c>
      <c r="I4" s="331">
        <f>'RESSOURCES HUMAINES'!G45</f>
        <v>0</v>
      </c>
      <c r="J4" s="331">
        <f>DMCC!H33</f>
        <v>0</v>
      </c>
      <c r="K4" s="331">
        <f>DMCC!I33</f>
        <v>0</v>
      </c>
      <c r="L4" s="331">
        <f>DMCC!J33</f>
        <v>0</v>
      </c>
      <c r="M4" s="331">
        <f>DMCC!K33</f>
        <v>0</v>
      </c>
      <c r="N4" s="331">
        <f t="shared" si="0"/>
        <v>16</v>
      </c>
    </row>
    <row r="5" spans="1:14" ht="18.5">
      <c r="A5" s="668" t="s">
        <v>490</v>
      </c>
      <c r="B5" s="668"/>
      <c r="C5" s="331">
        <f>OPERATIONS!G35</f>
        <v>19</v>
      </c>
      <c r="D5" s="331">
        <f>OPERATIONS!G36</f>
        <v>6</v>
      </c>
      <c r="E5" s="331">
        <f>OPERATIONS!G37</f>
        <v>0</v>
      </c>
      <c r="F5" s="331">
        <f>OPERATIONS!G37</f>
        <v>0</v>
      </c>
      <c r="G5" s="331">
        <f>OPERATIONS!G39</f>
        <v>0</v>
      </c>
      <c r="H5" s="331">
        <f>OPERATIONS!G40</f>
        <v>0</v>
      </c>
      <c r="I5" s="331">
        <f>OPERATIONS!G41</f>
        <v>0</v>
      </c>
      <c r="J5" s="331">
        <f>DMCC!H34</f>
        <v>0</v>
      </c>
      <c r="K5" s="331">
        <f>DMCC!I34</f>
        <v>0</v>
      </c>
      <c r="L5" s="331">
        <f>DMCC!J34</f>
        <v>0</v>
      </c>
      <c r="M5" s="331">
        <f>DMCC!K34</f>
        <v>0</v>
      </c>
      <c r="N5" s="331">
        <f t="shared" si="0"/>
        <v>25</v>
      </c>
    </row>
    <row r="6" spans="1:14" ht="18.5">
      <c r="A6" s="668" t="s">
        <v>821</v>
      </c>
      <c r="B6" s="668"/>
      <c r="C6" s="331">
        <f>CREDIT!G41</f>
        <v>7</v>
      </c>
      <c r="D6" s="331">
        <f>CREDIT!G42</f>
        <v>6</v>
      </c>
      <c r="E6" s="331">
        <f>CREDIT!G43</f>
        <v>0</v>
      </c>
      <c r="F6" s="331">
        <f>CREDIT!G44</f>
        <v>16</v>
      </c>
      <c r="G6" s="331">
        <f>CREDIT!G45</f>
        <v>1</v>
      </c>
      <c r="H6" s="331">
        <f>CREDIT!G46</f>
        <v>0</v>
      </c>
      <c r="I6" s="331">
        <f>CREDIT!G47</f>
        <v>0</v>
      </c>
      <c r="J6" s="331">
        <f>DMCC!H35</f>
        <v>0</v>
      </c>
      <c r="K6" s="331">
        <f>DMCC!I35</f>
        <v>0</v>
      </c>
      <c r="L6" s="331">
        <f>DMCC!J35</f>
        <v>0</v>
      </c>
      <c r="M6" s="331">
        <f>DMCC!K35</f>
        <v>0</v>
      </c>
      <c r="N6" s="331">
        <f t="shared" si="0"/>
        <v>30</v>
      </c>
    </row>
    <row r="7" spans="1:14" ht="18.5">
      <c r="A7" s="668" t="s">
        <v>491</v>
      </c>
      <c r="B7" s="668"/>
      <c r="C7" s="331">
        <f>'FINANCES &amp; REPORTING'!G34</f>
        <v>10</v>
      </c>
      <c r="D7" s="331">
        <f>'FINANCES &amp; REPORTING'!G35</f>
        <v>1</v>
      </c>
      <c r="E7" s="331">
        <f>'FINANCES &amp; REPORTING'!G36</f>
        <v>0</v>
      </c>
      <c r="F7" s="331">
        <f>'FINANCES &amp; REPORTING'!G36</f>
        <v>0</v>
      </c>
      <c r="G7" s="331">
        <f>'FINANCES &amp; REPORTING'!G38</f>
        <v>8</v>
      </c>
      <c r="H7" s="331">
        <f>'FINANCES &amp; REPORTING'!G39</f>
        <v>2</v>
      </c>
      <c r="I7" s="331">
        <f>'FINANCES &amp; REPORTING'!G40</f>
        <v>0</v>
      </c>
      <c r="J7" s="331">
        <f>DMCC!H36</f>
        <v>0</v>
      </c>
      <c r="K7" s="331">
        <f>DMCC!I36</f>
        <v>0</v>
      </c>
      <c r="L7" s="331">
        <f>DMCC!J36</f>
        <v>0</v>
      </c>
      <c r="M7" s="331">
        <f>DMCC!K36</f>
        <v>0</v>
      </c>
      <c r="N7" s="331">
        <f t="shared" si="0"/>
        <v>21</v>
      </c>
    </row>
    <row r="8" spans="1:14" ht="18.5">
      <c r="A8" s="669" t="s">
        <v>315</v>
      </c>
      <c r="B8" s="670"/>
      <c r="C8" s="331">
        <f>'IT '!G34</f>
        <v>12</v>
      </c>
      <c r="D8" s="331">
        <f>'IT '!G35</f>
        <v>9</v>
      </c>
      <c r="E8" s="331">
        <f>'IT '!G36</f>
        <v>5</v>
      </c>
      <c r="F8" s="331">
        <f>'IT '!G37</f>
        <v>0</v>
      </c>
      <c r="G8" s="331">
        <f>'IT '!G38</f>
        <v>0</v>
      </c>
      <c r="H8" s="331">
        <f>'IT '!G39</f>
        <v>0</v>
      </c>
      <c r="I8" s="331">
        <f>'IT '!G40</f>
        <v>0</v>
      </c>
      <c r="J8" s="331">
        <f>DMCC!H37</f>
        <v>0</v>
      </c>
      <c r="K8" s="331">
        <f>DMCC!I37</f>
        <v>0</v>
      </c>
      <c r="L8" s="331">
        <f>DMCC!J37</f>
        <v>0</v>
      </c>
      <c r="M8" s="331">
        <f>DMCC!K37</f>
        <v>0</v>
      </c>
      <c r="N8" s="331">
        <f t="shared" si="0"/>
        <v>26</v>
      </c>
    </row>
    <row r="9" spans="1:14" ht="18.5">
      <c r="A9" s="326" t="s">
        <v>457</v>
      </c>
      <c r="B9" s="327"/>
      <c r="C9" s="331"/>
      <c r="D9" s="331"/>
      <c r="E9" s="331"/>
      <c r="F9" s="331"/>
      <c r="G9" s="331"/>
      <c r="H9" s="331"/>
      <c r="I9" s="331"/>
      <c r="J9" s="331">
        <f>DMCC!H38</f>
        <v>0</v>
      </c>
      <c r="K9" s="331">
        <f>DMCC!I38</f>
        <v>0</v>
      </c>
      <c r="L9" s="331">
        <f>DMCC!J38</f>
        <v>0</v>
      </c>
      <c r="M9" s="331">
        <f>DMCC!K38</f>
        <v>0</v>
      </c>
      <c r="N9" s="331">
        <f t="shared" si="0"/>
        <v>0</v>
      </c>
    </row>
    <row r="10" spans="1:14" ht="18.5">
      <c r="A10" s="326" t="s">
        <v>519</v>
      </c>
      <c r="B10" s="327"/>
      <c r="C10" s="331">
        <f>'PRODUITS DIGITAUX'!G29</f>
        <v>14</v>
      </c>
      <c r="D10" s="331">
        <f>'PRODUITS DIGITAUX'!G30</f>
        <v>5</v>
      </c>
      <c r="E10" s="331">
        <f>'PRODUITS DIGITAUX'!G31</f>
        <v>1</v>
      </c>
      <c r="F10" s="331">
        <f>'PRODUITS DIGITAUX'!G32</f>
        <v>0</v>
      </c>
      <c r="G10" s="331">
        <f>'PRODUITS DIGITAUX'!G33</f>
        <v>1</v>
      </c>
      <c r="H10" s="331">
        <f>'PRODUITS DIGITAUX'!G34</f>
        <v>0</v>
      </c>
      <c r="I10" s="331">
        <f>'PRODUITS DIGITAUX'!G35</f>
        <v>0</v>
      </c>
      <c r="J10" s="331">
        <f>DMCC!H39</f>
        <v>0</v>
      </c>
      <c r="K10" s="331">
        <f>DMCC!I39</f>
        <v>0</v>
      </c>
      <c r="L10" s="331">
        <f>DMCC!J39</f>
        <v>0</v>
      </c>
      <c r="M10" s="331">
        <f>DMCC!K39</f>
        <v>0</v>
      </c>
      <c r="N10" s="331">
        <f t="shared" si="0"/>
        <v>21</v>
      </c>
    </row>
    <row r="11" spans="1:14" ht="18.5">
      <c r="A11" s="326" t="s">
        <v>822</v>
      </c>
      <c r="B11" s="327"/>
      <c r="C11" s="331">
        <f>'GOUV &amp; CONTRÔLE INTERNE'!G28</f>
        <v>0</v>
      </c>
      <c r="D11" s="331">
        <f>'GOUV &amp; CONTRÔLE INTERNE'!F27</f>
        <v>0</v>
      </c>
      <c r="E11" s="331">
        <f>'GOUV &amp; CONTRÔLE INTERNE'!G30</f>
        <v>3</v>
      </c>
      <c r="F11" s="331">
        <f>'GOUV &amp; CONTRÔLE INTERNE'!G31</f>
        <v>0</v>
      </c>
      <c r="G11" s="331">
        <f>'GOUV &amp; CONTRÔLE INTERNE'!G32</f>
        <v>11</v>
      </c>
      <c r="H11" s="331">
        <f>'GOUV &amp; CONTRÔLE INTERNE'!G33</f>
        <v>0</v>
      </c>
      <c r="I11" s="331">
        <f>'GOUV &amp; CONTRÔLE INTERNE'!G34</f>
        <v>0</v>
      </c>
      <c r="J11" s="331">
        <f>DMCC!H40</f>
        <v>0</v>
      </c>
      <c r="K11" s="331">
        <f>DMCC!I40</f>
        <v>0</v>
      </c>
      <c r="L11" s="331">
        <f>DMCC!J40</f>
        <v>0</v>
      </c>
      <c r="M11" s="331">
        <f>DMCC!K40</f>
        <v>0</v>
      </c>
      <c r="N11" s="331">
        <f t="shared" si="0"/>
        <v>14</v>
      </c>
    </row>
    <row r="12" spans="1:14" ht="18.5">
      <c r="A12" s="326" t="s">
        <v>492</v>
      </c>
      <c r="B12" s="327"/>
      <c r="C12" s="331">
        <f>'JURIDIQUE &amp; CONTENTIEUX'!G23</f>
        <v>3</v>
      </c>
      <c r="D12" s="331">
        <f>'JURIDIQUE &amp; CONTENTIEUX'!G24</f>
        <v>3</v>
      </c>
      <c r="E12" s="331">
        <f>'JURIDIQUE &amp; CONTENTIEUX'!G25</f>
        <v>0</v>
      </c>
      <c r="F12" s="331">
        <f>'JURIDIQUE &amp; CONTENTIEUX'!G26</f>
        <v>7</v>
      </c>
      <c r="G12" s="331">
        <f>'JURIDIQUE &amp; CONTENTIEUX'!G27</f>
        <v>0</v>
      </c>
      <c r="H12" s="331">
        <f>'JURIDIQUE &amp; CONTENTIEUX'!G28</f>
        <v>0</v>
      </c>
      <c r="I12" s="331">
        <f>'JURIDIQUE &amp; CONTENTIEUX'!G29</f>
        <v>0</v>
      </c>
      <c r="J12" s="331">
        <f>DMCC!H41</f>
        <v>0</v>
      </c>
      <c r="K12" s="331">
        <f>DMCC!I41</f>
        <v>0</v>
      </c>
      <c r="L12" s="331">
        <f>DMCC!J41</f>
        <v>0</v>
      </c>
      <c r="M12" s="331">
        <f>DMCC!K41</f>
        <v>0</v>
      </c>
      <c r="N12" s="331">
        <f t="shared" si="0"/>
        <v>13</v>
      </c>
    </row>
    <row r="13" spans="1:14" ht="18.5">
      <c r="A13" s="326" t="s">
        <v>498</v>
      </c>
      <c r="B13" s="327"/>
      <c r="C13" s="331">
        <f>'ACHATS &amp; LOGISTIQUE'!G25</f>
        <v>10</v>
      </c>
      <c r="D13" s="331">
        <f>'ACHATS &amp; LOGISTIQUE'!G26</f>
        <v>6</v>
      </c>
      <c r="E13" s="331">
        <f>'ACHATS &amp; LOGISTIQUE'!G27</f>
        <v>1</v>
      </c>
      <c r="F13" s="331">
        <f>'ACHATS &amp; LOGISTIQUE'!G28</f>
        <v>0</v>
      </c>
      <c r="G13" s="331">
        <f>'ACHATS &amp; LOGISTIQUE'!G29</f>
        <v>0</v>
      </c>
      <c r="H13" s="331">
        <f>'ACHATS &amp; LOGISTIQUE'!G30</f>
        <v>0</v>
      </c>
      <c r="I13" s="331">
        <f>'ACHATS &amp; LOGISTIQUE'!G31</f>
        <v>0</v>
      </c>
      <c r="J13" s="331">
        <f>DMCC!H42</f>
        <v>0</v>
      </c>
      <c r="K13" s="331">
        <f>DMCC!I42</f>
        <v>0</v>
      </c>
      <c r="L13" s="331">
        <f>DMCC!J42</f>
        <v>0</v>
      </c>
      <c r="M13" s="331">
        <f>DMCC!K42</f>
        <v>0</v>
      </c>
      <c r="N13" s="331">
        <f t="shared" si="0"/>
        <v>17</v>
      </c>
    </row>
    <row r="14" spans="1:14" ht="18.5">
      <c r="A14" s="328" t="s">
        <v>570</v>
      </c>
      <c r="B14" s="329"/>
      <c r="C14" s="332">
        <f>CONFORMITE!G28</f>
        <v>4</v>
      </c>
      <c r="D14" s="332">
        <f>CONFORMITE!G29</f>
        <v>1</v>
      </c>
      <c r="E14" s="332">
        <f>CONFORMITE!G30</f>
        <v>4</v>
      </c>
      <c r="F14" s="332">
        <f>CONFORMITE!G31</f>
        <v>0</v>
      </c>
      <c r="G14" s="332">
        <f>CONFORMITE!G32</f>
        <v>10</v>
      </c>
      <c r="H14" s="332">
        <f>CONFORMITE!G33</f>
        <v>0</v>
      </c>
      <c r="I14" s="332">
        <f>CONFORMITE!G34</f>
        <v>0</v>
      </c>
      <c r="J14" s="331">
        <f>DMCC!H43</f>
        <v>0</v>
      </c>
      <c r="K14" s="331">
        <f>DMCC!I43</f>
        <v>0</v>
      </c>
      <c r="L14" s="331">
        <f>DMCC!J43</f>
        <v>0</v>
      </c>
      <c r="M14" s="331">
        <f>DMCC!K43</f>
        <v>0</v>
      </c>
      <c r="N14" s="331">
        <f t="shared" si="0"/>
        <v>19</v>
      </c>
    </row>
    <row r="15" spans="1:14" ht="18.5">
      <c r="A15" s="328" t="s">
        <v>1097</v>
      </c>
      <c r="B15" s="329"/>
      <c r="C15" s="332">
        <f>'INNOVATION ET PARTENARIAT'!G31</f>
        <v>2</v>
      </c>
      <c r="D15" s="332">
        <f>'INNOVATION ET PARTENARIAT'!G32</f>
        <v>7</v>
      </c>
      <c r="E15" s="332">
        <f>'INNOVATION ET PARTENARIAT'!G33</f>
        <v>5</v>
      </c>
      <c r="F15" s="332">
        <f>'INNOVATION ET PARTENARIAT'!G34</f>
        <v>0</v>
      </c>
      <c r="G15" s="332">
        <f>'INNOVATION ET PARTENARIAT'!G35</f>
        <v>0</v>
      </c>
      <c r="H15" s="332">
        <f>'INNOVATION ET PARTENARIAT'!G36</f>
        <v>0</v>
      </c>
      <c r="I15" s="332">
        <f>'INNOVATION ET PARTENARIAT'!G37</f>
        <v>0</v>
      </c>
      <c r="J15" s="331">
        <f>'INNOVATION ET PARTENARIAT'!G38</f>
        <v>2</v>
      </c>
      <c r="K15" s="331">
        <f>'INNOVATION ET PARTENARIAT'!G40</f>
        <v>2</v>
      </c>
      <c r="L15" s="331">
        <f>'INNOVATION ET PARTENARIAT'!G41</f>
        <v>3</v>
      </c>
      <c r="M15" s="331">
        <f>'INNOVATION ET PARTENARIAT'!G39</f>
        <v>2</v>
      </c>
      <c r="N15" s="331">
        <f t="shared" si="0"/>
        <v>23</v>
      </c>
    </row>
    <row r="16" spans="1:14" ht="18.5">
      <c r="A16" s="328" t="s">
        <v>1336</v>
      </c>
      <c r="B16" s="329"/>
      <c r="C16" s="332">
        <f>'GRAND COMPTE'!G35</f>
        <v>11</v>
      </c>
      <c r="D16" s="332">
        <f>'GRAND COMPTE'!G36</f>
        <v>10</v>
      </c>
      <c r="E16" s="332">
        <f>'GRAND COMPTE'!G37</f>
        <v>3</v>
      </c>
      <c r="F16" s="332">
        <f>'GRAND COMPTE'!G38</f>
        <v>2</v>
      </c>
      <c r="G16" s="332">
        <f>'INNOVATION ET PARTENARIAT'!K32</f>
        <v>0</v>
      </c>
      <c r="H16" s="332">
        <f>'INNOVATION ET PARTENARIAT'!L32</f>
        <v>0</v>
      </c>
      <c r="I16" s="332">
        <f>'INNOVATION ET PARTENARIAT'!M32</f>
        <v>0</v>
      </c>
      <c r="J16" s="332">
        <f>'INNOVATION ET PARTENARIAT'!N32</f>
        <v>0</v>
      </c>
      <c r="K16" s="332">
        <f>'INNOVATION ET PARTENARIAT'!O32</f>
        <v>0</v>
      </c>
      <c r="L16" s="332">
        <f>'INNOVATION ET PARTENARIAT'!P32</f>
        <v>0</v>
      </c>
      <c r="M16" s="332">
        <f>'INNOVATION ET PARTENARIAT'!Q32</f>
        <v>0</v>
      </c>
      <c r="N16" s="331">
        <f t="shared" si="0"/>
        <v>26</v>
      </c>
    </row>
    <row r="17" spans="1:14" ht="26">
      <c r="A17" s="671" t="s">
        <v>830</v>
      </c>
      <c r="B17" s="671"/>
      <c r="C17" s="333">
        <f>SUM(C2:C16)</f>
        <v>113</v>
      </c>
      <c r="D17" s="333">
        <f t="shared" ref="D17:M17" si="1">SUM(D2:D16)</f>
        <v>74</v>
      </c>
      <c r="E17" s="333">
        <f t="shared" si="1"/>
        <v>46</v>
      </c>
      <c r="F17" s="333">
        <f t="shared" si="1"/>
        <v>25</v>
      </c>
      <c r="G17" s="333">
        <f t="shared" si="1"/>
        <v>35</v>
      </c>
      <c r="H17" s="333">
        <f t="shared" si="1"/>
        <v>2</v>
      </c>
      <c r="I17" s="333">
        <f t="shared" si="1"/>
        <v>0</v>
      </c>
      <c r="J17" s="333">
        <f t="shared" si="1"/>
        <v>2</v>
      </c>
      <c r="K17" s="333">
        <f t="shared" si="1"/>
        <v>2</v>
      </c>
      <c r="L17" s="333">
        <f t="shared" si="1"/>
        <v>3</v>
      </c>
      <c r="M17" s="333">
        <f t="shared" si="1"/>
        <v>2</v>
      </c>
      <c r="N17" s="334">
        <f>SUM(C17:M17)</f>
        <v>304</v>
      </c>
    </row>
  </sheetData>
  <mergeCells count="9">
    <mergeCell ref="A7:B7"/>
    <mergeCell ref="A8:B8"/>
    <mergeCell ref="A17:B17"/>
    <mergeCell ref="A1:B1"/>
    <mergeCell ref="A2:B2"/>
    <mergeCell ref="A3:B3"/>
    <mergeCell ref="A4:B4"/>
    <mergeCell ref="A5:B5"/>
    <mergeCell ref="A6:B6"/>
  </mergeCells>
  <conditionalFormatting sqref="C2:N17">
    <cfRule type="colorScale" priority="1">
      <colorScale>
        <cfvo type="num" val="0"/>
        <cfvo type="num" val="10"/>
        <cfvo type="num" val="20"/>
        <color rgb="FF00B050"/>
        <color rgb="FFFFEB84"/>
        <color rgb="FFC00000"/>
      </colorScale>
    </cfRule>
  </conditionalFormatting>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tabColor rgb="FFC00000"/>
  </sheetPr>
  <dimension ref="A1:D39"/>
  <sheetViews>
    <sheetView workbookViewId="0">
      <selection sqref="A1:D1"/>
    </sheetView>
  </sheetViews>
  <sheetFormatPr baseColWidth="10" defaultRowHeight="14.5"/>
  <cols>
    <col min="2" max="2" width="46.36328125" customWidth="1"/>
    <col min="3" max="3" width="32.7265625" customWidth="1"/>
    <col min="4" max="4" width="69" customWidth="1"/>
  </cols>
  <sheetData>
    <row r="1" spans="1:4" ht="31.5" thickBot="1">
      <c r="A1" s="514" t="s">
        <v>849</v>
      </c>
      <c r="B1" s="514"/>
      <c r="C1" s="514"/>
      <c r="D1" s="514"/>
    </row>
    <row r="2" spans="1:4" ht="15" thickBot="1">
      <c r="A2" s="591" t="s">
        <v>71</v>
      </c>
      <c r="B2" s="589" t="s">
        <v>812</v>
      </c>
      <c r="C2" s="591" t="s">
        <v>850</v>
      </c>
      <c r="D2" s="589" t="s">
        <v>851</v>
      </c>
    </row>
    <row r="3" spans="1:4" ht="15" thickBot="1">
      <c r="A3" s="591"/>
      <c r="B3" s="589"/>
      <c r="C3" s="591"/>
      <c r="D3" s="589"/>
    </row>
    <row r="4" spans="1:4">
      <c r="A4" s="573"/>
      <c r="B4" s="576"/>
      <c r="C4" s="573"/>
      <c r="D4" s="576"/>
    </row>
    <row r="5" spans="1:4" ht="29.5" customHeight="1">
      <c r="A5" s="516">
        <v>1</v>
      </c>
      <c r="B5" s="675" t="s">
        <v>863</v>
      </c>
      <c r="C5" s="338" t="s">
        <v>852</v>
      </c>
      <c r="D5" s="335" t="s">
        <v>858</v>
      </c>
    </row>
    <row r="6" spans="1:4" ht="18" customHeight="1">
      <c r="A6" s="516"/>
      <c r="B6" s="675"/>
      <c r="C6" s="338" t="s">
        <v>853</v>
      </c>
      <c r="D6" s="336" t="s">
        <v>859</v>
      </c>
    </row>
    <row r="7" spans="1:4">
      <c r="A7" s="516"/>
      <c r="B7" s="675"/>
      <c r="C7" s="338" t="s">
        <v>854</v>
      </c>
      <c r="D7" s="337" t="s">
        <v>860</v>
      </c>
    </row>
    <row r="8" spans="1:4" ht="29">
      <c r="A8" s="516"/>
      <c r="B8" s="675"/>
      <c r="C8" s="338" t="s">
        <v>855</v>
      </c>
      <c r="D8" s="336" t="s">
        <v>872</v>
      </c>
    </row>
    <row r="9" spans="1:4" ht="23">
      <c r="A9" s="516"/>
      <c r="B9" s="675"/>
      <c r="C9" s="338" t="s">
        <v>856</v>
      </c>
      <c r="D9" s="336" t="s">
        <v>861</v>
      </c>
    </row>
    <row r="10" spans="1:4" ht="19.5" customHeight="1">
      <c r="A10" s="516"/>
      <c r="B10" s="675"/>
      <c r="C10" s="338" t="s">
        <v>857</v>
      </c>
      <c r="D10" s="336" t="s">
        <v>862</v>
      </c>
    </row>
    <row r="11" spans="1:4">
      <c r="A11" s="516">
        <v>2</v>
      </c>
      <c r="B11" s="675" t="s">
        <v>864</v>
      </c>
      <c r="C11" s="338" t="s">
        <v>409</v>
      </c>
      <c r="D11" s="335" t="s">
        <v>865</v>
      </c>
    </row>
    <row r="12" spans="1:4" ht="29">
      <c r="A12" s="516"/>
      <c r="B12" s="675"/>
      <c r="C12" s="338" t="s">
        <v>869</v>
      </c>
      <c r="D12" s="336" t="s">
        <v>866</v>
      </c>
    </row>
    <row r="13" spans="1:4">
      <c r="A13" s="516"/>
      <c r="B13" s="675"/>
      <c r="C13" s="338" t="s">
        <v>870</v>
      </c>
      <c r="D13" s="337" t="s">
        <v>867</v>
      </c>
    </row>
    <row r="14" spans="1:4" ht="29">
      <c r="A14" s="516"/>
      <c r="B14" s="675"/>
      <c r="C14" s="338" t="s">
        <v>386</v>
      </c>
      <c r="D14" s="336" t="s">
        <v>868</v>
      </c>
    </row>
    <row r="15" spans="1:4" ht="23">
      <c r="A15" s="516"/>
      <c r="B15" s="675"/>
      <c r="C15" s="338" t="s">
        <v>871</v>
      </c>
      <c r="D15" s="336"/>
    </row>
    <row r="16" spans="1:4" ht="17" customHeight="1">
      <c r="A16" s="516">
        <v>3</v>
      </c>
      <c r="B16" s="675" t="s">
        <v>873</v>
      </c>
      <c r="C16" s="338" t="s">
        <v>874</v>
      </c>
      <c r="D16" s="335" t="s">
        <v>880</v>
      </c>
    </row>
    <row r="17" spans="1:4" ht="29">
      <c r="A17" s="516"/>
      <c r="B17" s="675"/>
      <c r="C17" s="338" t="s">
        <v>875</v>
      </c>
      <c r="D17" s="336" t="s">
        <v>881</v>
      </c>
    </row>
    <row r="18" spans="1:4" ht="29">
      <c r="A18" s="516"/>
      <c r="B18" s="675"/>
      <c r="C18" s="338" t="s">
        <v>876</v>
      </c>
      <c r="D18" s="337" t="s">
        <v>882</v>
      </c>
    </row>
    <row r="19" spans="1:4" ht="29">
      <c r="A19" s="516"/>
      <c r="B19" s="675"/>
      <c r="C19" s="338" t="s">
        <v>877</v>
      </c>
      <c r="D19" s="336" t="s">
        <v>883</v>
      </c>
    </row>
    <row r="20" spans="1:4" ht="53.5" customHeight="1">
      <c r="A20" s="516"/>
      <c r="B20" s="675"/>
      <c r="C20" s="338" t="s">
        <v>878</v>
      </c>
      <c r="D20" s="336" t="s">
        <v>884</v>
      </c>
    </row>
    <row r="21" spans="1:4" ht="29">
      <c r="A21" s="516"/>
      <c r="B21" s="675"/>
      <c r="C21" s="338" t="s">
        <v>741</v>
      </c>
      <c r="D21" s="336" t="s">
        <v>885</v>
      </c>
    </row>
    <row r="22" spans="1:4">
      <c r="A22" s="516"/>
      <c r="B22" s="675"/>
      <c r="C22" s="338" t="s">
        <v>879</v>
      </c>
      <c r="D22" s="336" t="s">
        <v>886</v>
      </c>
    </row>
    <row r="23" spans="1:4" ht="29">
      <c r="A23" s="516">
        <v>4</v>
      </c>
      <c r="B23" s="675" t="s">
        <v>887</v>
      </c>
      <c r="C23" s="338" t="s">
        <v>888</v>
      </c>
      <c r="D23" s="335" t="s">
        <v>894</v>
      </c>
    </row>
    <row r="24" spans="1:4" ht="29">
      <c r="A24" s="516"/>
      <c r="B24" s="675"/>
      <c r="C24" s="338" t="s">
        <v>889</v>
      </c>
      <c r="D24" s="336" t="s">
        <v>895</v>
      </c>
    </row>
    <row r="25" spans="1:4">
      <c r="A25" s="516"/>
      <c r="B25" s="675"/>
      <c r="C25" s="338" t="s">
        <v>890</v>
      </c>
      <c r="D25" s="337" t="s">
        <v>896</v>
      </c>
    </row>
    <row r="26" spans="1:4">
      <c r="A26" s="516"/>
      <c r="B26" s="675"/>
      <c r="C26" s="338" t="s">
        <v>891</v>
      </c>
      <c r="D26" s="336" t="s">
        <v>897</v>
      </c>
    </row>
    <row r="27" spans="1:4">
      <c r="A27" s="516"/>
      <c r="B27" s="675"/>
      <c r="C27" s="338" t="s">
        <v>892</v>
      </c>
      <c r="D27" s="336" t="s">
        <v>900</v>
      </c>
    </row>
    <row r="28" spans="1:4" ht="58">
      <c r="A28" s="516"/>
      <c r="B28" s="675"/>
      <c r="C28" s="338" t="s">
        <v>893</v>
      </c>
      <c r="D28" s="336" t="s">
        <v>899</v>
      </c>
    </row>
    <row r="29" spans="1:4">
      <c r="A29" s="516"/>
      <c r="B29" s="675"/>
      <c r="C29" s="338" t="s">
        <v>666</v>
      </c>
      <c r="D29" s="336" t="s">
        <v>898</v>
      </c>
    </row>
    <row r="30" spans="1:4">
      <c r="A30" s="516">
        <v>5</v>
      </c>
      <c r="B30" s="675" t="s">
        <v>901</v>
      </c>
      <c r="C30" s="338" t="s">
        <v>902</v>
      </c>
      <c r="D30" s="335" t="s">
        <v>904</v>
      </c>
    </row>
    <row r="31" spans="1:4" ht="29">
      <c r="A31" s="516"/>
      <c r="B31" s="675"/>
      <c r="C31" s="676" t="s">
        <v>903</v>
      </c>
      <c r="D31" s="336" t="s">
        <v>905</v>
      </c>
    </row>
    <row r="32" spans="1:4" ht="43.5">
      <c r="A32" s="516"/>
      <c r="B32" s="675"/>
      <c r="C32" s="677"/>
      <c r="D32" s="337" t="s">
        <v>906</v>
      </c>
    </row>
    <row r="33" spans="1:4" ht="24.5" customHeight="1">
      <c r="A33" s="516">
        <v>6</v>
      </c>
      <c r="B33" s="675" t="s">
        <v>907</v>
      </c>
      <c r="C33" s="338" t="s">
        <v>908</v>
      </c>
      <c r="D33" s="335"/>
    </row>
    <row r="34" spans="1:4" ht="74.5" customHeight="1">
      <c r="A34" s="516"/>
      <c r="B34" s="675"/>
      <c r="C34" s="338" t="s">
        <v>909</v>
      </c>
      <c r="D34" s="336"/>
    </row>
    <row r="35" spans="1:4" ht="22" customHeight="1">
      <c r="A35" s="516">
        <v>7</v>
      </c>
      <c r="B35" s="675" t="s">
        <v>910</v>
      </c>
      <c r="C35" s="338" t="s">
        <v>912</v>
      </c>
      <c r="D35" s="335" t="s">
        <v>911</v>
      </c>
    </row>
    <row r="36" spans="1:4" ht="54" customHeight="1">
      <c r="A36" s="516"/>
      <c r="B36" s="675"/>
      <c r="C36" s="338" t="s">
        <v>913</v>
      </c>
      <c r="D36" s="336" t="s">
        <v>914</v>
      </c>
    </row>
    <row r="37" spans="1:4" ht="23">
      <c r="A37" s="516"/>
      <c r="B37" s="675"/>
      <c r="C37" s="338" t="s">
        <v>915</v>
      </c>
      <c r="D37" s="213" t="s">
        <v>917</v>
      </c>
    </row>
    <row r="38" spans="1:4">
      <c r="A38" s="516"/>
      <c r="B38" s="675"/>
      <c r="C38" s="338" t="s">
        <v>740</v>
      </c>
      <c r="D38" s="213"/>
    </row>
    <row r="39" spans="1:4">
      <c r="A39" s="516"/>
      <c r="B39" s="675"/>
      <c r="C39" s="338" t="s">
        <v>916</v>
      </c>
      <c r="D39" s="213"/>
    </row>
  </sheetData>
  <mergeCells count="20">
    <mergeCell ref="B35:B39"/>
    <mergeCell ref="A35:A39"/>
    <mergeCell ref="A30:A32"/>
    <mergeCell ref="B30:B32"/>
    <mergeCell ref="C31:C32"/>
    <mergeCell ref="A33:A34"/>
    <mergeCell ref="B33:B34"/>
    <mergeCell ref="B16:B22"/>
    <mergeCell ref="A16:A22"/>
    <mergeCell ref="A23:A29"/>
    <mergeCell ref="B23:B29"/>
    <mergeCell ref="B5:B10"/>
    <mergeCell ref="A5:A10"/>
    <mergeCell ref="A11:A15"/>
    <mergeCell ref="B11:B15"/>
    <mergeCell ref="A1:D1"/>
    <mergeCell ref="A2:A4"/>
    <mergeCell ref="B2:B4"/>
    <mergeCell ref="C2:C4"/>
    <mergeCell ref="D2:D4"/>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C2:F14"/>
  <sheetViews>
    <sheetView workbookViewId="0">
      <selection activeCell="H17" sqref="H17"/>
    </sheetView>
  </sheetViews>
  <sheetFormatPr baseColWidth="10" defaultRowHeight="14.5"/>
  <cols>
    <col min="3" max="3" width="32.453125" bestFit="1" customWidth="1"/>
    <col min="5" max="5" width="11.54296875" bestFit="1" customWidth="1"/>
    <col min="6" max="6" width="11.90625" bestFit="1" customWidth="1"/>
  </cols>
  <sheetData>
    <row r="2" spans="3:6">
      <c r="C2" s="215" t="s">
        <v>72</v>
      </c>
      <c r="D2" s="215" t="s">
        <v>78</v>
      </c>
      <c r="E2" s="215" t="s">
        <v>79</v>
      </c>
      <c r="F2" s="215" t="s">
        <v>489</v>
      </c>
    </row>
    <row r="3" spans="3:6">
      <c r="C3" s="213" t="e">
        <f>DMCC!#REF!</f>
        <v>#REF!</v>
      </c>
      <c r="D3" s="214" t="e">
        <f>DMCC!#REF!</f>
        <v>#REF!</v>
      </c>
      <c r="E3" s="214" t="e">
        <f>DMCC!#REF!</f>
        <v>#REF!</v>
      </c>
      <c r="F3" s="213" t="e">
        <f>D3*E3</f>
        <v>#REF!</v>
      </c>
    </row>
    <row r="4" spans="3:6">
      <c r="C4" s="213" t="e">
        <f>AGENCES!#REF!</f>
        <v>#REF!</v>
      </c>
      <c r="D4" s="214" t="e">
        <f>AGENCES!#REF!</f>
        <v>#REF!</v>
      </c>
      <c r="E4" s="214" t="e">
        <f>AGENCES!#REF!</f>
        <v>#REF!</v>
      </c>
      <c r="F4" s="213" t="e">
        <f t="shared" ref="F4:F14" si="0">D4*E4</f>
        <v>#REF!</v>
      </c>
    </row>
    <row r="5" spans="3:6">
      <c r="C5" s="213" t="e">
        <f>CREDIT!#REF!</f>
        <v>#REF!</v>
      </c>
      <c r="D5" s="214" t="e">
        <f>CREDIT!#REF!</f>
        <v>#REF!</v>
      </c>
      <c r="E5" s="214" t="e">
        <f>CREDIT!#REF!</f>
        <v>#REF!</v>
      </c>
      <c r="F5" s="213" t="e">
        <f t="shared" si="0"/>
        <v>#REF!</v>
      </c>
    </row>
    <row r="6" spans="3:6">
      <c r="C6" s="213" t="e">
        <f>RECOUVREMENT!#REF!</f>
        <v>#REF!</v>
      </c>
      <c r="D6" s="214" t="e">
        <f>RECOUVREMENT!#REF!</f>
        <v>#REF!</v>
      </c>
      <c r="E6" s="214" t="e">
        <f>RECOUVREMENT!#REF!</f>
        <v>#REF!</v>
      </c>
      <c r="F6" s="213" t="e">
        <f t="shared" si="0"/>
        <v>#REF!</v>
      </c>
    </row>
    <row r="7" spans="3:6">
      <c r="C7" s="213" t="e">
        <f>OPERATIONS!#REF!</f>
        <v>#REF!</v>
      </c>
      <c r="D7" s="214" t="e">
        <f>OPERATIONS!#REF!</f>
        <v>#REF!</v>
      </c>
      <c r="E7" s="214" t="e">
        <f>OPERATIONS!#REF!</f>
        <v>#REF!</v>
      </c>
      <c r="F7" s="213" t="e">
        <f t="shared" si="0"/>
        <v>#REF!</v>
      </c>
    </row>
    <row r="8" spans="3:6">
      <c r="C8" s="213" t="e">
        <f>'PRODUITS DIGITAUX'!#REF!</f>
        <v>#REF!</v>
      </c>
      <c r="D8" s="214" t="e">
        <f>'PRODUITS DIGITAUX'!#REF!</f>
        <v>#REF!</v>
      </c>
      <c r="E8" s="214" t="e">
        <f>'PRODUITS DIGITAUX'!#REF!</f>
        <v>#REF!</v>
      </c>
      <c r="F8" s="213" t="e">
        <f t="shared" si="0"/>
        <v>#REF!</v>
      </c>
    </row>
    <row r="9" spans="3:6">
      <c r="C9" s="213" t="e">
        <f>'FINANCES &amp; REPORTING'!#REF!</f>
        <v>#REF!</v>
      </c>
      <c r="D9" s="214" t="e">
        <f>'FINANCES &amp; REPORTING'!#REF!</f>
        <v>#REF!</v>
      </c>
      <c r="E9" s="214" t="e">
        <f>'FINANCES &amp; REPORTING'!#REF!</f>
        <v>#REF!</v>
      </c>
      <c r="F9" s="213" t="e">
        <f t="shared" si="0"/>
        <v>#REF!</v>
      </c>
    </row>
    <row r="10" spans="3:6">
      <c r="C10" s="213" t="e">
        <f>#REF!</f>
        <v>#REF!</v>
      </c>
      <c r="D10" s="214" t="e">
        <f>#REF!</f>
        <v>#REF!</v>
      </c>
      <c r="E10" s="214" t="e">
        <f>#REF!</f>
        <v>#REF!</v>
      </c>
      <c r="F10" s="213" t="e">
        <f t="shared" si="0"/>
        <v>#REF!</v>
      </c>
    </row>
    <row r="11" spans="3:6">
      <c r="C11" s="213" t="str">
        <f>'GOUV &amp; CONTRÔLE INTERNE'!A25</f>
        <v>GOUVERNANCE &amp; CI</v>
      </c>
      <c r="D11" s="214">
        <f>'GOUV &amp; CONTRÔLE INTERNE'!H25</f>
        <v>4</v>
      </c>
      <c r="E11" s="214">
        <f>'GOUV &amp; CONTRÔLE INTERNE'!I25</f>
        <v>3</v>
      </c>
      <c r="F11" s="213">
        <f t="shared" si="0"/>
        <v>12</v>
      </c>
    </row>
    <row r="12" spans="3:6">
      <c r="C12" s="213" t="e">
        <f>'JURIDIQUE &amp; CONTENTIEUX'!#REF!</f>
        <v>#REF!</v>
      </c>
      <c r="D12" s="214" t="e">
        <f>'JURIDIQUE &amp; CONTENTIEUX'!#REF!</f>
        <v>#REF!</v>
      </c>
      <c r="E12" s="214" t="e">
        <f>'JURIDIQUE &amp; CONTENTIEUX'!#REF!</f>
        <v>#REF!</v>
      </c>
      <c r="F12" s="213" t="e">
        <f t="shared" si="0"/>
        <v>#REF!</v>
      </c>
    </row>
    <row r="13" spans="3:6">
      <c r="C13" s="213" t="e">
        <f>'RESSOURCES HUMAINES'!#REF!</f>
        <v>#REF!</v>
      </c>
      <c r="D13" s="214" t="e">
        <f>'RESSOURCES HUMAINES'!#REF!</f>
        <v>#REF!</v>
      </c>
      <c r="E13" s="214" t="e">
        <f>'RESSOURCES HUMAINES'!#REF!</f>
        <v>#REF!</v>
      </c>
      <c r="F13" s="213" t="e">
        <f t="shared" si="0"/>
        <v>#REF!</v>
      </c>
    </row>
    <row r="14" spans="3:6">
      <c r="C14" s="213" t="e">
        <f>'ACHATS &amp; LOGISTIQUE'!#REF!</f>
        <v>#REF!</v>
      </c>
      <c r="D14" s="214" t="e">
        <f>'ACHATS &amp; LOGISTIQUE'!#REF!</f>
        <v>#REF!</v>
      </c>
      <c r="E14" s="214" t="e">
        <f>'ACHATS &amp; LOGISTIQUE'!#REF!</f>
        <v>#REF!</v>
      </c>
      <c r="F14" s="213" t="e">
        <f t="shared" si="0"/>
        <v>#REF!</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33</vt:i4>
      </vt:variant>
    </vt:vector>
  </HeadingPairs>
  <TitlesOfParts>
    <vt:vector size="33" baseType="lpstr">
      <vt:lpstr>Matrice RISQUES (2)</vt:lpstr>
      <vt:lpstr>Synthèse Exceptions &amp; risqu (2</vt:lpstr>
      <vt:lpstr>DASHBOARD</vt:lpstr>
      <vt:lpstr>HOME</vt:lpstr>
      <vt:lpstr>Définition &amp; Objectifs</vt:lpstr>
      <vt:lpstr>Préambule</vt:lpstr>
      <vt:lpstr>Principes</vt:lpstr>
      <vt:lpstr>Echelle P &amp; G</vt:lpstr>
      <vt:lpstr>Echelle de contrôle</vt:lpstr>
      <vt:lpstr>Matrice RISQUES</vt:lpstr>
      <vt:lpstr>Constats Détaillés</vt:lpstr>
      <vt:lpstr>DMCC</vt:lpstr>
      <vt:lpstr>AGENCES</vt:lpstr>
      <vt:lpstr>Feuil2</vt:lpstr>
      <vt:lpstr>RESSOURCES HUMAINES</vt:lpstr>
      <vt:lpstr>OPERATIONS</vt:lpstr>
      <vt:lpstr>CREDIT</vt:lpstr>
      <vt:lpstr>FINANCES &amp; REPORTING</vt:lpstr>
      <vt:lpstr>IT </vt:lpstr>
      <vt:lpstr>RECOUVREMENT</vt:lpstr>
      <vt:lpstr>PRODUITS DIGITAUX</vt:lpstr>
      <vt:lpstr>GOUV &amp; CONTRÔLE INTERNE</vt:lpstr>
      <vt:lpstr>JURIDIQUE &amp; CONTENTIEUX</vt:lpstr>
      <vt:lpstr>ACHATS &amp; LOGISTIQUE</vt:lpstr>
      <vt:lpstr>CONFORMITE</vt:lpstr>
      <vt:lpstr>PLUS GROS RISQUES</vt:lpstr>
      <vt:lpstr>INNOVATION ET PARTENARIAT</vt:lpstr>
      <vt:lpstr>CARTOGRAPHIE RISQUES RESIDUELS</vt:lpstr>
      <vt:lpstr>CARTOGRAPHIE RISQUES BRUTS</vt:lpstr>
      <vt:lpstr>GRAND COMPTE</vt:lpstr>
      <vt:lpstr>FAMILLE DE RISQUE PAR METIER</vt:lpstr>
      <vt:lpstr>LEXIQUE FAMILLE RISQUE</vt:lpstr>
      <vt:lpstr>LEGENDE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Cartographie des risques</dc:title>
  <dc:creator>Cheikh Ahmadou DIOP</dc:creator>
  <cp:lastModifiedBy>Loum Abdoulaye</cp:lastModifiedBy>
  <cp:revision>2</cp:revision>
  <cp:lastPrinted>2019-01-18T15:52:47Z</cp:lastPrinted>
  <dcterms:created xsi:type="dcterms:W3CDTF">2016-02-25T10:42:17Z</dcterms:created>
  <dcterms:modified xsi:type="dcterms:W3CDTF">2026-05-20T18:19:19Z</dcterms:modified>
</cp:coreProperties>
</file>