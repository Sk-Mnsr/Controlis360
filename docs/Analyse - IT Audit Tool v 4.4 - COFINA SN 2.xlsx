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02"/>
  <workbookPr/>
  <mc:AlternateContent xmlns:mc="http://schemas.openxmlformats.org/markup-compatibility/2006">
    <mc:Choice Requires="x15">
      <x15ac:absPath xmlns:x15ac="http://schemas.microsoft.com/office/spreadsheetml/2010/11/ac" url="C:\Users\ADIOP.LP-ADIOP.000\Downloads\"/>
    </mc:Choice>
  </mc:AlternateContent>
  <xr:revisionPtr revIDLastSave="0" documentId="8_{21F9BF79-3041-4614-BE94-309BC03EC73C}" xr6:coauthVersionLast="47" xr6:coauthVersionMax="47" xr10:uidLastSave="{00000000-0000-0000-0000-000000000000}"/>
  <bookViews>
    <workbookView xWindow="0" yWindow="0" windowWidth="28800" windowHeight="11355" tabRatio="801" xr2:uid="{00000000-000D-0000-FFFF-FFFF00000000}"/>
  </bookViews>
  <sheets>
    <sheet name="Accueil" sheetId="12" r:id="rId1"/>
    <sheet name="QG" sheetId="1" r:id="rId2"/>
    <sheet name="Secu" sheetId="6" r:id="rId3"/>
    <sheet name="Contracts" sheetId="3" r:id="rId4"/>
    <sheet name="✅ Projets 2026" sheetId="41" r:id="rId5"/>
    <sheet name="CofiDesk" sheetId="43" r:id="rId6"/>
    <sheet name="PROJETS EN COURS" sheetId="42" r:id="rId7"/>
    <sheet name="CBS" sheetId="8" r:id="rId8"/>
    <sheet name="LOS" sheetId="17" r:id="rId9"/>
    <sheet name="AB" sheetId="23" r:id="rId10"/>
    <sheet name="MB" sheetId="24" r:id="rId11"/>
    <sheet name="IB" sheetId="25" r:id="rId12"/>
    <sheet name="AML" sheetId="26" r:id="rId13"/>
    <sheet name="Collect" sheetId="27" r:id="rId14"/>
    <sheet name="CRM" sheetId="28" r:id="rId15"/>
    <sheet name="CC" sheetId="33" r:id="rId16"/>
    <sheet name="DocM" sheetId="29" r:id="rId17"/>
    <sheet name="SOA" sheetId="32" r:id="rId18"/>
    <sheet name="BI" sheetId="30" r:id="rId19"/>
    <sheet name="ERP1" sheetId="34" r:id="rId20"/>
    <sheet name="ERP2" sheetId="35" r:id="rId21"/>
    <sheet name="Achats" sheetId="36" r:id="rId22"/>
    <sheet name="GC" sheetId="37" r:id="rId23"/>
    <sheet name="Mail" sheetId="38" r:id="rId24"/>
    <sheet name="Others" sheetId="39" r:id="rId25"/>
    <sheet name="IT" sheetId="40" r:id="rId26"/>
  </sheets>
  <definedNames>
    <definedName name="_xlnm._FilterDatabase" localSheetId="7" hidden="1">CBS!$A$6:$F$63</definedName>
    <definedName name="_xlnm._FilterDatabase" localSheetId="2" hidden="1">Secu!$A$3:$D$51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12" l="1"/>
  <c r="B40" i="27" l="1"/>
  <c r="B18" i="27"/>
  <c r="B18" i="37"/>
  <c r="B50" i="37"/>
  <c r="B18" i="24" l="1"/>
  <c r="C8" i="1" l="1"/>
  <c r="C30" i="34" l="1"/>
  <c r="E30" i="34" s="1"/>
  <c r="C31" i="34"/>
  <c r="C32" i="34"/>
  <c r="C29" i="34"/>
  <c r="E29" i="34" s="1"/>
  <c r="C27" i="34"/>
  <c r="C26" i="34"/>
  <c r="C25" i="34"/>
  <c r="E25" i="34" s="1"/>
  <c r="C24" i="34"/>
  <c r="E24" i="34" s="1"/>
  <c r="C22" i="34"/>
  <c r="C21" i="34"/>
  <c r="C19" i="34"/>
  <c r="E19" i="34" s="1"/>
  <c r="C14" i="34"/>
  <c r="E31" i="34"/>
  <c r="E28" i="34"/>
  <c r="E26" i="34"/>
  <c r="E18" i="34"/>
  <c r="E17" i="34"/>
  <c r="E16" i="34"/>
  <c r="E15" i="34"/>
  <c r="E7" i="34"/>
  <c r="E14" i="34" l="1"/>
  <c r="E32" i="34"/>
  <c r="E22" i="34"/>
  <c r="E20" i="34"/>
  <c r="E23" i="34"/>
  <c r="E27" i="34"/>
  <c r="E21" i="34"/>
  <c r="B8" i="40" l="1"/>
  <c r="B10" i="40"/>
  <c r="B11" i="40"/>
  <c r="B16" i="40"/>
  <c r="B18" i="40"/>
  <c r="B21" i="40"/>
  <c r="B22" i="40"/>
  <c r="B27" i="40"/>
  <c r="B29" i="40"/>
  <c r="B31" i="40"/>
  <c r="B32" i="40"/>
  <c r="B33" i="40"/>
  <c r="B39" i="40"/>
  <c r="B41" i="40"/>
  <c r="B44" i="40"/>
  <c r="B45" i="40"/>
  <c r="B50" i="40"/>
  <c r="E50" i="40" s="1"/>
  <c r="B52" i="40"/>
  <c r="B54" i="40"/>
  <c r="B55" i="40"/>
  <c r="B56" i="40"/>
  <c r="B62" i="40"/>
  <c r="B63" i="40"/>
  <c r="B64" i="40"/>
  <c r="B70" i="40"/>
  <c r="B71" i="40"/>
  <c r="B72" i="40"/>
  <c r="B78" i="40"/>
  <c r="B79" i="40"/>
  <c r="B80" i="40"/>
  <c r="B86" i="40"/>
  <c r="B87" i="40"/>
  <c r="B88" i="40"/>
  <c r="B8" i="39"/>
  <c r="B13" i="39"/>
  <c r="B15" i="39"/>
  <c r="E15" i="39" s="1"/>
  <c r="B16" i="39"/>
  <c r="B25" i="39"/>
  <c r="B26" i="39"/>
  <c r="E26" i="39" s="1"/>
  <c r="B31" i="39"/>
  <c r="E31" i="39" s="1"/>
  <c r="B36" i="39"/>
  <c r="B38" i="39"/>
  <c r="B39" i="39"/>
  <c r="B48" i="39"/>
  <c r="E48" i="39" s="1"/>
  <c r="B49" i="39"/>
  <c r="B54" i="39"/>
  <c r="B59" i="39"/>
  <c r="B61" i="39"/>
  <c r="E61" i="39" s="1"/>
  <c r="B62" i="39"/>
  <c r="B71" i="39"/>
  <c r="B72" i="39"/>
  <c r="B77" i="39"/>
  <c r="B81" i="39"/>
  <c r="B82" i="39"/>
  <c r="B84" i="39"/>
  <c r="E84" i="39" s="1"/>
  <c r="B85" i="39"/>
  <c r="E85" i="39" s="1"/>
  <c r="B94" i="39"/>
  <c r="B95" i="39"/>
  <c r="B100" i="39"/>
  <c r="B104" i="39"/>
  <c r="E104" i="39" s="1"/>
  <c r="B105" i="39"/>
  <c r="B107" i="39"/>
  <c r="B108" i="39"/>
  <c r="E108" i="39" s="1"/>
  <c r="B117" i="39"/>
  <c r="E117" i="39" s="1"/>
  <c r="B118" i="39"/>
  <c r="B123" i="39"/>
  <c r="B128" i="39"/>
  <c r="B130" i="39"/>
  <c r="E130" i="39" s="1"/>
  <c r="B131" i="39"/>
  <c r="B140" i="39"/>
  <c r="B141" i="39"/>
  <c r="E141" i="39" s="1"/>
  <c r="B7" i="38"/>
  <c r="E7" i="38" s="1"/>
  <c r="B8" i="38"/>
  <c r="E8" i="38" s="1"/>
  <c r="B9" i="38"/>
  <c r="B16" i="38"/>
  <c r="B18" i="38"/>
  <c r="B19" i="38"/>
  <c r="B20" i="38"/>
  <c r="B21" i="38"/>
  <c r="B22" i="38"/>
  <c r="B32" i="38"/>
  <c r="E32" i="38" s="1"/>
  <c r="B28" i="38"/>
  <c r="E28" i="38" s="1"/>
  <c r="B33" i="38"/>
  <c r="B35" i="38"/>
  <c r="B23" i="38"/>
  <c r="E23" i="38" s="1"/>
  <c r="B27" i="38"/>
  <c r="B17" i="36"/>
  <c r="E17" i="36" s="1"/>
  <c r="B19" i="36"/>
  <c r="E19" i="36" s="1"/>
  <c r="B20" i="36"/>
  <c r="B22" i="36"/>
  <c r="B24" i="36"/>
  <c r="E24" i="36" s="1"/>
  <c r="B33" i="36"/>
  <c r="E33" i="36" s="1"/>
  <c r="B35" i="36"/>
  <c r="B40" i="36"/>
  <c r="B42" i="36"/>
  <c r="E42" i="36" s="1"/>
  <c r="B49" i="36"/>
  <c r="B51" i="36"/>
  <c r="B55" i="36"/>
  <c r="B56" i="36"/>
  <c r="B57" i="36"/>
  <c r="B58" i="36"/>
  <c r="B59" i="36"/>
  <c r="B7" i="36"/>
  <c r="B8" i="36"/>
  <c r="B9" i="36"/>
  <c r="B16" i="36"/>
  <c r="B18" i="36"/>
  <c r="B21" i="36"/>
  <c r="B23" i="36"/>
  <c r="B32" i="36"/>
  <c r="B34" i="36"/>
  <c r="B39" i="36"/>
  <c r="B41" i="36"/>
  <c r="B48" i="36"/>
  <c r="B50" i="36"/>
  <c r="B54" i="36"/>
  <c r="E54" i="36" s="1"/>
  <c r="B8" i="26"/>
  <c r="B9" i="26"/>
  <c r="B16" i="26"/>
  <c r="B18" i="26"/>
  <c r="B19" i="26"/>
  <c r="E19" i="26" s="1"/>
  <c r="B21" i="26"/>
  <c r="B43" i="26"/>
  <c r="B50" i="26"/>
  <c r="B57" i="26"/>
  <c r="B62" i="26"/>
  <c r="B23" i="24"/>
  <c r="B21" i="24"/>
  <c r="B19" i="24"/>
  <c r="B16" i="24"/>
  <c r="B7" i="24"/>
  <c r="B8" i="24"/>
  <c r="B9" i="24"/>
  <c r="B33" i="24"/>
  <c r="B35" i="24"/>
  <c r="B40" i="24"/>
  <c r="B42" i="24"/>
  <c r="B49" i="24"/>
  <c r="B51" i="24"/>
  <c r="B55" i="24"/>
  <c r="B56" i="24"/>
  <c r="B7" i="23"/>
  <c r="E7" i="23" s="1"/>
  <c r="B9" i="23"/>
  <c r="E9" i="23" s="1"/>
  <c r="B16" i="23"/>
  <c r="B18" i="23"/>
  <c r="B19" i="23"/>
  <c r="B21" i="23"/>
  <c r="B23" i="23"/>
  <c r="B34" i="23"/>
  <c r="B36" i="23"/>
  <c r="B41" i="23"/>
  <c r="B42" i="23"/>
  <c r="B43" i="23"/>
  <c r="B50" i="23"/>
  <c r="E50" i="23" s="1"/>
  <c r="B52" i="23"/>
  <c r="E52" i="23" s="1"/>
  <c r="B56" i="23"/>
  <c r="B57" i="23"/>
  <c r="C4" i="1"/>
  <c r="C5" i="1"/>
  <c r="C6" i="1"/>
  <c r="C7" i="1"/>
  <c r="C9" i="1"/>
  <c r="C10" i="1"/>
  <c r="C11" i="1"/>
  <c r="C13" i="1"/>
  <c r="C14" i="1"/>
  <c r="C15" i="1"/>
  <c r="C16" i="1"/>
  <c r="C17" i="1"/>
  <c r="C18" i="1"/>
  <c r="C19" i="1"/>
  <c r="C20" i="1"/>
  <c r="C21" i="1"/>
  <c r="C22" i="1"/>
  <c r="C23" i="1"/>
  <c r="C25" i="1"/>
  <c r="C26" i="1"/>
  <c r="C28" i="1"/>
  <c r="C32" i="1"/>
  <c r="C33" i="1"/>
  <c r="C34" i="1"/>
  <c r="C35" i="1"/>
  <c r="C36" i="1"/>
  <c r="C37" i="1"/>
  <c r="C38" i="1"/>
  <c r="C39" i="1"/>
  <c r="C40" i="1"/>
  <c r="C41" i="1"/>
  <c r="C43" i="1"/>
  <c r="C44" i="1"/>
  <c r="C45" i="1"/>
  <c r="C46" i="1"/>
  <c r="C47" i="1"/>
  <c r="C48" i="1"/>
  <c r="C49" i="1"/>
  <c r="C50" i="1"/>
  <c r="C51" i="1"/>
  <c r="C52" i="1"/>
  <c r="C53" i="1"/>
  <c r="C54" i="1"/>
  <c r="C55" i="1"/>
  <c r="C56" i="1"/>
  <c r="C57" i="1"/>
  <c r="C58" i="1"/>
  <c r="C59" i="1"/>
  <c r="C60"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1" i="1"/>
  <c r="C112" i="1"/>
  <c r="C113" i="1"/>
  <c r="C114" i="1"/>
  <c r="C115" i="1"/>
  <c r="C116" i="1"/>
  <c r="C118" i="1"/>
  <c r="C120" i="1"/>
  <c r="C121" i="1"/>
  <c r="C122" i="1"/>
  <c r="C123" i="1"/>
  <c r="C124" i="1"/>
  <c r="C125" i="1"/>
  <c r="C127" i="1"/>
  <c r="C128" i="1"/>
  <c r="C129" i="1"/>
  <c r="C130" i="1"/>
  <c r="C132" i="1"/>
  <c r="C133" i="1"/>
  <c r="C134" i="1"/>
  <c r="C135" i="1"/>
  <c r="B10" i="23"/>
  <c r="E10" i="23"/>
  <c r="B11" i="23"/>
  <c r="E11" i="23"/>
  <c r="B12" i="23"/>
  <c r="E12" i="23"/>
  <c r="B13" i="23"/>
  <c r="E13" i="23" s="1"/>
  <c r="B14" i="23"/>
  <c r="E14" i="23"/>
  <c r="B17" i="23"/>
  <c r="E17" i="23" s="1"/>
  <c r="E19" i="23"/>
  <c r="B20" i="23"/>
  <c r="E20" i="23" s="1"/>
  <c r="E21" i="23"/>
  <c r="B22" i="23"/>
  <c r="E22" i="23" s="1"/>
  <c r="B25" i="23"/>
  <c r="B26" i="23"/>
  <c r="E26" i="23" s="1"/>
  <c r="B27" i="23"/>
  <c r="E27" i="23"/>
  <c r="B29" i="23"/>
  <c r="E29" i="23" s="1"/>
  <c r="B30" i="23"/>
  <c r="E30" i="23" s="1"/>
  <c r="B31" i="23"/>
  <c r="E31" i="23" s="1"/>
  <c r="B32" i="23"/>
  <c r="E32" i="23" s="1"/>
  <c r="B33" i="23"/>
  <c r="E33" i="23" s="1"/>
  <c r="B35" i="23"/>
  <c r="E35" i="23" s="1"/>
  <c r="E36" i="23"/>
  <c r="B37" i="23"/>
  <c r="E37" i="23" s="1"/>
  <c r="B38" i="23"/>
  <c r="E38" i="23" s="1"/>
  <c r="B39" i="23"/>
  <c r="E39" i="23" s="1"/>
  <c r="E41" i="23"/>
  <c r="B45" i="23"/>
  <c r="E45" i="23" s="1"/>
  <c r="B47" i="23"/>
  <c r="E47" i="23"/>
  <c r="B48" i="23"/>
  <c r="E48" i="23" s="1"/>
  <c r="B49" i="23"/>
  <c r="E49" i="23"/>
  <c r="B53" i="23"/>
  <c r="E53" i="23" s="1"/>
  <c r="B54" i="23"/>
  <c r="E54" i="23" s="1"/>
  <c r="B55" i="23"/>
  <c r="E55" i="23"/>
  <c r="B8" i="23"/>
  <c r="B15" i="23"/>
  <c r="E15" i="23" s="1"/>
  <c r="B24" i="23"/>
  <c r="E24" i="23" s="1"/>
  <c r="B28" i="23"/>
  <c r="E28" i="23" s="1"/>
  <c r="B40" i="23"/>
  <c r="E40" i="23"/>
  <c r="B44" i="23"/>
  <c r="B46" i="23"/>
  <c r="E46" i="23" s="1"/>
  <c r="B51" i="23"/>
  <c r="E51" i="23" s="1"/>
  <c r="B58" i="23"/>
  <c r="E58" i="23"/>
  <c r="B59" i="23"/>
  <c r="E59" i="23"/>
  <c r="B60" i="23"/>
  <c r="B61" i="23"/>
  <c r="E61" i="23" s="1"/>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7" i="6"/>
  <c r="C38" i="6"/>
  <c r="C39" i="6"/>
  <c r="C40" i="6"/>
  <c r="C41" i="6"/>
  <c r="C43" i="6"/>
  <c r="C44" i="6"/>
  <c r="C45" i="6"/>
  <c r="C46" i="6"/>
  <c r="C47" i="6"/>
  <c r="C48" i="6"/>
  <c r="C49" i="6"/>
  <c r="C50" i="6"/>
  <c r="E7" i="8"/>
  <c r="B8" i="8"/>
  <c r="E8" i="8" s="1"/>
  <c r="E9" i="8"/>
  <c r="E10" i="8"/>
  <c r="E11" i="8"/>
  <c r="E12" i="8"/>
  <c r="E13" i="8"/>
  <c r="E14" i="8"/>
  <c r="E15" i="8"/>
  <c r="E16" i="8"/>
  <c r="E17" i="8"/>
  <c r="E18" i="8"/>
  <c r="E19" i="8"/>
  <c r="E20" i="8"/>
  <c r="E21" i="8"/>
  <c r="E22" i="8"/>
  <c r="E23" i="8"/>
  <c r="E24" i="8"/>
  <c r="E25" i="8"/>
  <c r="B26" i="8"/>
  <c r="E26" i="8" s="1"/>
  <c r="E27" i="8"/>
  <c r="E28" i="8"/>
  <c r="E29" i="8"/>
  <c r="B30" i="8"/>
  <c r="E30" i="8" s="1"/>
  <c r="E31" i="8"/>
  <c r="E32" i="8"/>
  <c r="E33" i="8"/>
  <c r="E34" i="8"/>
  <c r="E35" i="8"/>
  <c r="E36" i="8"/>
  <c r="E37" i="8"/>
  <c r="E38" i="8"/>
  <c r="E39" i="8"/>
  <c r="E40" i="8"/>
  <c r="E41" i="8"/>
  <c r="B42" i="8"/>
  <c r="E42" i="8" s="1"/>
  <c r="E43" i="8"/>
  <c r="E44" i="8"/>
  <c r="E45" i="8"/>
  <c r="B46" i="8"/>
  <c r="E46" i="8" s="1"/>
  <c r="E47" i="8"/>
  <c r="B48" i="8"/>
  <c r="E48" i="8" s="1"/>
  <c r="E49" i="8"/>
  <c r="E50" i="8"/>
  <c r="E51" i="8"/>
  <c r="E52" i="8"/>
  <c r="B53" i="8"/>
  <c r="E53" i="8" s="1"/>
  <c r="E54" i="8"/>
  <c r="E55" i="8"/>
  <c r="E56" i="8"/>
  <c r="E57" i="8"/>
  <c r="E58" i="8"/>
  <c r="E59" i="8"/>
  <c r="B60" i="8"/>
  <c r="E60" i="8" s="1"/>
  <c r="B61" i="8"/>
  <c r="E61" i="8" s="1"/>
  <c r="B62" i="8"/>
  <c r="E62" i="8" s="1"/>
  <c r="B63" i="8"/>
  <c r="E63" i="8" s="1"/>
  <c r="B7" i="17"/>
  <c r="E7" i="17" s="1"/>
  <c r="B8" i="17"/>
  <c r="E8" i="17" s="1"/>
  <c r="B9" i="17"/>
  <c r="E9" i="17" s="1"/>
  <c r="B10" i="17"/>
  <c r="E10" i="17" s="1"/>
  <c r="B11" i="17"/>
  <c r="E11" i="17" s="1"/>
  <c r="B12" i="17"/>
  <c r="E12" i="17"/>
  <c r="B13" i="17"/>
  <c r="E13" i="17" s="1"/>
  <c r="B14" i="17"/>
  <c r="E14" i="17"/>
  <c r="B15" i="17"/>
  <c r="E15" i="17" s="1"/>
  <c r="B16" i="17"/>
  <c r="E16" i="17" s="1"/>
  <c r="B17" i="17"/>
  <c r="E17" i="17" s="1"/>
  <c r="B18" i="17"/>
  <c r="E18" i="17"/>
  <c r="B19" i="17"/>
  <c r="E19" i="17" s="1"/>
  <c r="B20" i="17"/>
  <c r="E20" i="17" s="1"/>
  <c r="B21" i="17"/>
  <c r="B22" i="17"/>
  <c r="E22" i="17"/>
  <c r="B23" i="17"/>
  <c r="E23" i="17" s="1"/>
  <c r="B24" i="17"/>
  <c r="E24" i="17"/>
  <c r="B25" i="17"/>
  <c r="E25" i="17" s="1"/>
  <c r="B26" i="17"/>
  <c r="E26" i="17" s="1"/>
  <c r="B27" i="17"/>
  <c r="E27" i="17"/>
  <c r="B28" i="17"/>
  <c r="E28" i="17" s="1"/>
  <c r="B29" i="17"/>
  <c r="E29" i="17" s="1"/>
  <c r="B30" i="17"/>
  <c r="E30" i="17"/>
  <c r="B31" i="17"/>
  <c r="E31" i="17" s="1"/>
  <c r="B32" i="17"/>
  <c r="E32" i="17" s="1"/>
  <c r="B33" i="17"/>
  <c r="E33" i="17" s="1"/>
  <c r="B34" i="17"/>
  <c r="E34" i="17" s="1"/>
  <c r="B35" i="17"/>
  <c r="E35" i="17" s="1"/>
  <c r="B36" i="17"/>
  <c r="E36" i="17"/>
  <c r="B37" i="17"/>
  <c r="E37" i="17" s="1"/>
  <c r="B38" i="17"/>
  <c r="E38" i="17" s="1"/>
  <c r="B39" i="17"/>
  <c r="E39" i="17" s="1"/>
  <c r="B40" i="17"/>
  <c r="E40" i="17" s="1"/>
  <c r="B41" i="17"/>
  <c r="E41" i="17" s="1"/>
  <c r="B42" i="17"/>
  <c r="E42" i="17" s="1"/>
  <c r="B43" i="17"/>
  <c r="E43" i="17" s="1"/>
  <c r="B44" i="17"/>
  <c r="E44" i="17" s="1"/>
  <c r="B45" i="17"/>
  <c r="E45" i="17" s="1"/>
  <c r="B46" i="17"/>
  <c r="E46" i="17" s="1"/>
  <c r="B47" i="17"/>
  <c r="E47" i="17" s="1"/>
  <c r="B48" i="17"/>
  <c r="E48" i="17" s="1"/>
  <c r="B49" i="17"/>
  <c r="E49" i="17" s="1"/>
  <c r="B50" i="17"/>
  <c r="B51" i="17"/>
  <c r="E51" i="17" s="1"/>
  <c r="B52" i="17"/>
  <c r="E52" i="17"/>
  <c r="B53" i="17"/>
  <c r="E53" i="17" s="1"/>
  <c r="B54" i="17"/>
  <c r="E54" i="17"/>
  <c r="B55" i="17"/>
  <c r="E55" i="17" s="1"/>
  <c r="B56" i="17"/>
  <c r="E56" i="17" s="1"/>
  <c r="B57" i="17"/>
  <c r="E57" i="17" s="1"/>
  <c r="B58" i="17"/>
  <c r="E58" i="17"/>
  <c r="B59" i="17"/>
  <c r="E59" i="17"/>
  <c r="B60" i="17"/>
  <c r="E60" i="17" s="1"/>
  <c r="B61" i="17"/>
  <c r="E61" i="17"/>
  <c r="E7" i="24"/>
  <c r="E8" i="24"/>
  <c r="E9" i="24"/>
  <c r="B10" i="24"/>
  <c r="E10" i="24" s="1"/>
  <c r="B11" i="24"/>
  <c r="E11" i="24" s="1"/>
  <c r="B12" i="24"/>
  <c r="E12" i="24"/>
  <c r="B13" i="24"/>
  <c r="E13" i="24"/>
  <c r="B14" i="24"/>
  <c r="E14" i="24"/>
  <c r="B15" i="24"/>
  <c r="E15" i="24"/>
  <c r="E16" i="24"/>
  <c r="B17" i="24"/>
  <c r="E17" i="24" s="1"/>
  <c r="B20" i="24"/>
  <c r="E20" i="24" s="1"/>
  <c r="E21" i="24"/>
  <c r="B22" i="24"/>
  <c r="E22" i="24"/>
  <c r="E23" i="24"/>
  <c r="B24" i="24"/>
  <c r="E24" i="24" s="1"/>
  <c r="B25" i="24"/>
  <c r="E25" i="24" s="1"/>
  <c r="B26" i="24"/>
  <c r="E26" i="24"/>
  <c r="B27" i="24"/>
  <c r="E27" i="24"/>
  <c r="B28" i="24"/>
  <c r="E28" i="24"/>
  <c r="B29" i="24"/>
  <c r="E29" i="24" s="1"/>
  <c r="B30" i="24"/>
  <c r="E30" i="24" s="1"/>
  <c r="B31" i="24"/>
  <c r="E31" i="24" s="1"/>
  <c r="B32" i="24"/>
  <c r="E32" i="24" s="1"/>
  <c r="E33" i="24"/>
  <c r="B34" i="24"/>
  <c r="E34" i="24" s="1"/>
  <c r="E35" i="24"/>
  <c r="B36" i="24"/>
  <c r="E36" i="24" s="1"/>
  <c r="B37" i="24"/>
  <c r="E37" i="24" s="1"/>
  <c r="B38" i="24"/>
  <c r="E38" i="24" s="1"/>
  <c r="B39" i="24"/>
  <c r="E39" i="24"/>
  <c r="E40" i="24"/>
  <c r="B41" i="24"/>
  <c r="E41" i="24"/>
  <c r="E42" i="24"/>
  <c r="B43" i="24"/>
  <c r="E43" i="24" s="1"/>
  <c r="B44" i="24"/>
  <c r="E44" i="24"/>
  <c r="B45" i="24"/>
  <c r="E45" i="24" s="1"/>
  <c r="B46" i="24"/>
  <c r="E46" i="24"/>
  <c r="B47" i="24"/>
  <c r="E47" i="24" s="1"/>
  <c r="B48" i="24"/>
  <c r="E48" i="24" s="1"/>
  <c r="B50" i="24"/>
  <c r="E50" i="24"/>
  <c r="E51" i="24"/>
  <c r="B52" i="24"/>
  <c r="E52" i="24" s="1"/>
  <c r="B53" i="24"/>
  <c r="E53" i="24" s="1"/>
  <c r="B54" i="24"/>
  <c r="E54" i="24" s="1"/>
  <c r="E55" i="24"/>
  <c r="E56" i="24"/>
  <c r="B57" i="24"/>
  <c r="E57" i="24"/>
  <c r="B58" i="24"/>
  <c r="E58" i="24" s="1"/>
  <c r="B59" i="24"/>
  <c r="B60" i="24"/>
  <c r="E60" i="24" s="1"/>
  <c r="B7" i="26"/>
  <c r="E7" i="26" s="1"/>
  <c r="E9" i="26"/>
  <c r="B10" i="26"/>
  <c r="E10" i="26"/>
  <c r="B11" i="26"/>
  <c r="E11" i="26" s="1"/>
  <c r="B12" i="26"/>
  <c r="E12" i="26"/>
  <c r="B13" i="26"/>
  <c r="E13" i="26"/>
  <c r="B14" i="26"/>
  <c r="E14" i="26"/>
  <c r="B15" i="26"/>
  <c r="E15" i="26" s="1"/>
  <c r="E16" i="26"/>
  <c r="B17" i="26"/>
  <c r="E17" i="26"/>
  <c r="E18" i="26"/>
  <c r="B20" i="26"/>
  <c r="E20" i="26" s="1"/>
  <c r="E21" i="26"/>
  <c r="B22" i="26"/>
  <c r="E22" i="26"/>
  <c r="B23" i="26"/>
  <c r="E23" i="26" s="1"/>
  <c r="B24" i="26"/>
  <c r="E24" i="26" s="1"/>
  <c r="B25" i="26"/>
  <c r="E25" i="26"/>
  <c r="B26" i="26"/>
  <c r="E26" i="26" s="1"/>
  <c r="B27" i="26"/>
  <c r="E27" i="26"/>
  <c r="B28" i="26"/>
  <c r="E28" i="26"/>
  <c r="B29" i="26"/>
  <c r="E29" i="26"/>
  <c r="B30" i="26"/>
  <c r="E30" i="26" s="1"/>
  <c r="B31" i="26"/>
  <c r="E31" i="26" s="1"/>
  <c r="B32" i="26"/>
  <c r="E32" i="26" s="1"/>
  <c r="B33" i="26"/>
  <c r="E33" i="26"/>
  <c r="B34" i="26"/>
  <c r="E34" i="26"/>
  <c r="B35" i="26"/>
  <c r="E35" i="26" s="1"/>
  <c r="B36" i="26"/>
  <c r="E36" i="26"/>
  <c r="B37" i="26"/>
  <c r="E37" i="26" s="1"/>
  <c r="B38" i="26"/>
  <c r="E38" i="26" s="1"/>
  <c r="B39" i="26"/>
  <c r="E39" i="26"/>
  <c r="B40" i="26"/>
  <c r="E40" i="26"/>
  <c r="B41" i="26"/>
  <c r="E41" i="26"/>
  <c r="B42" i="26"/>
  <c r="E42" i="26"/>
  <c r="E43" i="26"/>
  <c r="B44" i="26"/>
  <c r="E44" i="26" s="1"/>
  <c r="B45" i="26"/>
  <c r="E45" i="26"/>
  <c r="B46" i="26"/>
  <c r="E46" i="26" s="1"/>
  <c r="B47" i="26"/>
  <c r="E47" i="26"/>
  <c r="B48" i="26"/>
  <c r="E48" i="26" s="1"/>
  <c r="B49" i="26"/>
  <c r="E49" i="26"/>
  <c r="E50" i="26"/>
  <c r="B51" i="26"/>
  <c r="E51" i="26"/>
  <c r="B52" i="26"/>
  <c r="E52" i="26"/>
  <c r="B53" i="26"/>
  <c r="E53" i="26"/>
  <c r="B54" i="26"/>
  <c r="E54" i="26" s="1"/>
  <c r="B55" i="26"/>
  <c r="E55" i="26" s="1"/>
  <c r="B56" i="26"/>
  <c r="E56" i="26"/>
  <c r="E57" i="26"/>
  <c r="B58" i="26"/>
  <c r="B59" i="26"/>
  <c r="E59" i="26"/>
  <c r="B60" i="26"/>
  <c r="E60" i="26"/>
  <c r="B61" i="26"/>
  <c r="E61" i="26"/>
  <c r="B21" i="12"/>
  <c r="B7" i="35"/>
  <c r="E7" i="35"/>
  <c r="B8" i="35"/>
  <c r="E8" i="35" s="1"/>
  <c r="B9" i="35"/>
  <c r="E9" i="35" s="1"/>
  <c r="B10" i="35"/>
  <c r="E10" i="35" s="1"/>
  <c r="B11" i="35"/>
  <c r="E11" i="35" s="1"/>
  <c r="B12" i="35"/>
  <c r="E12" i="35"/>
  <c r="B13" i="35"/>
  <c r="E13" i="35"/>
  <c r="B14" i="35"/>
  <c r="E14" i="35" s="1"/>
  <c r="B15" i="35"/>
  <c r="E15" i="35" s="1"/>
  <c r="B16" i="35"/>
  <c r="E16" i="35" s="1"/>
  <c r="B17" i="35"/>
  <c r="E17" i="35" s="1"/>
  <c r="B18" i="35"/>
  <c r="E18" i="35"/>
  <c r="B19" i="35"/>
  <c r="E19" i="35"/>
  <c r="B20" i="35"/>
  <c r="E20" i="35" s="1"/>
  <c r="B21" i="35"/>
  <c r="E21" i="35" s="1"/>
  <c r="B22" i="35"/>
  <c r="E22" i="35" s="1"/>
  <c r="B23" i="35"/>
  <c r="E23" i="35" s="1"/>
  <c r="B24" i="35"/>
  <c r="E24" i="35"/>
  <c r="B25" i="35"/>
  <c r="E25" i="35"/>
  <c r="B26" i="35"/>
  <c r="E26" i="35" s="1"/>
  <c r="B27" i="35"/>
  <c r="E27" i="35" s="1"/>
  <c r="B28" i="35"/>
  <c r="E28" i="35" s="1"/>
  <c r="B29" i="35"/>
  <c r="E29" i="35" s="1"/>
  <c r="B30" i="35"/>
  <c r="E30" i="35"/>
  <c r="B31" i="35"/>
  <c r="E31" i="35"/>
  <c r="B32" i="35"/>
  <c r="E32" i="35" s="1"/>
  <c r="B33" i="35"/>
  <c r="E33" i="35" s="1"/>
  <c r="B34" i="35"/>
  <c r="E34" i="35" s="1"/>
  <c r="B35" i="35"/>
  <c r="E35" i="35" s="1"/>
  <c r="B36" i="35"/>
  <c r="E36" i="35"/>
  <c r="B37" i="35"/>
  <c r="E37" i="35"/>
  <c r="B38" i="35"/>
  <c r="E38" i="35" s="1"/>
  <c r="B39" i="35"/>
  <c r="E39" i="35" s="1"/>
  <c r="B40" i="35"/>
  <c r="E40" i="35" s="1"/>
  <c r="B41" i="35"/>
  <c r="E41" i="35" s="1"/>
  <c r="B42" i="35"/>
  <c r="E42" i="35"/>
  <c r="B43" i="35"/>
  <c r="E43" i="35"/>
  <c r="B44" i="35"/>
  <c r="E44" i="35" s="1"/>
  <c r="B45" i="35"/>
  <c r="E45" i="35" s="1"/>
  <c r="B46" i="35"/>
  <c r="E46" i="35" s="1"/>
  <c r="B47" i="35"/>
  <c r="E47" i="35" s="1"/>
  <c r="B48" i="35"/>
  <c r="E48" i="35"/>
  <c r="B49" i="35"/>
  <c r="E49" i="35"/>
  <c r="B50" i="35"/>
  <c r="E50" i="35" s="1"/>
  <c r="B51" i="35"/>
  <c r="E51" i="35" s="1"/>
  <c r="B52" i="35"/>
  <c r="E52" i="35" s="1"/>
  <c r="B53" i="35"/>
  <c r="E53" i="35" s="1"/>
  <c r="B54" i="35"/>
  <c r="E54" i="35"/>
  <c r="B55" i="35"/>
  <c r="E55" i="35"/>
  <c r="B56" i="35"/>
  <c r="E56" i="35" s="1"/>
  <c r="B57" i="35"/>
  <c r="E57" i="35" s="1"/>
  <c r="B58" i="35"/>
  <c r="E58" i="35" s="1"/>
  <c r="B59" i="35"/>
  <c r="E59" i="35" s="1"/>
  <c r="E7" i="36"/>
  <c r="E8" i="36"/>
  <c r="E9" i="36"/>
  <c r="B10" i="36"/>
  <c r="E10" i="36" s="1"/>
  <c r="B11" i="36"/>
  <c r="E11" i="36" s="1"/>
  <c r="B12" i="36"/>
  <c r="E12" i="36" s="1"/>
  <c r="B13" i="36"/>
  <c r="E13" i="36" s="1"/>
  <c r="B14" i="36"/>
  <c r="E14" i="36"/>
  <c r="B15" i="36"/>
  <c r="E15" i="36" s="1"/>
  <c r="E16" i="36"/>
  <c r="E18" i="36"/>
  <c r="E20" i="36"/>
  <c r="E21" i="36"/>
  <c r="E22" i="36"/>
  <c r="E23" i="36"/>
  <c r="B25" i="36"/>
  <c r="E25" i="36"/>
  <c r="B26" i="36"/>
  <c r="E26" i="36" s="1"/>
  <c r="B27" i="36"/>
  <c r="E27" i="36" s="1"/>
  <c r="B28" i="36"/>
  <c r="E28" i="36"/>
  <c r="B29" i="36"/>
  <c r="E29" i="36" s="1"/>
  <c r="B30" i="36"/>
  <c r="E30" i="36" s="1"/>
  <c r="B31" i="36"/>
  <c r="E31" i="36"/>
  <c r="E32" i="36"/>
  <c r="E34" i="36"/>
  <c r="E35" i="36"/>
  <c r="B36" i="36"/>
  <c r="E36" i="36"/>
  <c r="B37" i="36"/>
  <c r="E37" i="36" s="1"/>
  <c r="B38" i="36"/>
  <c r="E38" i="36" s="1"/>
  <c r="E39" i="36"/>
  <c r="E40" i="36"/>
  <c r="E41" i="36"/>
  <c r="B43" i="36"/>
  <c r="E43" i="36" s="1"/>
  <c r="B44" i="36"/>
  <c r="E44" i="36"/>
  <c r="B45" i="36"/>
  <c r="E45" i="36" s="1"/>
  <c r="B46" i="36"/>
  <c r="E46" i="36" s="1"/>
  <c r="B47" i="36"/>
  <c r="E47" i="36" s="1"/>
  <c r="E48" i="36"/>
  <c r="E49" i="36"/>
  <c r="E50" i="36"/>
  <c r="E51" i="36"/>
  <c r="B52" i="36"/>
  <c r="E52" i="36"/>
  <c r="B53" i="36"/>
  <c r="E53" i="36" s="1"/>
  <c r="E55" i="36"/>
  <c r="E56" i="36"/>
  <c r="E57" i="36"/>
  <c r="E58" i="36"/>
  <c r="E59" i="36"/>
  <c r="B7" i="37"/>
  <c r="E7" i="37"/>
  <c r="B8" i="37"/>
  <c r="E8" i="37"/>
  <c r="B9" i="37"/>
  <c r="E9" i="37"/>
  <c r="B10" i="37"/>
  <c r="E10" i="37"/>
  <c r="B11" i="37"/>
  <c r="E11" i="37"/>
  <c r="B12" i="37"/>
  <c r="E12" i="37"/>
  <c r="B13" i="37"/>
  <c r="E13" i="37"/>
  <c r="B14" i="37"/>
  <c r="E14" i="37"/>
  <c r="B15" i="37"/>
  <c r="E15" i="37"/>
  <c r="B16" i="37"/>
  <c r="E16" i="37"/>
  <c r="B17" i="37"/>
  <c r="E17" i="37"/>
  <c r="E18" i="37"/>
  <c r="B19" i="37"/>
  <c r="E19" i="37"/>
  <c r="B20" i="37"/>
  <c r="E20" i="37"/>
  <c r="B21" i="37"/>
  <c r="E21" i="37"/>
  <c r="B22" i="37"/>
  <c r="E22" i="37"/>
  <c r="B23" i="37"/>
  <c r="E23" i="37"/>
  <c r="B24" i="37"/>
  <c r="E24" i="37"/>
  <c r="B25" i="37"/>
  <c r="E25" i="37"/>
  <c r="B26" i="37"/>
  <c r="E26" i="37"/>
  <c r="B27" i="37"/>
  <c r="E27" i="37"/>
  <c r="B28" i="37"/>
  <c r="E28" i="37"/>
  <c r="B29" i="37"/>
  <c r="E29" i="37"/>
  <c r="B30" i="37"/>
  <c r="E30" i="37"/>
  <c r="B31" i="37"/>
  <c r="E31" i="37"/>
  <c r="B32" i="37"/>
  <c r="E32" i="37"/>
  <c r="B33" i="37"/>
  <c r="E33" i="37"/>
  <c r="B34" i="37"/>
  <c r="E34" i="37"/>
  <c r="B35" i="37"/>
  <c r="E35" i="37"/>
  <c r="B36" i="37"/>
  <c r="E36" i="37"/>
  <c r="B37" i="37"/>
  <c r="E37" i="37"/>
  <c r="B38" i="37"/>
  <c r="E38" i="37"/>
  <c r="B39" i="37"/>
  <c r="E39" i="37"/>
  <c r="B40" i="37"/>
  <c r="E40" i="37"/>
  <c r="B41" i="37"/>
  <c r="E41" i="37"/>
  <c r="B42" i="37"/>
  <c r="E42" i="37"/>
  <c r="B43" i="37"/>
  <c r="E43" i="37"/>
  <c r="B44" i="37"/>
  <c r="E44" i="37"/>
  <c r="B45" i="37"/>
  <c r="E45" i="37"/>
  <c r="B46" i="37"/>
  <c r="E46" i="37"/>
  <c r="B47" i="37"/>
  <c r="E47" i="37"/>
  <c r="B48" i="37"/>
  <c r="E48" i="37"/>
  <c r="B49" i="37"/>
  <c r="E49" i="37"/>
  <c r="E50" i="37"/>
  <c r="B51" i="37"/>
  <c r="E51" i="37"/>
  <c r="B52" i="37"/>
  <c r="E52" i="37"/>
  <c r="B53" i="37"/>
  <c r="E53" i="37"/>
  <c r="B54" i="37"/>
  <c r="E54" i="37"/>
  <c r="B55" i="37"/>
  <c r="E55" i="37"/>
  <c r="B56" i="37"/>
  <c r="E56" i="37"/>
  <c r="B57" i="37"/>
  <c r="E57" i="37"/>
  <c r="B58" i="37"/>
  <c r="E58" i="37"/>
  <c r="B59" i="37"/>
  <c r="E59" i="37"/>
  <c r="E9" i="38"/>
  <c r="B10" i="38"/>
  <c r="E10" i="38"/>
  <c r="B11" i="38"/>
  <c r="E11" i="38"/>
  <c r="B12" i="38"/>
  <c r="E12" i="38" s="1"/>
  <c r="B13" i="38"/>
  <c r="E13" i="38" s="1"/>
  <c r="B14" i="38"/>
  <c r="E14" i="38"/>
  <c r="B15" i="38"/>
  <c r="E15" i="38"/>
  <c r="E16" i="38"/>
  <c r="B17" i="38"/>
  <c r="E17" i="38" s="1"/>
  <c r="E18" i="38"/>
  <c r="E19" i="38"/>
  <c r="E20" i="38"/>
  <c r="E21" i="38"/>
  <c r="E22" i="38"/>
  <c r="B24" i="38"/>
  <c r="E24" i="38" s="1"/>
  <c r="B25" i="38"/>
  <c r="E25" i="38"/>
  <c r="B26" i="38"/>
  <c r="E26" i="38" s="1"/>
  <c r="E27" i="38"/>
  <c r="B29" i="38"/>
  <c r="E29" i="38" s="1"/>
  <c r="B30" i="38"/>
  <c r="E30" i="38" s="1"/>
  <c r="B31" i="38"/>
  <c r="E31" i="38" s="1"/>
  <c r="E33" i="38"/>
  <c r="B34" i="38"/>
  <c r="E34" i="38" s="1"/>
  <c r="E35" i="38"/>
  <c r="B36" i="38"/>
  <c r="E36" i="38" s="1"/>
  <c r="B37" i="38"/>
  <c r="E37" i="38" s="1"/>
  <c r="B38" i="38"/>
  <c r="E38" i="38"/>
  <c r="B39" i="38"/>
  <c r="E39" i="38"/>
  <c r="B40" i="38"/>
  <c r="E40" i="38"/>
  <c r="B41" i="38"/>
  <c r="E41" i="38"/>
  <c r="B42" i="38"/>
  <c r="E42" i="38" s="1"/>
  <c r="E8" i="39"/>
  <c r="B9" i="39"/>
  <c r="E9" i="39" s="1"/>
  <c r="B10" i="39"/>
  <c r="E10" i="39" s="1"/>
  <c r="B11" i="39"/>
  <c r="E11" i="39" s="1"/>
  <c r="B12" i="39"/>
  <c r="E12" i="39"/>
  <c r="E13" i="39"/>
  <c r="B14" i="39"/>
  <c r="E14" i="39" s="1"/>
  <c r="E16" i="39"/>
  <c r="B17" i="39"/>
  <c r="E17" i="39" s="1"/>
  <c r="B18" i="39"/>
  <c r="E18" i="39" s="1"/>
  <c r="B19" i="39"/>
  <c r="E19" i="39" s="1"/>
  <c r="B20" i="39"/>
  <c r="E20" i="39" s="1"/>
  <c r="B21" i="39"/>
  <c r="E21" i="39" s="1"/>
  <c r="B22" i="39"/>
  <c r="E22" i="39" s="1"/>
  <c r="B23" i="39"/>
  <c r="E23" i="39" s="1"/>
  <c r="B24" i="39"/>
  <c r="E24" i="39" s="1"/>
  <c r="E25" i="39"/>
  <c r="B27" i="39"/>
  <c r="E27" i="39" s="1"/>
  <c r="B28" i="39"/>
  <c r="E28" i="39" s="1"/>
  <c r="B29" i="39"/>
  <c r="E29" i="39" s="1"/>
  <c r="E30" i="39"/>
  <c r="B32" i="39"/>
  <c r="E32" i="39" s="1"/>
  <c r="B33" i="39"/>
  <c r="E33" i="39" s="1"/>
  <c r="B34" i="39"/>
  <c r="E34" i="39" s="1"/>
  <c r="B35" i="39"/>
  <c r="E35" i="39" s="1"/>
  <c r="E36" i="39"/>
  <c r="B37" i="39"/>
  <c r="E37" i="39" s="1"/>
  <c r="E38" i="39"/>
  <c r="E39" i="39"/>
  <c r="B40" i="39"/>
  <c r="E40" i="39" s="1"/>
  <c r="B41" i="39"/>
  <c r="E41" i="39" s="1"/>
  <c r="B42" i="39"/>
  <c r="E42" i="39"/>
  <c r="B43" i="39"/>
  <c r="E43" i="39" s="1"/>
  <c r="B44" i="39"/>
  <c r="E44" i="39" s="1"/>
  <c r="B45" i="39"/>
  <c r="E45" i="39" s="1"/>
  <c r="B46" i="39"/>
  <c r="E46" i="39" s="1"/>
  <c r="B47" i="39"/>
  <c r="E47" i="39" s="1"/>
  <c r="E49" i="39"/>
  <c r="B50" i="39"/>
  <c r="E50" i="39" s="1"/>
  <c r="B51" i="39"/>
  <c r="E51" i="39" s="1"/>
  <c r="B52" i="39"/>
  <c r="E52" i="39" s="1"/>
  <c r="E53" i="39"/>
  <c r="E54" i="39"/>
  <c r="B55" i="39"/>
  <c r="E55" i="39" s="1"/>
  <c r="B56" i="39"/>
  <c r="E56" i="39" s="1"/>
  <c r="B57" i="39"/>
  <c r="E57" i="39" s="1"/>
  <c r="B58" i="39"/>
  <c r="E58" i="39" s="1"/>
  <c r="E59" i="39"/>
  <c r="B60" i="39"/>
  <c r="E60" i="39" s="1"/>
  <c r="E62" i="39"/>
  <c r="B63" i="39"/>
  <c r="E63" i="39" s="1"/>
  <c r="B64" i="39"/>
  <c r="E64" i="39" s="1"/>
  <c r="B65" i="39"/>
  <c r="B66" i="39"/>
  <c r="E66" i="39" s="1"/>
  <c r="B67" i="39"/>
  <c r="E67" i="39" s="1"/>
  <c r="B68" i="39"/>
  <c r="E68" i="39" s="1"/>
  <c r="B69" i="39"/>
  <c r="E69" i="39" s="1"/>
  <c r="B70" i="39"/>
  <c r="E70" i="39" s="1"/>
  <c r="E71" i="39"/>
  <c r="E72" i="39"/>
  <c r="B73" i="39"/>
  <c r="E73" i="39" s="1"/>
  <c r="B74" i="39"/>
  <c r="E74" i="39"/>
  <c r="B75" i="39"/>
  <c r="E75" i="39"/>
  <c r="E76" i="39"/>
  <c r="E77" i="39"/>
  <c r="B78" i="39"/>
  <c r="E78" i="39" s="1"/>
  <c r="B79" i="39"/>
  <c r="E79" i="39" s="1"/>
  <c r="B80" i="39"/>
  <c r="E80" i="39" s="1"/>
  <c r="E81" i="39"/>
  <c r="E82" i="39"/>
  <c r="B83" i="39"/>
  <c r="E83" i="39" s="1"/>
  <c r="B86" i="39"/>
  <c r="E86" i="39" s="1"/>
  <c r="B87" i="39"/>
  <c r="E87" i="39" s="1"/>
  <c r="B88" i="39"/>
  <c r="E88" i="39" s="1"/>
  <c r="B89" i="39"/>
  <c r="E89" i="39" s="1"/>
  <c r="B90" i="39"/>
  <c r="E90" i="39" s="1"/>
  <c r="B91" i="39"/>
  <c r="E91" i="39" s="1"/>
  <c r="B92" i="39"/>
  <c r="E92" i="39" s="1"/>
  <c r="B93" i="39"/>
  <c r="E93" i="39" s="1"/>
  <c r="E94" i="39"/>
  <c r="E95" i="39"/>
  <c r="B96" i="39"/>
  <c r="E96" i="39" s="1"/>
  <c r="B97" i="39"/>
  <c r="E97" i="39" s="1"/>
  <c r="B98" i="39"/>
  <c r="E98" i="39" s="1"/>
  <c r="E99" i="39"/>
  <c r="E100" i="39"/>
  <c r="B101" i="39"/>
  <c r="E101" i="39" s="1"/>
  <c r="B102" i="39"/>
  <c r="E102" i="39" s="1"/>
  <c r="B103" i="39"/>
  <c r="E103" i="39" s="1"/>
  <c r="E105" i="39"/>
  <c r="B106" i="39"/>
  <c r="E106" i="39" s="1"/>
  <c r="E107" i="39"/>
  <c r="B109" i="39"/>
  <c r="E109" i="39" s="1"/>
  <c r="B110" i="39"/>
  <c r="E110" i="39"/>
  <c r="B111" i="39"/>
  <c r="E111" i="39" s="1"/>
  <c r="B112" i="39"/>
  <c r="E112" i="39" s="1"/>
  <c r="B113" i="39"/>
  <c r="E113" i="39"/>
  <c r="B114" i="39"/>
  <c r="E114" i="39" s="1"/>
  <c r="B115" i="39"/>
  <c r="E115" i="39" s="1"/>
  <c r="B116" i="39"/>
  <c r="E116" i="39" s="1"/>
  <c r="E118" i="39"/>
  <c r="B119" i="39"/>
  <c r="E119" i="39" s="1"/>
  <c r="B120" i="39"/>
  <c r="E120" i="39" s="1"/>
  <c r="B121" i="39"/>
  <c r="E121" i="39" s="1"/>
  <c r="E122" i="39"/>
  <c r="E123" i="39"/>
  <c r="B124" i="39"/>
  <c r="E124" i="39" s="1"/>
  <c r="B125" i="39"/>
  <c r="E125" i="39" s="1"/>
  <c r="B126" i="39"/>
  <c r="E126" i="39" s="1"/>
  <c r="B127" i="39"/>
  <c r="E127" i="39"/>
  <c r="E128" i="39"/>
  <c r="B129" i="39"/>
  <c r="E129" i="39" s="1"/>
  <c r="E131" i="39"/>
  <c r="B132" i="39"/>
  <c r="E132" i="39" s="1"/>
  <c r="B133" i="39"/>
  <c r="E133" i="39" s="1"/>
  <c r="B134" i="39"/>
  <c r="E134" i="39" s="1"/>
  <c r="B135" i="39"/>
  <c r="E135" i="39" s="1"/>
  <c r="B136" i="39"/>
  <c r="E136" i="39" s="1"/>
  <c r="B137" i="39"/>
  <c r="E137" i="39" s="1"/>
  <c r="B138" i="39"/>
  <c r="E138" i="39" s="1"/>
  <c r="B139" i="39"/>
  <c r="E139" i="39" s="1"/>
  <c r="E140" i="39"/>
  <c r="B142" i="39"/>
  <c r="E142" i="39" s="1"/>
  <c r="B143" i="39"/>
  <c r="E143" i="39" s="1"/>
  <c r="B144" i="39"/>
  <c r="E144" i="39" s="1"/>
  <c r="E145" i="39"/>
  <c r="B146" i="39"/>
  <c r="E146" i="39" s="1"/>
  <c r="B147" i="39"/>
  <c r="E147" i="39" s="1"/>
  <c r="B148" i="39"/>
  <c r="E148" i="39" s="1"/>
  <c r="B149" i="39"/>
  <c r="E149" i="39" s="1"/>
  <c r="B150" i="39"/>
  <c r="E150" i="39"/>
  <c r="B151" i="39"/>
  <c r="E151" i="39" s="1"/>
  <c r="B152" i="39"/>
  <c r="E152" i="39" s="1"/>
  <c r="B153" i="39"/>
  <c r="E153" i="39" s="1"/>
  <c r="B154" i="39"/>
  <c r="E154" i="39"/>
  <c r="B155" i="39"/>
  <c r="E155" i="39"/>
  <c r="B156" i="39"/>
  <c r="E156" i="39" s="1"/>
  <c r="B157" i="39"/>
  <c r="E157" i="39" s="1"/>
  <c r="B158" i="39"/>
  <c r="E158" i="39" s="1"/>
  <c r="B159" i="39"/>
  <c r="E159" i="39" s="1"/>
  <c r="B160" i="39"/>
  <c r="E160" i="39" s="1"/>
  <c r="B161" i="39"/>
  <c r="E161" i="39" s="1"/>
  <c r="B162" i="39"/>
  <c r="E162" i="39" s="1"/>
  <c r="B163" i="39"/>
  <c r="E163" i="39" s="1"/>
  <c r="B164" i="39"/>
  <c r="E164" i="39" s="1"/>
  <c r="B165" i="39"/>
  <c r="E165" i="39" s="1"/>
  <c r="B166" i="39"/>
  <c r="E166" i="39" s="1"/>
  <c r="B167" i="39"/>
  <c r="E167" i="39"/>
  <c r="E8" i="40"/>
  <c r="B9" i="40"/>
  <c r="E9" i="40"/>
  <c r="E10" i="40"/>
  <c r="E11" i="40"/>
  <c r="B12" i="40"/>
  <c r="E12" i="40"/>
  <c r="B13" i="40"/>
  <c r="E13" i="40"/>
  <c r="B14" i="40"/>
  <c r="E14" i="40"/>
  <c r="B15" i="40"/>
  <c r="E15" i="40"/>
  <c r="E16" i="40"/>
  <c r="E17" i="40"/>
  <c r="E18" i="40"/>
  <c r="B19" i="40"/>
  <c r="E19" i="40"/>
  <c r="B20" i="40"/>
  <c r="E20" i="40"/>
  <c r="E21" i="40"/>
  <c r="E22" i="40"/>
  <c r="B23" i="40"/>
  <c r="E23" i="40"/>
  <c r="B24" i="40"/>
  <c r="E24" i="40"/>
  <c r="B25" i="40"/>
  <c r="E25" i="40"/>
  <c r="B26" i="40"/>
  <c r="E26" i="40"/>
  <c r="E27" i="40"/>
  <c r="B28" i="40"/>
  <c r="E28" i="40"/>
  <c r="E29" i="40"/>
  <c r="E30" i="40"/>
  <c r="E31" i="40"/>
  <c r="E32" i="40"/>
  <c r="E33" i="40"/>
  <c r="B34" i="40"/>
  <c r="E34" i="40"/>
  <c r="B35" i="40"/>
  <c r="E35" i="40"/>
  <c r="B36" i="40"/>
  <c r="E36" i="40"/>
  <c r="B37" i="40"/>
  <c r="E37" i="40"/>
  <c r="B38" i="40"/>
  <c r="E38" i="40"/>
  <c r="E39" i="40"/>
  <c r="E40" i="40"/>
  <c r="E41" i="40"/>
  <c r="B42" i="40"/>
  <c r="E42" i="40" s="1"/>
  <c r="B48" i="40"/>
  <c r="E48" i="40" s="1"/>
  <c r="B49" i="40"/>
  <c r="E49" i="40" s="1"/>
  <c r="B51" i="40"/>
  <c r="E51" i="40" s="1"/>
  <c r="E53" i="40"/>
  <c r="E54" i="40"/>
  <c r="E55" i="40"/>
  <c r="E56" i="40"/>
  <c r="B57" i="40"/>
  <c r="E57" i="40"/>
  <c r="B58" i="40"/>
  <c r="E58" i="40"/>
  <c r="B59" i="40"/>
  <c r="E59" i="40"/>
  <c r="B60" i="40"/>
  <c r="E60" i="40"/>
  <c r="E61" i="40"/>
  <c r="E62" i="40"/>
  <c r="E63" i="40"/>
  <c r="E64" i="40"/>
  <c r="B65" i="40"/>
  <c r="E65" i="40"/>
  <c r="B66" i="40"/>
  <c r="E66" i="40"/>
  <c r="B67" i="40"/>
  <c r="E67" i="40"/>
  <c r="B68" i="40"/>
  <c r="E68" i="40"/>
  <c r="E69" i="40"/>
  <c r="E70" i="40"/>
  <c r="E71" i="40"/>
  <c r="E72" i="40"/>
  <c r="B73" i="40"/>
  <c r="E73" i="40"/>
  <c r="B74" i="40"/>
  <c r="E74" i="40"/>
  <c r="B75" i="40"/>
  <c r="E75" i="40"/>
  <c r="B76" i="40"/>
  <c r="E76" i="40"/>
  <c r="E77" i="40"/>
  <c r="E78" i="40"/>
  <c r="E79" i="40"/>
  <c r="E80" i="40"/>
  <c r="B81" i="40"/>
  <c r="E81" i="40"/>
  <c r="B82" i="40"/>
  <c r="E82" i="40"/>
  <c r="B83" i="40"/>
  <c r="E83" i="40"/>
  <c r="B84" i="40"/>
  <c r="E84" i="40"/>
  <c r="E85" i="40"/>
  <c r="E86" i="40"/>
  <c r="E87" i="40"/>
  <c r="E88" i="40"/>
  <c r="B89" i="40"/>
  <c r="E89" i="40"/>
  <c r="B90" i="40"/>
  <c r="E90" i="40"/>
  <c r="B91" i="40"/>
  <c r="E91" i="40"/>
  <c r="B92" i="40"/>
  <c r="E92" i="40"/>
  <c r="B19" i="29"/>
  <c r="B169" i="39"/>
  <c r="E169" i="39" s="1"/>
  <c r="B170" i="39"/>
  <c r="E170" i="39" s="1"/>
  <c r="B171" i="39"/>
  <c r="E171" i="39" s="1"/>
  <c r="F145" i="39"/>
  <c r="B176" i="39"/>
  <c r="B175" i="39"/>
  <c r="E175" i="39" s="1"/>
  <c r="B174" i="39"/>
  <c r="E174" i="39" s="1"/>
  <c r="B173" i="39"/>
  <c r="E173" i="39" s="1"/>
  <c r="B172" i="39"/>
  <c r="E172" i="39" s="1"/>
  <c r="B38" i="30"/>
  <c r="B37" i="30"/>
  <c r="B31" i="32"/>
  <c r="B32" i="32"/>
  <c r="B40" i="29"/>
  <c r="B39" i="29"/>
  <c r="B40" i="33"/>
  <c r="B39" i="33"/>
  <c r="B40" i="28"/>
  <c r="E40" i="28" s="1"/>
  <c r="B39" i="28"/>
  <c r="E40" i="27"/>
  <c r="B39" i="27"/>
  <c r="E39" i="27" s="1"/>
  <c r="B40" i="25"/>
  <c r="E40" i="25" s="1"/>
  <c r="B39" i="25"/>
  <c r="B36" i="30"/>
  <c r="B35" i="30"/>
  <c r="B38" i="29"/>
  <c r="B37" i="29"/>
  <c r="B38" i="33"/>
  <c r="B37" i="33"/>
  <c r="B38" i="28"/>
  <c r="E38" i="28" s="1"/>
  <c r="B37" i="28"/>
  <c r="B38" i="27"/>
  <c r="E38" i="27" s="1"/>
  <c r="B37" i="27"/>
  <c r="E37" i="27" s="1"/>
  <c r="B38" i="25"/>
  <c r="E38" i="25" s="1"/>
  <c r="B37" i="25"/>
  <c r="B36" i="25"/>
  <c r="B35" i="25"/>
  <c r="B7" i="25"/>
  <c r="B9" i="25"/>
  <c r="H9" i="25" s="1"/>
  <c r="B16" i="25"/>
  <c r="B18" i="25"/>
  <c r="B19" i="25"/>
  <c r="B21" i="25"/>
  <c r="B23" i="25"/>
  <c r="B34" i="25"/>
  <c r="B41" i="25"/>
  <c r="B42" i="25"/>
  <c r="B43" i="25"/>
  <c r="B50" i="25"/>
  <c r="B52" i="25"/>
  <c r="B56" i="25"/>
  <c r="B57" i="25"/>
  <c r="B8" i="25"/>
  <c r="B19" i="27"/>
  <c r="E19" i="27" s="1"/>
  <c r="B19" i="28"/>
  <c r="B19" i="33"/>
  <c r="H19" i="33"/>
  <c r="G19" i="33"/>
  <c r="B23" i="27"/>
  <c r="B23" i="28"/>
  <c r="B23" i="33"/>
  <c r="G23" i="33"/>
  <c r="B8" i="27"/>
  <c r="E8" i="27" s="1"/>
  <c r="B8" i="28"/>
  <c r="B8" i="33"/>
  <c r="H8" i="33"/>
  <c r="B7" i="27"/>
  <c r="E7" i="27" s="1"/>
  <c r="B7" i="28"/>
  <c r="B7" i="33"/>
  <c r="G7" i="33"/>
  <c r="B20" i="25"/>
  <c r="E20" i="25" s="1"/>
  <c r="B20" i="27"/>
  <c r="E20" i="27" s="1"/>
  <c r="B20" i="28"/>
  <c r="E20" i="28" s="1"/>
  <c r="B20" i="33"/>
  <c r="B20" i="29"/>
  <c r="E20" i="29" s="1"/>
  <c r="B24" i="25"/>
  <c r="B24" i="27"/>
  <c r="B24" i="28"/>
  <c r="B24" i="33"/>
  <c r="B24" i="29"/>
  <c r="H18" i="27"/>
  <c r="B18" i="28"/>
  <c r="H18" i="28" s="1"/>
  <c r="B18" i="33"/>
  <c r="B18" i="29"/>
  <c r="H18" i="29" s="1"/>
  <c r="E19" i="25"/>
  <c r="E20" i="33"/>
  <c r="E19" i="33"/>
  <c r="E19" i="29"/>
  <c r="B7" i="30"/>
  <c r="H7" i="30"/>
  <c r="B8" i="30"/>
  <c r="H8" i="30"/>
  <c r="B9" i="30"/>
  <c r="H9" i="30"/>
  <c r="B16" i="30"/>
  <c r="H16" i="30"/>
  <c r="B18" i="30"/>
  <c r="H18" i="30"/>
  <c r="B19" i="30"/>
  <c r="H19" i="30"/>
  <c r="B21" i="30"/>
  <c r="H21" i="30"/>
  <c r="B32" i="30"/>
  <c r="H32" i="30"/>
  <c r="B34" i="30"/>
  <c r="H34" i="30"/>
  <c r="B39" i="30"/>
  <c r="H39" i="30"/>
  <c r="B40" i="30"/>
  <c r="H40" i="30"/>
  <c r="B41" i="30"/>
  <c r="H41" i="30"/>
  <c r="B48" i="30"/>
  <c r="H48" i="30"/>
  <c r="B50" i="30"/>
  <c r="H50" i="30"/>
  <c r="B54" i="30"/>
  <c r="H54" i="30"/>
  <c r="B55" i="30"/>
  <c r="H55" i="30"/>
  <c r="H60" i="30"/>
  <c r="G7" i="30"/>
  <c r="G8" i="30"/>
  <c r="G16" i="30"/>
  <c r="G19" i="30"/>
  <c r="G21" i="30"/>
  <c r="G32" i="30"/>
  <c r="G34" i="30"/>
  <c r="G39" i="30"/>
  <c r="G40" i="30"/>
  <c r="G41" i="30"/>
  <c r="G48" i="30"/>
  <c r="G50" i="30"/>
  <c r="G54" i="30"/>
  <c r="G55" i="30"/>
  <c r="G60" i="30"/>
  <c r="B9" i="28"/>
  <c r="H9" i="28" s="1"/>
  <c r="B16" i="28"/>
  <c r="B21" i="28"/>
  <c r="B34" i="28"/>
  <c r="B36" i="28"/>
  <c r="B41" i="28"/>
  <c r="B42" i="28"/>
  <c r="B43" i="28"/>
  <c r="B50" i="28"/>
  <c r="B52" i="28"/>
  <c r="E52" i="28" s="1"/>
  <c r="B56" i="28"/>
  <c r="B57" i="28"/>
  <c r="H7" i="33"/>
  <c r="B9" i="33"/>
  <c r="H9" i="33"/>
  <c r="B16" i="33"/>
  <c r="H16" i="33"/>
  <c r="H18" i="33"/>
  <c r="B21" i="33"/>
  <c r="H21" i="33"/>
  <c r="H23" i="33"/>
  <c r="B34" i="33"/>
  <c r="H34" i="33"/>
  <c r="B36" i="33"/>
  <c r="H36" i="33"/>
  <c r="B41" i="33"/>
  <c r="H41" i="33"/>
  <c r="B42" i="33"/>
  <c r="H42" i="33"/>
  <c r="B43" i="33"/>
  <c r="H43" i="33"/>
  <c r="B50" i="33"/>
  <c r="H50" i="33"/>
  <c r="B52" i="33"/>
  <c r="H52" i="33"/>
  <c r="B56" i="33"/>
  <c r="H56" i="33"/>
  <c r="B57" i="33"/>
  <c r="H57" i="33"/>
  <c r="H62" i="33"/>
  <c r="G8" i="33"/>
  <c r="G16" i="33"/>
  <c r="G21" i="33"/>
  <c r="G34" i="33"/>
  <c r="G36" i="33"/>
  <c r="G41" i="33"/>
  <c r="G42" i="33"/>
  <c r="G43" i="33"/>
  <c r="G50" i="33"/>
  <c r="G52" i="33"/>
  <c r="G56" i="33"/>
  <c r="G57" i="33"/>
  <c r="G62" i="33"/>
  <c r="B7" i="32"/>
  <c r="B8" i="32"/>
  <c r="B9" i="32"/>
  <c r="B16" i="32"/>
  <c r="B18" i="32"/>
  <c r="H18" i="32" s="1"/>
  <c r="B19" i="32"/>
  <c r="B21" i="32"/>
  <c r="B26" i="32"/>
  <c r="B28" i="32"/>
  <c r="B9" i="27"/>
  <c r="H9" i="27" s="1"/>
  <c r="B9" i="29"/>
  <c r="H9" i="29" s="1"/>
  <c r="B16" i="27"/>
  <c r="B21" i="27"/>
  <c r="E21" i="27" s="1"/>
  <c r="B34" i="27"/>
  <c r="E34" i="27" s="1"/>
  <c r="B36" i="27"/>
  <c r="E36" i="27" s="1"/>
  <c r="B41" i="27"/>
  <c r="B42" i="27"/>
  <c r="E42" i="27" s="1"/>
  <c r="B43" i="27"/>
  <c r="B50" i="27"/>
  <c r="E50" i="27" s="1"/>
  <c r="B52" i="27"/>
  <c r="E52" i="27" s="1"/>
  <c r="B56" i="27"/>
  <c r="E56" i="27" s="1"/>
  <c r="B57" i="27"/>
  <c r="E57" i="27" s="1"/>
  <c r="B7" i="29"/>
  <c r="B16" i="29"/>
  <c r="B21" i="29"/>
  <c r="B23" i="29"/>
  <c r="B34" i="29"/>
  <c r="B36" i="29"/>
  <c r="B41" i="29"/>
  <c r="B42" i="29"/>
  <c r="B43" i="29"/>
  <c r="B50" i="29"/>
  <c r="B52" i="29"/>
  <c r="B56" i="29"/>
  <c r="B57" i="29"/>
  <c r="B8" i="29"/>
  <c r="B34" i="32"/>
  <c r="E34" i="32" s="1"/>
  <c r="B39" i="32"/>
  <c r="B40" i="32"/>
  <c r="B41" i="32"/>
  <c r="B48" i="32"/>
  <c r="E176" i="39"/>
  <c r="B46" i="32"/>
  <c r="E46" i="32"/>
  <c r="B45" i="32"/>
  <c r="E45" i="32"/>
  <c r="B30" i="32"/>
  <c r="E30" i="32" s="1"/>
  <c r="B29" i="32"/>
  <c r="E29" i="32" s="1"/>
  <c r="B53" i="30"/>
  <c r="E53" i="30"/>
  <c r="B52" i="30"/>
  <c r="E52" i="30"/>
  <c r="E36" i="30"/>
  <c r="E35" i="30"/>
  <c r="B45" i="29"/>
  <c r="E45" i="29"/>
  <c r="B32" i="29"/>
  <c r="E32" i="29"/>
  <c r="E38" i="29"/>
  <c r="E37" i="29"/>
  <c r="B55" i="29"/>
  <c r="E55" i="29"/>
  <c r="B54" i="29"/>
  <c r="E54" i="29" s="1"/>
  <c r="B55" i="25"/>
  <c r="E55" i="25" s="1"/>
  <c r="B54" i="25"/>
  <c r="E54" i="25" s="1"/>
  <c r="B55" i="27"/>
  <c r="E55" i="27" s="1"/>
  <c r="B54" i="27"/>
  <c r="E54" i="27" s="1"/>
  <c r="B55" i="28"/>
  <c r="E55" i="28" s="1"/>
  <c r="B54" i="28"/>
  <c r="E54" i="28" s="1"/>
  <c r="B45" i="25"/>
  <c r="E45" i="25" s="1"/>
  <c r="B45" i="27"/>
  <c r="E45" i="27" s="1"/>
  <c r="B45" i="28"/>
  <c r="E45" i="28" s="1"/>
  <c r="E37" i="25"/>
  <c r="E37" i="28"/>
  <c r="B22" i="30"/>
  <c r="B26" i="30"/>
  <c r="B28" i="29"/>
  <c r="B28" i="33"/>
  <c r="B44" i="28"/>
  <c r="B35" i="28"/>
  <c r="B33" i="28"/>
  <c r="B32" i="28"/>
  <c r="B31" i="28"/>
  <c r="E31" i="28" s="1"/>
  <c r="B30" i="28"/>
  <c r="B29" i="28"/>
  <c r="E29" i="28" s="1"/>
  <c r="B28" i="28"/>
  <c r="B44" i="27"/>
  <c r="B35" i="27"/>
  <c r="E35" i="27" s="1"/>
  <c r="B33" i="27"/>
  <c r="E33" i="27" s="1"/>
  <c r="B32" i="27"/>
  <c r="E32" i="27" s="1"/>
  <c r="B31" i="27"/>
  <c r="E31" i="27" s="1"/>
  <c r="B30" i="27"/>
  <c r="E30" i="27" s="1"/>
  <c r="B29" i="27"/>
  <c r="E29" i="27" s="1"/>
  <c r="B28" i="27"/>
  <c r="E28" i="27" s="1"/>
  <c r="B44" i="25"/>
  <c r="B33" i="25"/>
  <c r="B32" i="25"/>
  <c r="B31" i="25"/>
  <c r="B30" i="25"/>
  <c r="B29" i="25"/>
  <c r="E29" i="25" s="1"/>
  <c r="B28" i="25"/>
  <c r="F85" i="40"/>
  <c r="F77" i="40"/>
  <c r="F69" i="40"/>
  <c r="F61" i="40"/>
  <c r="F53" i="40"/>
  <c r="F40" i="40"/>
  <c r="F30" i="40"/>
  <c r="F17" i="40"/>
  <c r="F7" i="40"/>
  <c r="F93" i="40"/>
  <c r="F7" i="39"/>
  <c r="F30" i="39"/>
  <c r="F53" i="39"/>
  <c r="F76" i="39"/>
  <c r="F99" i="39"/>
  <c r="F122" i="39"/>
  <c r="F168" i="39"/>
  <c r="E168" i="39"/>
  <c r="B47" i="40"/>
  <c r="B46" i="40"/>
  <c r="B43" i="40"/>
  <c r="E7" i="40"/>
  <c r="B44" i="32"/>
  <c r="B35" i="32"/>
  <c r="B27" i="32"/>
  <c r="B25" i="32"/>
  <c r="B24" i="32"/>
  <c r="B22" i="32"/>
  <c r="B17" i="32"/>
  <c r="B11" i="32"/>
  <c r="B10" i="32"/>
  <c r="B51" i="30"/>
  <c r="B47" i="30"/>
  <c r="B46" i="30"/>
  <c r="B45" i="30"/>
  <c r="B24" i="30"/>
  <c r="B17" i="30"/>
  <c r="B55" i="33"/>
  <c r="B54" i="33"/>
  <c r="B53" i="33"/>
  <c r="B49" i="33"/>
  <c r="B48" i="33"/>
  <c r="B26" i="33"/>
  <c r="B17" i="33"/>
  <c r="B61" i="29"/>
  <c r="B60" i="29"/>
  <c r="H60" i="29" s="1"/>
  <c r="B59" i="29"/>
  <c r="B58" i="29"/>
  <c r="H58" i="29" s="1"/>
  <c r="B53" i="29"/>
  <c r="B51" i="29"/>
  <c r="B49" i="29"/>
  <c r="E49" i="29" s="1"/>
  <c r="B48" i="29"/>
  <c r="B47" i="29"/>
  <c r="E47" i="29" s="1"/>
  <c r="B46" i="29"/>
  <c r="B44" i="29"/>
  <c r="B35" i="29"/>
  <c r="B33" i="29"/>
  <c r="B61" i="28"/>
  <c r="E61" i="28" s="1"/>
  <c r="B60" i="28"/>
  <c r="H60" i="28" s="1"/>
  <c r="B59" i="28"/>
  <c r="B58" i="28"/>
  <c r="H58" i="28" s="1"/>
  <c r="B53" i="28"/>
  <c r="B51" i="28"/>
  <c r="E51" i="28" s="1"/>
  <c r="B49" i="28"/>
  <c r="E49" i="28" s="1"/>
  <c r="B48" i="28"/>
  <c r="E48" i="28" s="1"/>
  <c r="B47" i="28"/>
  <c r="B46" i="28"/>
  <c r="E46" i="28" s="1"/>
  <c r="B61" i="27"/>
  <c r="B60" i="27"/>
  <c r="H60" i="27" s="1"/>
  <c r="B59" i="27"/>
  <c r="B58" i="27"/>
  <c r="H58" i="27" s="1"/>
  <c r="B53" i="27"/>
  <c r="E53" i="27" s="1"/>
  <c r="B51" i="27"/>
  <c r="B49" i="27"/>
  <c r="E49" i="27" s="1"/>
  <c r="B48" i="27"/>
  <c r="E48" i="27" s="1"/>
  <c r="B47" i="27"/>
  <c r="B46" i="27"/>
  <c r="B61" i="25"/>
  <c r="B60" i="25"/>
  <c r="H60" i="25" s="1"/>
  <c r="B59" i="25"/>
  <c r="B58" i="25"/>
  <c r="B53" i="25"/>
  <c r="B51" i="25"/>
  <c r="B49" i="25"/>
  <c r="B48" i="25"/>
  <c r="B47" i="25"/>
  <c r="B46" i="25"/>
  <c r="B10" i="30"/>
  <c r="B11" i="30"/>
  <c r="B12" i="30"/>
  <c r="B13" i="30"/>
  <c r="B14" i="30"/>
  <c r="B15" i="30"/>
  <c r="B20" i="30"/>
  <c r="B23" i="30"/>
  <c r="B25" i="30"/>
  <c r="B27" i="30"/>
  <c r="B28" i="30"/>
  <c r="B29" i="30"/>
  <c r="B30" i="30"/>
  <c r="B31" i="29"/>
  <c r="E31" i="29" s="1"/>
  <c r="B30" i="29"/>
  <c r="B29" i="29"/>
  <c r="B27" i="29"/>
  <c r="B26" i="29"/>
  <c r="B25" i="29"/>
  <c r="B22" i="29"/>
  <c r="B17" i="29"/>
  <c r="E17" i="29" s="1"/>
  <c r="B15" i="29"/>
  <c r="B14" i="29"/>
  <c r="B13" i="29"/>
  <c r="B12" i="29"/>
  <c r="B11" i="29"/>
  <c r="B10" i="29"/>
  <c r="B10" i="33"/>
  <c r="B11" i="33"/>
  <c r="B12" i="33"/>
  <c r="B13" i="33"/>
  <c r="B14" i="33"/>
  <c r="B15" i="33"/>
  <c r="B22" i="33"/>
  <c r="B25" i="33"/>
  <c r="B27" i="33"/>
  <c r="B29" i="33"/>
  <c r="B30" i="33"/>
  <c r="B31" i="33"/>
  <c r="B32" i="33"/>
  <c r="B27" i="28"/>
  <c r="B26" i="28"/>
  <c r="B25" i="28"/>
  <c r="E25" i="28" s="1"/>
  <c r="B22" i="28"/>
  <c r="E22" i="28" s="1"/>
  <c r="B17" i="28"/>
  <c r="B15" i="28"/>
  <c r="B14" i="28"/>
  <c r="B13" i="28"/>
  <c r="E13" i="28" s="1"/>
  <c r="B12" i="28"/>
  <c r="E12" i="28" s="1"/>
  <c r="B11" i="28"/>
  <c r="E11" i="28" s="1"/>
  <c r="B10" i="28"/>
  <c r="B27" i="27"/>
  <c r="E27" i="27" s="1"/>
  <c r="B26" i="27"/>
  <c r="E26" i="27" s="1"/>
  <c r="B25" i="27"/>
  <c r="E25" i="27" s="1"/>
  <c r="B22" i="27"/>
  <c r="E22" i="27" s="1"/>
  <c r="B17" i="27"/>
  <c r="E17" i="27" s="1"/>
  <c r="B15" i="27"/>
  <c r="E15" i="27" s="1"/>
  <c r="B14" i="27"/>
  <c r="E14" i="27" s="1"/>
  <c r="B13" i="27"/>
  <c r="E13" i="27" s="1"/>
  <c r="B12" i="27"/>
  <c r="E12" i="27" s="1"/>
  <c r="B11" i="27"/>
  <c r="E11" i="27" s="1"/>
  <c r="B10" i="27"/>
  <c r="E10" i="27" s="1"/>
  <c r="B27" i="25"/>
  <c r="B26" i="25"/>
  <c r="B25" i="25"/>
  <c r="E25" i="25" s="1"/>
  <c r="B22" i="25"/>
  <c r="E22" i="25" s="1"/>
  <c r="B17" i="25"/>
  <c r="B15" i="25"/>
  <c r="B14" i="25"/>
  <c r="B13" i="25"/>
  <c r="B12" i="25"/>
  <c r="B11" i="25"/>
  <c r="B10" i="25"/>
  <c r="E7" i="39"/>
  <c r="S25" i="12"/>
  <c r="Q25" i="12"/>
  <c r="P25" i="12"/>
  <c r="M25" i="12"/>
  <c r="K25" i="12"/>
  <c r="J25" i="12"/>
  <c r="I25" i="12"/>
  <c r="H25" i="12"/>
  <c r="G25" i="12"/>
  <c r="F25" i="12"/>
  <c r="E25" i="12"/>
  <c r="S24" i="12"/>
  <c r="R24" i="12"/>
  <c r="Q24" i="12"/>
  <c r="P24" i="12"/>
  <c r="O24" i="12"/>
  <c r="N24" i="12"/>
  <c r="M24" i="12"/>
  <c r="L24" i="12"/>
  <c r="K24" i="12"/>
  <c r="J24" i="12"/>
  <c r="I24" i="12"/>
  <c r="H24" i="12"/>
  <c r="G24" i="12"/>
  <c r="F24" i="12"/>
  <c r="E24" i="12"/>
  <c r="S23" i="12"/>
  <c r="R23" i="12"/>
  <c r="Q23" i="12"/>
  <c r="P23" i="12"/>
  <c r="O23" i="12"/>
  <c r="N23" i="12"/>
  <c r="M23" i="12"/>
  <c r="L23" i="12"/>
  <c r="K23" i="12"/>
  <c r="J23" i="12"/>
  <c r="I23" i="12"/>
  <c r="H23" i="12"/>
  <c r="G23" i="12"/>
  <c r="F23" i="12"/>
  <c r="E23" i="12"/>
  <c r="S22" i="12"/>
  <c r="R22" i="12"/>
  <c r="Q22" i="12"/>
  <c r="P22" i="12"/>
  <c r="O22" i="12"/>
  <c r="N22" i="12"/>
  <c r="M22" i="12"/>
  <c r="L22" i="12"/>
  <c r="K22" i="12"/>
  <c r="J22" i="12"/>
  <c r="I22" i="12"/>
  <c r="H22" i="12"/>
  <c r="G22" i="12"/>
  <c r="F22" i="12"/>
  <c r="E22" i="12"/>
  <c r="S21" i="12"/>
  <c r="R21" i="12"/>
  <c r="Q21" i="12"/>
  <c r="P21" i="12"/>
  <c r="O21" i="12"/>
  <c r="N21" i="12"/>
  <c r="M21" i="12"/>
  <c r="L21" i="12"/>
  <c r="K21" i="12"/>
  <c r="J21" i="12"/>
  <c r="I21" i="12"/>
  <c r="H21" i="12"/>
  <c r="G21" i="12"/>
  <c r="F21" i="12"/>
  <c r="E21" i="12"/>
  <c r="Q10" i="12"/>
  <c r="R8" i="12"/>
  <c r="Q8" i="12"/>
  <c r="E8" i="12"/>
  <c r="S20" i="12"/>
  <c r="R20" i="12"/>
  <c r="Q20" i="12"/>
  <c r="P20" i="12"/>
  <c r="O20" i="12"/>
  <c r="N20" i="12"/>
  <c r="M20" i="12"/>
  <c r="L20" i="12"/>
  <c r="K20" i="12"/>
  <c r="J20" i="12"/>
  <c r="I20" i="12"/>
  <c r="H20" i="12"/>
  <c r="G20" i="12"/>
  <c r="F20" i="12"/>
  <c r="E20" i="12"/>
  <c r="F17" i="12"/>
  <c r="E7" i="33"/>
  <c r="E8" i="33"/>
  <c r="E9" i="33"/>
  <c r="E10" i="33"/>
  <c r="E11" i="33"/>
  <c r="E12" i="33"/>
  <c r="E13" i="33"/>
  <c r="E14" i="33"/>
  <c r="E15" i="33"/>
  <c r="E16" i="33"/>
  <c r="E17" i="33"/>
  <c r="E18" i="33"/>
  <c r="E21" i="33"/>
  <c r="E22" i="33"/>
  <c r="E23" i="33"/>
  <c r="E24" i="33"/>
  <c r="E25" i="33"/>
  <c r="E26" i="33"/>
  <c r="E27" i="33"/>
  <c r="E28" i="33"/>
  <c r="E29" i="33"/>
  <c r="E30" i="33"/>
  <c r="E31" i="33"/>
  <c r="E32" i="33"/>
  <c r="B33" i="33"/>
  <c r="E33" i="33"/>
  <c r="E34" i="33"/>
  <c r="B35" i="33"/>
  <c r="E35" i="33"/>
  <c r="E36" i="33"/>
  <c r="E37" i="33"/>
  <c r="E38" i="33"/>
  <c r="E39" i="33"/>
  <c r="E40" i="33"/>
  <c r="E41" i="33"/>
  <c r="E42" i="33"/>
  <c r="E43" i="33"/>
  <c r="B44" i="33"/>
  <c r="E44" i="33"/>
  <c r="B45" i="33"/>
  <c r="E45" i="33"/>
  <c r="B46" i="33"/>
  <c r="E46" i="33"/>
  <c r="B47" i="33"/>
  <c r="E47" i="33"/>
  <c r="E48" i="33"/>
  <c r="E49" i="33"/>
  <c r="E50" i="33"/>
  <c r="B51" i="33"/>
  <c r="E51" i="33"/>
  <c r="E52" i="33"/>
  <c r="E53" i="33"/>
  <c r="E54" i="33"/>
  <c r="E55" i="33"/>
  <c r="E56" i="33"/>
  <c r="E57" i="33"/>
  <c r="B58" i="33"/>
  <c r="E58" i="33"/>
  <c r="B59" i="33"/>
  <c r="E59" i="33"/>
  <c r="B60" i="33"/>
  <c r="E60" i="33"/>
  <c r="B61" i="33"/>
  <c r="E61" i="33"/>
  <c r="B17" i="12"/>
  <c r="S17" i="12"/>
  <c r="R17" i="12"/>
  <c r="Q17" i="12"/>
  <c r="P17" i="12"/>
  <c r="O17" i="12"/>
  <c r="N17" i="12"/>
  <c r="M17" i="12"/>
  <c r="L17" i="12"/>
  <c r="K17" i="12"/>
  <c r="J17" i="12"/>
  <c r="I17" i="12"/>
  <c r="H17" i="12"/>
  <c r="G17" i="12"/>
  <c r="E17" i="12"/>
  <c r="B36" i="32"/>
  <c r="B42" i="30"/>
  <c r="B33" i="30"/>
  <c r="B31" i="30"/>
  <c r="B23" i="32"/>
  <c r="E7" i="32"/>
  <c r="B14" i="32"/>
  <c r="E14" i="32" s="1"/>
  <c r="E16" i="32"/>
  <c r="E17" i="32"/>
  <c r="E18" i="32"/>
  <c r="E19" i="32"/>
  <c r="B20" i="32"/>
  <c r="E20" i="32"/>
  <c r="E21" i="32"/>
  <c r="E22" i="32"/>
  <c r="E23" i="32"/>
  <c r="E24" i="32"/>
  <c r="E25" i="32"/>
  <c r="E26" i="32"/>
  <c r="E27" i="32"/>
  <c r="E31" i="32"/>
  <c r="E32" i="32"/>
  <c r="B33" i="32"/>
  <c r="E33" i="32"/>
  <c r="E35" i="32"/>
  <c r="B38" i="32"/>
  <c r="E38" i="32" s="1"/>
  <c r="E39" i="32"/>
  <c r="E40" i="32"/>
  <c r="E41" i="32"/>
  <c r="B43" i="32"/>
  <c r="E44" i="32"/>
  <c r="E10" i="32"/>
  <c r="E11" i="32"/>
  <c r="B12" i="32"/>
  <c r="E12" i="32" s="1"/>
  <c r="B13" i="32"/>
  <c r="E13" i="32" s="1"/>
  <c r="B47" i="32"/>
  <c r="E48" i="32"/>
  <c r="E8" i="32"/>
  <c r="B15" i="32"/>
  <c r="E15" i="32"/>
  <c r="E36" i="32"/>
  <c r="B37" i="32"/>
  <c r="E37" i="32" s="1"/>
  <c r="B42" i="32"/>
  <c r="E42" i="32"/>
  <c r="B49" i="32"/>
  <c r="H49" i="32" s="1"/>
  <c r="E49" i="32"/>
  <c r="B50" i="32"/>
  <c r="B51" i="32"/>
  <c r="B52" i="32"/>
  <c r="E52" i="32"/>
  <c r="S19" i="12"/>
  <c r="R19" i="12"/>
  <c r="Q19" i="12"/>
  <c r="P19" i="12"/>
  <c r="O19" i="12"/>
  <c r="N19" i="12"/>
  <c r="M19" i="12"/>
  <c r="L19" i="12"/>
  <c r="K19" i="12"/>
  <c r="J19" i="12"/>
  <c r="I19" i="12"/>
  <c r="H19" i="12"/>
  <c r="G19" i="12"/>
  <c r="F19" i="12"/>
  <c r="E19" i="12"/>
  <c r="E18" i="30"/>
  <c r="E19" i="30"/>
  <c r="E10" i="30"/>
  <c r="E7" i="30"/>
  <c r="E8" i="30"/>
  <c r="E9" i="30"/>
  <c r="E14" i="30"/>
  <c r="E15" i="30"/>
  <c r="E16" i="30"/>
  <c r="E17" i="30"/>
  <c r="E20" i="30"/>
  <c r="E21" i="30"/>
  <c r="E22" i="30"/>
  <c r="E23" i="30"/>
  <c r="E24" i="30"/>
  <c r="E25" i="30"/>
  <c r="E26" i="30"/>
  <c r="E27" i="30"/>
  <c r="E28" i="30"/>
  <c r="E29" i="30"/>
  <c r="E30" i="30"/>
  <c r="E31" i="30"/>
  <c r="E32" i="30"/>
  <c r="E33" i="30"/>
  <c r="E34" i="30"/>
  <c r="E37" i="30"/>
  <c r="E38" i="30"/>
  <c r="E39" i="30"/>
  <c r="E40" i="30"/>
  <c r="E41" i="30"/>
  <c r="E42" i="30"/>
  <c r="B43" i="30"/>
  <c r="E43" i="30"/>
  <c r="B44" i="30"/>
  <c r="E44" i="30"/>
  <c r="E45" i="30"/>
  <c r="E46" i="30"/>
  <c r="E47" i="30"/>
  <c r="E48" i="30"/>
  <c r="B49" i="30"/>
  <c r="E49" i="30"/>
  <c r="E50" i="30"/>
  <c r="E51" i="30"/>
  <c r="E11" i="30"/>
  <c r="E12" i="30"/>
  <c r="E13" i="30"/>
  <c r="E54" i="30"/>
  <c r="E55" i="30"/>
  <c r="B56" i="30"/>
  <c r="E56" i="30"/>
  <c r="B57" i="30"/>
  <c r="E57" i="30"/>
  <c r="B58" i="30"/>
  <c r="E58" i="30"/>
  <c r="B59" i="30"/>
  <c r="E59" i="30"/>
  <c r="B19" i="12"/>
  <c r="S18" i="12"/>
  <c r="R18" i="12"/>
  <c r="Q18" i="12"/>
  <c r="P18" i="12"/>
  <c r="O18" i="12"/>
  <c r="N18" i="12"/>
  <c r="M18" i="12"/>
  <c r="L18" i="12"/>
  <c r="K18" i="12"/>
  <c r="J18" i="12"/>
  <c r="I18" i="12"/>
  <c r="H18" i="12"/>
  <c r="G18" i="12"/>
  <c r="F18" i="12"/>
  <c r="E18" i="12"/>
  <c r="E7" i="29"/>
  <c r="E8" i="29"/>
  <c r="E9" i="29"/>
  <c r="E14" i="29"/>
  <c r="E15" i="29"/>
  <c r="E16" i="29"/>
  <c r="E18" i="29"/>
  <c r="E21" i="29"/>
  <c r="E22" i="29"/>
  <c r="E23" i="29"/>
  <c r="E24" i="29"/>
  <c r="E25" i="29"/>
  <c r="E26" i="29"/>
  <c r="E27" i="29"/>
  <c r="E28" i="29"/>
  <c r="E29" i="29"/>
  <c r="E30" i="29"/>
  <c r="E33" i="29"/>
  <c r="E34" i="29"/>
  <c r="E35" i="29"/>
  <c r="E39" i="29"/>
  <c r="E40" i="29"/>
  <c r="E41" i="29"/>
  <c r="E42" i="29"/>
  <c r="E43" i="29"/>
  <c r="E44" i="29"/>
  <c r="E46" i="29"/>
  <c r="E48" i="29"/>
  <c r="E50" i="29"/>
  <c r="E51" i="29"/>
  <c r="E52" i="29"/>
  <c r="E53" i="29"/>
  <c r="E10" i="29"/>
  <c r="E11" i="29"/>
  <c r="E12" i="29"/>
  <c r="E13" i="29"/>
  <c r="E57" i="29"/>
  <c r="E58" i="29"/>
  <c r="E60" i="29"/>
  <c r="E61" i="29"/>
  <c r="S16" i="12"/>
  <c r="R16" i="12"/>
  <c r="Q16" i="12"/>
  <c r="P16" i="12"/>
  <c r="O16" i="12"/>
  <c r="N16" i="12"/>
  <c r="M16" i="12"/>
  <c r="L16" i="12"/>
  <c r="K16" i="12"/>
  <c r="J16" i="12"/>
  <c r="I16" i="12"/>
  <c r="H16" i="12"/>
  <c r="G16" i="12"/>
  <c r="F16" i="12"/>
  <c r="E16" i="12"/>
  <c r="E7" i="28"/>
  <c r="E9" i="28"/>
  <c r="E14" i="28"/>
  <c r="E15" i="28"/>
  <c r="E16" i="28"/>
  <c r="E17" i="28"/>
  <c r="E18" i="28"/>
  <c r="E21" i="28"/>
  <c r="E23" i="28"/>
  <c r="E24" i="28"/>
  <c r="E26" i="28"/>
  <c r="E27" i="28"/>
  <c r="E28" i="28"/>
  <c r="E30" i="28"/>
  <c r="E32" i="28"/>
  <c r="E33" i="28"/>
  <c r="E34" i="28"/>
  <c r="E35" i="28"/>
  <c r="E36" i="28"/>
  <c r="E39" i="28"/>
  <c r="E41" i="28"/>
  <c r="E42" i="28"/>
  <c r="E43" i="28"/>
  <c r="E47" i="28"/>
  <c r="E50" i="28"/>
  <c r="E53" i="28"/>
  <c r="E10" i="28"/>
  <c r="E56" i="28"/>
  <c r="E57" i="28"/>
  <c r="E58" i="28"/>
  <c r="E59" i="28"/>
  <c r="E60" i="28"/>
  <c r="G13" i="12"/>
  <c r="S15" i="12"/>
  <c r="R15" i="12"/>
  <c r="Q15" i="12"/>
  <c r="P15" i="12"/>
  <c r="O15" i="12"/>
  <c r="N15" i="12"/>
  <c r="M15" i="12"/>
  <c r="L15" i="12"/>
  <c r="K15" i="12"/>
  <c r="J15" i="12"/>
  <c r="I15" i="12"/>
  <c r="H15" i="12"/>
  <c r="G15" i="12"/>
  <c r="F13" i="12"/>
  <c r="F15" i="12"/>
  <c r="E15" i="12"/>
  <c r="E23" i="27"/>
  <c r="E24" i="27"/>
  <c r="E46" i="27"/>
  <c r="E47" i="27"/>
  <c r="E51" i="27"/>
  <c r="E61" i="27"/>
  <c r="S14" i="12"/>
  <c r="R14" i="12"/>
  <c r="Q14" i="12"/>
  <c r="P14" i="12"/>
  <c r="O14" i="12"/>
  <c r="N14" i="12"/>
  <c r="M14" i="12"/>
  <c r="L14" i="12"/>
  <c r="K14" i="12"/>
  <c r="J14" i="12"/>
  <c r="I14" i="12"/>
  <c r="H14" i="12"/>
  <c r="G14" i="12"/>
  <c r="F14" i="12"/>
  <c r="E12" i="12"/>
  <c r="E13" i="12"/>
  <c r="S13" i="12"/>
  <c r="R13" i="12"/>
  <c r="Q13" i="12"/>
  <c r="P13" i="12"/>
  <c r="O13" i="12"/>
  <c r="N13" i="12"/>
  <c r="M13" i="12"/>
  <c r="L13" i="12"/>
  <c r="K13" i="12"/>
  <c r="J13" i="12"/>
  <c r="I13" i="12"/>
  <c r="H13" i="12"/>
  <c r="E7" i="25"/>
  <c r="E9" i="25"/>
  <c r="E14" i="25"/>
  <c r="E16" i="25"/>
  <c r="E17" i="25"/>
  <c r="E21" i="25"/>
  <c r="E23" i="25"/>
  <c r="E26" i="25"/>
  <c r="E27" i="25"/>
  <c r="E30" i="25"/>
  <c r="E31" i="25"/>
  <c r="E32" i="25"/>
  <c r="E33" i="25"/>
  <c r="E34" i="25"/>
  <c r="E35" i="25"/>
  <c r="E36" i="25"/>
  <c r="E39" i="25"/>
  <c r="E41" i="25"/>
  <c r="E43" i="25"/>
  <c r="E47" i="25"/>
  <c r="E48" i="25"/>
  <c r="E49" i="25"/>
  <c r="E50" i="25"/>
  <c r="E52" i="25"/>
  <c r="E53" i="25"/>
  <c r="E10" i="25"/>
  <c r="E11" i="25"/>
  <c r="E12" i="25"/>
  <c r="E13" i="25"/>
  <c r="E56" i="25"/>
  <c r="E57" i="25"/>
  <c r="E15" i="25"/>
  <c r="E24" i="25"/>
  <c r="E28" i="25"/>
  <c r="E44" i="25"/>
  <c r="E46" i="25"/>
  <c r="E51" i="25"/>
  <c r="E60" i="25"/>
  <c r="E61" i="25"/>
  <c r="F10" i="12"/>
  <c r="F11" i="12"/>
  <c r="F12" i="12"/>
  <c r="S12" i="12"/>
  <c r="R12" i="12"/>
  <c r="Q12" i="12"/>
  <c r="P12" i="12"/>
  <c r="O12" i="12"/>
  <c r="N12" i="12"/>
  <c r="M12" i="12"/>
  <c r="L12" i="12"/>
  <c r="K12" i="12"/>
  <c r="J12" i="12"/>
  <c r="I12" i="12"/>
  <c r="H12" i="12"/>
  <c r="G12" i="12"/>
  <c r="S11" i="12"/>
  <c r="R11" i="12"/>
  <c r="Q11" i="12"/>
  <c r="P11" i="12"/>
  <c r="O11" i="12"/>
  <c r="N11" i="12"/>
  <c r="M11" i="12"/>
  <c r="L11" i="12"/>
  <c r="K11" i="12"/>
  <c r="J11" i="12"/>
  <c r="I11" i="12"/>
  <c r="H11" i="12"/>
  <c r="G11" i="12"/>
  <c r="E11" i="12"/>
  <c r="S10" i="12"/>
  <c r="R10" i="12"/>
  <c r="P10" i="12"/>
  <c r="O10" i="12"/>
  <c r="N10" i="12"/>
  <c r="M10" i="12"/>
  <c r="L10" i="12"/>
  <c r="K10" i="12"/>
  <c r="J10" i="12"/>
  <c r="J8" i="12"/>
  <c r="I10" i="12"/>
  <c r="H10" i="12"/>
  <c r="F8" i="12"/>
  <c r="G10" i="12"/>
  <c r="E10" i="12"/>
  <c r="S8" i="12"/>
  <c r="P8" i="12"/>
  <c r="O8" i="12"/>
  <c r="N8" i="12"/>
  <c r="M8" i="12"/>
  <c r="L8" i="12"/>
  <c r="K8" i="12"/>
  <c r="I8" i="12"/>
  <c r="H8" i="12"/>
  <c r="G8" i="12"/>
  <c r="E51" i="32" l="1"/>
  <c r="H51" i="32"/>
  <c r="E50" i="32"/>
  <c r="H50" i="32"/>
  <c r="G50" i="32"/>
  <c r="H15" i="32"/>
  <c r="G15" i="32"/>
  <c r="E47" i="32"/>
  <c r="H47" i="32"/>
  <c r="G47" i="32"/>
  <c r="E43" i="32"/>
  <c r="H43" i="32"/>
  <c r="G43" i="32"/>
  <c r="H33" i="32"/>
  <c r="G33" i="32"/>
  <c r="H20" i="32"/>
  <c r="G20" i="32"/>
  <c r="H36" i="32"/>
  <c r="G36" i="32"/>
  <c r="H15" i="29"/>
  <c r="G15" i="29"/>
  <c r="H25" i="29"/>
  <c r="G25" i="29"/>
  <c r="H44" i="29"/>
  <c r="G44" i="29"/>
  <c r="E59" i="29"/>
  <c r="H59" i="29"/>
  <c r="G59" i="29"/>
  <c r="H35" i="32"/>
  <c r="G35" i="32"/>
  <c r="H48" i="32"/>
  <c r="G48" i="32"/>
  <c r="H41" i="32"/>
  <c r="G41" i="32"/>
  <c r="H57" i="29"/>
  <c r="G57" i="29"/>
  <c r="H56" i="29"/>
  <c r="G56" i="29"/>
  <c r="H52" i="29"/>
  <c r="G52" i="29"/>
  <c r="H50" i="29"/>
  <c r="G50" i="29"/>
  <c r="H43" i="29"/>
  <c r="G43" i="29"/>
  <c r="H41" i="29"/>
  <c r="G41" i="29"/>
  <c r="H36" i="29"/>
  <c r="G36" i="29"/>
  <c r="H34" i="29"/>
  <c r="G34" i="29"/>
  <c r="H21" i="29"/>
  <c r="G21" i="29"/>
  <c r="H16" i="29"/>
  <c r="G16" i="29"/>
  <c r="H7" i="29"/>
  <c r="G7" i="29"/>
  <c r="E28" i="32"/>
  <c r="H28" i="32"/>
  <c r="G28" i="32"/>
  <c r="H26" i="32"/>
  <c r="G26" i="32"/>
  <c r="H16" i="32"/>
  <c r="G16" i="32"/>
  <c r="E9" i="32"/>
  <c r="H9" i="32"/>
  <c r="H8" i="32"/>
  <c r="G8" i="32"/>
  <c r="H7" i="32"/>
  <c r="G7" i="32"/>
  <c r="H31" i="32"/>
  <c r="G31" i="32"/>
  <c r="H19" i="29"/>
  <c r="G19" i="29"/>
  <c r="F177" i="39"/>
  <c r="D26" i="12" s="1"/>
  <c r="E60" i="27"/>
  <c r="E58" i="27"/>
  <c r="B24" i="12"/>
  <c r="E9" i="27"/>
  <c r="B23" i="12"/>
  <c r="C51" i="6"/>
  <c r="B2" i="6" s="1"/>
  <c r="I3" i="12" s="1"/>
  <c r="C136" i="1"/>
  <c r="B2" i="1" s="1"/>
  <c r="D3" i="12" s="1"/>
  <c r="B22" i="12"/>
  <c r="B25" i="12"/>
  <c r="E21" i="17"/>
  <c r="E50" i="17"/>
  <c r="E52" i="40"/>
  <c r="E93" i="40" s="1"/>
  <c r="B27" i="12" s="1"/>
  <c r="E58" i="26"/>
  <c r="E59" i="24"/>
  <c r="E49" i="24"/>
  <c r="E18" i="24"/>
  <c r="E19" i="24"/>
  <c r="E60" i="23"/>
  <c r="E56" i="23"/>
  <c r="E42" i="23"/>
  <c r="E25" i="23"/>
  <c r="E16" i="23"/>
  <c r="E8" i="23"/>
  <c r="E57" i="23"/>
  <c r="E18" i="23"/>
  <c r="E44" i="23"/>
  <c r="E43" i="23"/>
  <c r="E177" i="39"/>
  <c r="B26" i="12" s="1"/>
  <c r="B20" i="12"/>
  <c r="E56" i="29"/>
  <c r="E36" i="29"/>
  <c r="B18" i="12" s="1"/>
  <c r="H19" i="28"/>
  <c r="G19" i="28"/>
  <c r="H50" i="28"/>
  <c r="G50" i="28"/>
  <c r="G24" i="28"/>
  <c r="H24" i="28"/>
  <c r="H43" i="28"/>
  <c r="G43" i="28"/>
  <c r="G8" i="28"/>
  <c r="H8" i="28"/>
  <c r="H41" i="28"/>
  <c r="G41" i="28"/>
  <c r="H36" i="28"/>
  <c r="G36" i="28"/>
  <c r="G34" i="28"/>
  <c r="H34" i="28"/>
  <c r="H21" i="28"/>
  <c r="G21" i="28"/>
  <c r="H23" i="28"/>
  <c r="G23" i="28"/>
  <c r="H16" i="28"/>
  <c r="G16" i="28"/>
  <c r="H25" i="28"/>
  <c r="G25" i="28"/>
  <c r="H52" i="28"/>
  <c r="G52" i="28"/>
  <c r="H59" i="28"/>
  <c r="G59" i="28"/>
  <c r="H57" i="28"/>
  <c r="G57" i="28"/>
  <c r="E44" i="28"/>
  <c r="G44" i="28"/>
  <c r="H44" i="28"/>
  <c r="H56" i="28"/>
  <c r="G56" i="28"/>
  <c r="H7" i="28"/>
  <c r="H62" i="28" s="1"/>
  <c r="G7" i="28"/>
  <c r="E19" i="28"/>
  <c r="E8" i="28"/>
  <c r="H43" i="27"/>
  <c r="G43" i="27"/>
  <c r="H19" i="27"/>
  <c r="G19" i="27"/>
  <c r="H59" i="27"/>
  <c r="G59" i="27"/>
  <c r="H25" i="27"/>
  <c r="G25" i="27"/>
  <c r="E18" i="27"/>
  <c r="H41" i="27"/>
  <c r="G41" i="27"/>
  <c r="H36" i="27"/>
  <c r="G36" i="27"/>
  <c r="G34" i="27"/>
  <c r="H34" i="27"/>
  <c r="H44" i="27"/>
  <c r="G44" i="27"/>
  <c r="H21" i="27"/>
  <c r="G21" i="27"/>
  <c r="H16" i="27"/>
  <c r="G16" i="27"/>
  <c r="H23" i="27"/>
  <c r="G23" i="27"/>
  <c r="E44" i="27"/>
  <c r="E16" i="27"/>
  <c r="H57" i="27"/>
  <c r="G57" i="27"/>
  <c r="H7" i="27"/>
  <c r="G7" i="27"/>
  <c r="E43" i="27"/>
  <c r="H56" i="27"/>
  <c r="G56" i="27"/>
  <c r="H24" i="27"/>
  <c r="G24" i="27"/>
  <c r="E59" i="27"/>
  <c r="H52" i="27"/>
  <c r="G52" i="27"/>
  <c r="E41" i="27"/>
  <c r="H50" i="27"/>
  <c r="G50" i="27"/>
  <c r="E8" i="26"/>
  <c r="E62" i="26"/>
  <c r="H43" i="25"/>
  <c r="G43" i="25"/>
  <c r="G36" i="25"/>
  <c r="H36" i="25"/>
  <c r="E42" i="25"/>
  <c r="G42" i="25"/>
  <c r="H42" i="25"/>
  <c r="H41" i="25"/>
  <c r="G41" i="25"/>
  <c r="H34" i="25"/>
  <c r="G34" i="25"/>
  <c r="H23" i="25"/>
  <c r="G23" i="25"/>
  <c r="E58" i="25"/>
  <c r="H58" i="25"/>
  <c r="G21" i="25"/>
  <c r="H21" i="25"/>
  <c r="E59" i="25"/>
  <c r="G59" i="25"/>
  <c r="H59" i="25"/>
  <c r="H19" i="25"/>
  <c r="G19" i="25"/>
  <c r="G8" i="25"/>
  <c r="H8" i="25"/>
  <c r="E18" i="25"/>
  <c r="H18" i="25"/>
  <c r="H57" i="25"/>
  <c r="G57" i="25"/>
  <c r="H16" i="25"/>
  <c r="G16" i="25"/>
  <c r="G24" i="25"/>
  <c r="H24" i="25"/>
  <c r="H56" i="25"/>
  <c r="G56" i="25"/>
  <c r="H52" i="25"/>
  <c r="G52" i="25"/>
  <c r="H7" i="25"/>
  <c r="G7" i="25"/>
  <c r="H44" i="25"/>
  <c r="G44" i="25"/>
  <c r="G50" i="25"/>
  <c r="H50" i="25"/>
  <c r="E8" i="25"/>
  <c r="B13" i="12" s="1"/>
  <c r="E34" i="23"/>
  <c r="E23" i="23"/>
  <c r="B8" i="12"/>
  <c r="B14" i="12" l="1"/>
  <c r="G53" i="32"/>
  <c r="H53" i="32"/>
  <c r="G62" i="29"/>
  <c r="H62" i="29"/>
  <c r="B15" i="12"/>
  <c r="B12" i="12"/>
  <c r="B10" i="12"/>
  <c r="B11" i="12"/>
  <c r="B16" i="12"/>
  <c r="G62" i="28"/>
  <c r="H62" i="27"/>
  <c r="G62" i="27"/>
  <c r="G62" i="25"/>
  <c r="H62" i="25"/>
  <c r="N1" i="12" l="1"/>
</calcChain>
</file>

<file path=xl/sharedStrings.xml><?xml version="1.0" encoding="utf-8"?>
<sst xmlns="http://schemas.openxmlformats.org/spreadsheetml/2006/main" count="2472" uniqueCount="967">
  <si>
    <t xml:space="preserve">Entité:   </t>
  </si>
  <si>
    <t>COFINA Togo</t>
  </si>
  <si>
    <t>Page d'accueil</t>
  </si>
  <si>
    <t>Services IT</t>
  </si>
  <si>
    <t>Taux de remplissage</t>
  </si>
  <si>
    <t>Application</t>
  </si>
  <si>
    <t>Existant</t>
  </si>
  <si>
    <t>Nom de la solution</t>
  </si>
  <si>
    <t>Editeur</t>
  </si>
  <si>
    <t>Importance</t>
  </si>
  <si>
    <t>Version</t>
  </si>
  <si>
    <t>Dernière version</t>
  </si>
  <si>
    <t>SLA existant</t>
  </si>
  <si>
    <t>SaaS ou sur site</t>
  </si>
  <si>
    <t># users</t>
  </si>
  <si>
    <t># licences</t>
  </si>
  <si>
    <t>Type de licences</t>
  </si>
  <si>
    <t>Niveau de personnalisation</t>
  </si>
  <si>
    <t>Sauvegardes</t>
  </si>
  <si>
    <t>ETP Support</t>
  </si>
  <si>
    <t>ETP Changes</t>
  </si>
  <si>
    <t>Archi HD</t>
  </si>
  <si>
    <t>oui</t>
  </si>
  <si>
    <t>NAFA</t>
  </si>
  <si>
    <t>OUI</t>
  </si>
  <si>
    <t>non</t>
  </si>
  <si>
    <t>Retour à la page d'accueil</t>
  </si>
  <si>
    <t>Questions génériques IT</t>
  </si>
  <si>
    <t>Complément</t>
  </si>
  <si>
    <t>Global</t>
  </si>
  <si>
    <t>Réponse, détail et/ou fichier fourni</t>
  </si>
  <si>
    <t>Eval</t>
  </si>
  <si>
    <t>Document à fournir</t>
  </si>
  <si>
    <t>NB Pour les questions concernant l’audit de l’existant IT, veuillez prendre en compte les réponses écrites en orange </t>
  </si>
  <si>
    <t>est-ce que vous avez mis en place la stratégie IT ? Découle-t-elle de la stratégie de l'entreprise ? Si oui, pouvez-vous les partager?</t>
  </si>
  <si>
    <t>Stratégie d'Entreprise :
Notre vision : Etre le modèle panafricain de la finance inclusive.
Notre mission :  Créer de la valeur ajoutée pour nos partenaires et participer durablement au développement du continent africain.
Stratégie IT
Vision IT : Votre rêve devient notre mission
Stratégie IT
La vision de COFINA TOGO s’inscrit dans la stratégie IT du groupe COFINA. En effet le groupe a pour 
ambition à l’horizon 2025 d’avoir :  
• Un SI centralisé et sécurité 
• Une automatisation des 80% de des taches de la filiale  
• Une démocratisation de l’information à travers un BI (Business Intelligence) self-service  
• Un IT « As à profit Center » : l’IT serait un centre de profit et non un centre de cout</t>
  </si>
  <si>
    <t>voir le schéma directeur</t>
  </si>
  <si>
    <t>Pouvez-vous présenter l'organisation IT ?
Pouvez-vous fournir un organigramme détaillé (départements, sections, groupes, équipes, etc.) des divisions informatiques comprenant des informations sur les effectifs et les responsabilités (en spécifiant: interne, prestataire, temporaire, stagiaire, vacant)</t>
  </si>
  <si>
    <t xml:space="preserve">Organisation IT
1.	Responsable du département  Informatique
Responsable informatique Filiale 
	Effectif : 1 (interne)
	Responsabilités : Supervision générale de toutes les opérations informatiques, définition de la stratégie IT, gestion des budgets, collaboration avec la direction générale.
	Définition et mise en œuvre des politiques de sécurité, gestion des risques, surveillance des systèmes pour détecter les intrusions.
	Analyse des vulnérabilités, réponse aux incidents de sécurité, audits de sécurité réguliers.
	Garantir la Confidentialité, l’Intégrité, la Disponibilité et la Sécurité du système
	d’information de l’institution et assurer les évolutions technologiques afin de satisfaire la clientèle interne et externe.
	Faciliter l’utilisation du matériel informatique, des outils bureautiques et des logiciels mis à la disposition des utilisateurs
	Veiller à leur bon fonctionnement et à leur meilleure exploitation, dans les délais requis afin de réduire au maximum les interruptions de services et contribuer ainsi à la
	réalisation de la production de l’Entreprise.
	 Assurer le bon fonctionnement de la base de données et la disponibilité des informations
2.	Administrateur des Systèmes et Réseaux
Effectif : vacant
	Responsabilités : Supervision de l'infrastructure réseau et des systèmes, gestion des projets de mise à jour et de maintenance.
	Configuration et maintenance des serveurs, des réseaux, résolution des problèmes techniques, sécurité des systèmes.
	Support technique de niveau 1, assistance aux administrateurs, maintenance de base des équipements.
3.	Assistant Systèmes et Réseaux : 
	Effectif : 1 (interne)
-	Dépanner et configurer le matériel informatique dans les délais requis, afin que les utilisateurs disposent de leur équipement en bon état tout en respectant les SLA définis ;
-	Aider et former les utilisateurs à une bonne exploitation du matériel informatique et des outils bureautiques afin d’augmenter la production de l’entreprise ;
-	Organiser et fournir des statistiques sur la gestion du matériel informatique en panne afin de prévenir les éventuelles interruptions de service des utilisateurs.
4.	Administrateur  des Bases de Données et Développement Applicatif
Effectif : vacant
	Responsabilités : Gestion des bases de données, supervision des projets de développement, coordination avec les autres départements.
	Installation, configuration et maintenance des bases de données, optimisation des performances, sauvegarde et récupération.
	Développement et maintenance des applications internes, développement de nouvelles fonctionnalités, correction de bugs.
	Support aux administrateurs et aux développeurs, tâches de développement de base, gestion des données.
	Supervision de l'équipe de support, gestion des incidents et des demandes des utilisateurs.
	Assistance technique aux utilisateurs, résolution des incidents, formation des utilisateurs.
5.	Assistant base de données : 
	Effectif : 2 (interne)
Responsabilités :
Assurer l’administration des bases de données Oracle afin de garantir une disponibilité maximale des applications aux utilisateurs.
- Encadrer et superviser les activités du service Exploitation afin de garantir aux utilisateurs le taux de disponibilité prévu.
- Superviser les activités de paramétrage afin garantir un fonctionnement optimal de l’applicatif bancaire conforme aux exigences du métier
</t>
  </si>
  <si>
    <t>Oui</t>
  </si>
  <si>
    <t>Pouvez-vous me partager les fiches de postes (pour chaque poste figurant sur l'organigramme IT) ?</t>
  </si>
  <si>
    <t>Est-ce qu'il y a des fonctions ou activités qui sont entièrement ou partiellement externalisées à des sous-traitants ou des partenaires (par exemple, gestion des installations pour les centres de données, service d'assistance informatique, opérations de certaines applications ou infrastructures, ADM dans certains domaines d'application), ...?</t>
  </si>
  <si>
    <t xml:space="preserve">oui </t>
  </si>
  <si>
    <t>installation des nouveaux systèmes de sécurité électronique (contrôle d'accès, système incendie, anti-intrusion) et de vidéo surveillance</t>
  </si>
  <si>
    <t>Quel était le Turnover en 2023 ?</t>
  </si>
  <si>
    <t>nous n'avons enregistré aucun départ de collaborateurs durant cette période</t>
  </si>
  <si>
    <t>Avez-vous mis en place un schéma directeur IT? Si oui, pouvez-vous le partager?</t>
  </si>
  <si>
    <t>Quelles sont les principales améliorations informatiques attendues de la part de la communauté des utilisateurs métiers ?
Exemples:
  ·  TTM plus court
  ·  Performances des services alignées sur les performances de l'entreprise
  ·  Amélioration mesurable du service basée sur des KPI convenus
  ·  Compétences améliorées en informatique pour mieux comprendre les exigences de l'entreprise et les traduire en solutions informatiques
  ·  Gestion de la demande simplifiée et efficace</t>
  </si>
  <si>
    <r>
      <rPr>
        <sz val="10"/>
        <color theme="0"/>
        <rFont val="Aptos Narrow"/>
        <scheme val="minor"/>
      </rPr>
      <t>Automatisation des processus / Analytique avancée et reporting / Intégration et interopérabilité/ Simplicité d'utilisation:voici  l’approche détaillée :</t>
    </r>
    <r>
      <rPr>
        <sz val="10"/>
        <rFont val="Aptos Narrow"/>
        <family val="2"/>
        <scheme val="minor"/>
      </rPr>
      <t xml:space="preserve">
</t>
    </r>
    <r>
      <rPr>
        <b/>
        <sz val="10"/>
        <color rgb="FFFFC000"/>
        <rFont val="Aptos Narrow"/>
        <scheme val="minor"/>
      </rPr>
      <t>Automatisation des Processus :</t>
    </r>
    <r>
      <rPr>
        <sz val="10"/>
        <color rgb="FFFFC000"/>
        <rFont val="Aptos Narrow"/>
        <scheme val="minor"/>
      </rPr>
      <t xml:space="preserve">
• Plan : Développer des applications pour automatiser les processus clés tels que la gestion des stocks, la gestion des ventes, la gestion des conventions de crédit, et les processus de recrutement, etc.
• Timing : Courant de l'année 2024.
• Budget : Développement local.
</t>
    </r>
    <r>
      <rPr>
        <b/>
        <sz val="10"/>
        <color rgb="FFFFC000"/>
        <rFont val="Aptos Narrow"/>
        <scheme val="minor"/>
      </rPr>
      <t xml:space="preserve">Analytique Avancée et Reporting </t>
    </r>
    <r>
      <rPr>
        <sz val="10"/>
        <color rgb="FFFFC000"/>
        <rFont val="Aptos Narrow"/>
        <scheme val="minor"/>
      </rPr>
      <t xml:space="preserve">:
• Plan : Mise en place d'une plateforme analytique centralisée utilisant des outils comme Power BI ou Tableau pour visualiser et analyser les données opérationnelles et financières.
• Timing : 2025.
• Budget : À définir.
</t>
    </r>
    <r>
      <rPr>
        <b/>
        <sz val="10"/>
        <color rgb="FFFFC000"/>
        <rFont val="Aptos Narrow"/>
        <scheme val="minor"/>
      </rPr>
      <t xml:space="preserve"> Intégration et Interopérabilité :</t>
    </r>
    <r>
      <rPr>
        <sz val="10"/>
        <color rgb="FFFFC000"/>
        <rFont val="Aptos Narrow"/>
        <scheme val="minor"/>
      </rPr>
      <t xml:space="preserve">
• Plan : Intégration entre les systèmes Oracle Flexcube et les plateformes de nos différents partenaires tels que Togocom (projet bank to wallet), GTP (pour les cartes VISA), l’application mobile, etc.
• Timing : Déploiements itératifs sur les 2 prochains mois
</t>
    </r>
  </si>
  <si>
    <t>Pouvez-vous détailler comment avez-vous prévu de le faire et quand?
Quel est le budget validé pour ces initiatives?</t>
  </si>
  <si>
    <t>Quelles sont les principales améliorations IT identifiées par la communauté IT?
Exemples:
·    Harmonisation de l'architecture
·    Gestion simplifiée des fournisseurs
·    Harmonisation du contrat de support
·    Rareté des ressources qualifiées
·    Gestion des incidents
·    Demandes de service standardisées
·    Mesures visant à améliorer la disponibilité des services, telles que
      -  Améliorer la gestion des pannes et des performances
      -  Introduire des outils de gestion des services IT
      -  Standardiser les processus
      -  Mettre à jour la documentation
      -  Restructurer lorganisation IT
      -  Consolider les centres de données et les centres d'opérations</t>
  </si>
  <si>
    <t xml:space="preserve">
Automatisation et IA: L'automatisation des processus IT et l'intégration de l'intelligence artificielle pour améliorer l'efficacité opérationnelle.
Sécurité renforcée: Des technologies avancées pour protéger les données et les infrastructures contre les cybermenaces croissantes.
Cloud computing: L'adoption accrue des services cloud pour la flexibilité, l'évolutivité et la réduction des coûts.
IoT (Internet des Objets): L'utilisation croissante des appareils connectés pour collecter des données et optimiser les processus.
Blockchain: L'exploration des applications de la technologie blockchain pour la sécurisation des transactions et des contrats.
Analyse des données avancée: Utilisation de l'analyse prédictive et du big data pour prendre des décisions plus éclairées.
Expérience utilisateur améliorée</t>
  </si>
  <si>
    <t>Applications</t>
  </si>
  <si>
    <t>Pouvez-vous montrer l'architecture informatique actuelle prenant en charge l'ensemble de l'activité (interne et externe) ？</t>
  </si>
  <si>
    <t>Non</t>
  </si>
  <si>
    <t>Est-ce que les applications sont centralisées pour toutes les filiales ou chaque filiale à son propre SI ou s'agit-il d'une combinaison des 2?</t>
  </si>
  <si>
    <t>NON</t>
  </si>
  <si>
    <t>Est-ce que vous disposez d'une cartographie des applications existantes? Par filiale?</t>
  </si>
  <si>
    <t>Existe-t-il une stratégie d’architecture d’application commune interfiliale mise en œuvre/prévu ? si oui:
 - quels composants d'application font partie des plans
 - à quel niveau l'harmonisation des composants est-elle atteinte
    o fournisseur et logiciel uniquement
    o version du système
    o configuration et customisation du système
    o système centralisé avec configuration multi-tenant</t>
  </si>
  <si>
    <t>Si oui, est-ce qu'elle spécifie bien ce qui est fournis par des prestataires externes de ce qui est développé en interne?</t>
  </si>
  <si>
    <t>NA</t>
  </si>
  <si>
    <t>Pour les les solutions qui ont été développées en interne, quelle language a été utilisé ? et pourquoi?</t>
  </si>
  <si>
    <r>
      <rPr>
        <sz val="12"/>
        <color theme="0"/>
        <rFont val="Aptos Narrow"/>
        <scheme val="minor"/>
      </rPr>
      <t>Les langages utilisés pour le développement de nos applications internes sont PHP avec le framework Laravel combiné avec du Vue JS.</t>
    </r>
    <r>
      <rPr>
        <sz val="12"/>
        <color rgb="FFFFC000"/>
        <rFont val="Aptos Narrow"/>
        <scheme val="minor"/>
      </rPr>
      <t>Nous avons préféré utiliser PHP  avec le framework Laravel parceque ce dernier  est un framework backend qui se distingue par sa   documentation exhaustive, sa communauté active, ses migrations de base de données robustes, son ORM Eloquent, ses fonctionnalités de sécurité intégrées, ses outils de tests automatisés, sa facilité d'intégration de services tiers, son outil en ligne de commande Artisan, sa gestion efficace des dépendances, son système de routage flexible et son moteur de template Blade, en faisant un choix idéal pour le développement d'applications web de toute envergure.</t>
    </r>
  </si>
  <si>
    <t>Pourquoi?</t>
  </si>
  <si>
    <t>Avez-vous un cadre de développement ?</t>
  </si>
  <si>
    <r>
      <rPr>
        <sz val="12"/>
        <color theme="0"/>
        <rFont val="Aptos Narrow"/>
        <scheme val="minor"/>
      </rPr>
      <t>Choisir Laravel pour le backend et Vue.js pour le frontend permet de bénéficier d'un développement web moderne et efficace,  avec une gestion simplifiée de l'authentification et des ORM, à la réactivité des composants réutilisables.</t>
    </r>
    <r>
      <rPr>
        <sz val="12"/>
        <rFont val="Aptos Narrow"/>
        <scheme val="minor"/>
      </rPr>
      <t xml:space="preserve">   </t>
    </r>
    <r>
      <rPr>
        <sz val="12"/>
        <color rgb="FFFFC000"/>
        <rFont val="Aptos Narrow"/>
        <scheme val="minor"/>
      </rPr>
      <t>En ce qui concerne l'utilisation de Vue.JS en frontend, c'est  est un framework JavaScript qui se distingue  par sa flexibilité, son intégration facile avec d'autres projets ou bibliothèques, sa réactivité grâce à son système de liaison de données bidirectionnelle, sa capacité à créer des composants réutilisables, son écosystème riche avec des outils comme Vue CLI et Vuex, et sa forte communauté de développeurs, en faisant un choix idéal pour le développement d'interfaces utilisateur dynamiques et modernes.</t>
    </r>
  </si>
  <si>
    <t>Quelle est la taille de l’équipe de développement ?</t>
  </si>
  <si>
    <r>
      <t xml:space="preserve">L'équipe de developpement est composée de 3 personnes </t>
    </r>
    <r>
      <rPr>
        <sz val="10"/>
        <color rgb="FFFFC000"/>
        <rFont val="Aptos Narrow"/>
        <scheme val="minor"/>
      </rPr>
      <t xml:space="preserve">(les deux assistants et moi-même </t>
    </r>
    <r>
      <rPr>
        <sz val="10"/>
        <rFont val="Aptos Narrow"/>
        <family val="2"/>
        <scheme val="minor"/>
      </rPr>
      <t>)</t>
    </r>
  </si>
  <si>
    <t>Ce n'est pas ce qui apparait sur l'organigramme</t>
  </si>
  <si>
    <t>Est-ce que vous avez une documentation? Si oui, est-elle à jour?</t>
  </si>
  <si>
    <t>Pouvez-vous partager un exemple ou 2?</t>
  </si>
  <si>
    <t>Qui assure le support des outils internes ?</t>
  </si>
  <si>
    <t>Le support des outils internes est assuré par IT LOCAL</t>
  </si>
  <si>
    <t>Comment gérez-vous le versioning ? Avez-vous une feuille de route ?</t>
  </si>
  <si>
    <t xml:space="preserve">Le versionning est géré par Git et Github </t>
  </si>
  <si>
    <t>Contractualisation</t>
  </si>
  <si>
    <t>Est-ce que vous avez des contrats de support avec tous les prestataires IT?</t>
  </si>
  <si>
    <r>
      <rPr>
        <sz val="12"/>
        <color theme="0"/>
        <rFont val="Aptos Narrow"/>
        <scheme val="minor"/>
      </rPr>
      <t xml:space="preserve">NON    </t>
    </r>
    <r>
      <rPr>
        <sz val="12"/>
        <rFont val="Aptos Narrow"/>
        <scheme val="minor"/>
      </rPr>
      <t xml:space="preserve"> </t>
    </r>
    <r>
      <rPr>
        <sz val="12"/>
        <color rgb="FFFFC000"/>
        <rFont val="Aptos Narrow"/>
        <scheme val="minor"/>
      </rPr>
      <t>Pour certains systèmes, nous avons préféré gérer le support et la maintenance préventive et curative en local afin d'économiser au niveau de la filiale, car nous venions de débuter l'activité. Cependant, nous prévoyons de signer un contrat de maintenance avec des prestataires d'ici décembre 2024</t>
    </r>
  </si>
  <si>
    <t>Est-ce que les contrats existants incluent des SLA? Pourvez-vous me les partager?</t>
  </si>
  <si>
    <t>Pouvez-vous les partager ?</t>
  </si>
  <si>
    <t>Infrastructure</t>
  </si>
  <si>
    <t>Pouvez-vous partager l'architecture du réseau ?</t>
  </si>
  <si>
    <t>Est-ce que vous utilisez exclusivement des infrastructures sur le Cloud ou sur site ou un mix des 2 ?</t>
  </si>
  <si>
    <t>MIX DES DEUX</t>
  </si>
  <si>
    <t>Si vous utilisez des infrastructures sur le Cloud, s'agit-il de Cloud public, lequel ? ou privé ?</t>
  </si>
  <si>
    <t>Voir IT GROUPE</t>
  </si>
  <si>
    <t>Si vous utilisez des infrastructures sur site, l'IT est propriétaire de son (ou ses) centre de données ou utilisez-vous un datacenter partagé ? Précisez lesquels et les infra installés</t>
  </si>
  <si>
    <t>Pour les datacenters à Abidjan ou Dakar, le local est partagées mais en filiale  Nous utilisons des infrastructures sur site pour notre IT. Nous ne possédons pas de centre de données dédié, mais nous gérons nos propres serveurs dans notre environnement local. Cela inclut un serveur physique Cisco UCS C220 M5SX qui héberge plusieurs machines virtuelles Windows Server et Linux, ainsi que d'autres infrastructures réseau comme notre firewall Fortinet et notre réseau VLAN segmenté.</t>
  </si>
  <si>
    <t>Envisagez-vous de grands changements dans le Datacenter ? Si oui, quoi et quand ?</t>
  </si>
  <si>
    <t>Quels sont les liens existants et leurs bandes passantes ?</t>
  </si>
  <si>
    <t>notre siège dispose d'une liaison principale de 50 Mo avec une liaison de backup de 10 Mo via un autre FAI. Pour les agences, nous avons une liaison principale de 10 Mo en fibre optique, avec des modems 4G+ d'un autre opérateur assurant le backup en cas d'interruption de la liaison principale</t>
  </si>
  <si>
    <t>Peux-tu décrie les lien du siège et des agences, principaux et secondaires?</t>
  </si>
  <si>
    <t>Existe-t-il des stratégies d’architecture matérielle commune interfiliale mis en œuvre/prévu ? si oui
 - quels composants font partie des plans
 - jusqu'où niveau l'harmonisation des composants est-elle atteinte
   o fournisseur et type de matériel uniquement
   o Version du système d'exploitation/base de données
   o configuration du système telle que la configuration de la virtualisation
   o système centralisé hébergeant plusieurs applications utilisées par les pays</t>
  </si>
  <si>
    <t>oui   type de matériel uniquement
   o Version du système d'exploitation/base de données
   o configuration du système telle que la configuration de la virtualisation
   o système centralisé hébergeant plusieurs applications utilisées par les pays</t>
  </si>
  <si>
    <t>malheureusement ça n'a pas été formalisé.</t>
  </si>
  <si>
    <t>Veuillez fournir une liste de serveurs existants, de systèmes d'exploitation et de fournisseurs ?</t>
  </si>
  <si>
    <t>ESXI CISCO/HYPERVISEUR VMWARE 7.0 Update 1/ SYROAD/EN LOCALE</t>
  </si>
  <si>
    <t>Veuillez fournir des informations sur les éléments de stockage et leur configuration opérationnelle, par ex. NAS, SAN?</t>
  </si>
  <si>
    <t>oui Nous effectuons des sauvegardes journalières sur un ordinateur avec un disque dur de 24 To. Le premier jour de chaque mois, nous copions les données du mois précédent pour les externaliser dans un autre site au sein de nos agences. Cela nous permet de récupérer les données en cas de défaillance du serveur de sauvegarde.</t>
  </si>
  <si>
    <t>Veuillez fournir une liste des équipements réseaux dans l'environnement LAN/WAN, par ex. routeurs, pare-feu</t>
  </si>
  <si>
    <t>ROUTEUR CISCO/	Cisco IOS/ SYROAD/EN LOCALE
FIREWALL FORTINET/FortiOS/ SYROAD/EN LOCALE
APFORTINET/FortiOS/ SYROAD/EN LOCALE
SWITCH CISCO/Cisco IOS /  SYROAD/ EN LOCALE</t>
  </si>
  <si>
    <t>Veuillez mentionner l'emplacement physique des équipements IT ci-dessus dans les centres de données?</t>
  </si>
  <si>
    <t>La majorité de nos équipements, réseaux et systèmes se trouvent dans un local IT au siège. Ce local respecte tous les normes ISO 27001 à l'exception de la protection contre les incendies, un point que nous prévoyons de corriger d'ici le 31 janvier 2025.</t>
  </si>
  <si>
    <t>Est-ce que tous ces équipements sont supervisés à distance?</t>
  </si>
  <si>
    <t>Est-ce que vous faites des maintenances préventive? Sur quel système et à quelle fréquence?</t>
  </si>
  <si>
    <t>oui  tous les trois mois</t>
  </si>
  <si>
    <t>Si oui, pouvons-nous voir des exemples de communicaton en amont et de rapports après une maintenance régulière, avec les principales conclusions et corrections ?</t>
  </si>
  <si>
    <t>Peux-tu partager une communication?</t>
  </si>
  <si>
    <t>Gouvernance et services IT</t>
  </si>
  <si>
    <t>Comment s’articule la Gouvernance entre le Métier et l’IT ? Quels forums sont en place avec la fréquence des réunions et les participants</t>
  </si>
  <si>
    <r>
      <rPr>
        <sz val="10"/>
        <color theme="0"/>
        <rFont val="Aptos Narrow"/>
        <scheme val="minor"/>
      </rPr>
      <t xml:space="preserve">Nous organisons notre réunion hebdomadaire des responsables IT des filiales, avec la présence de l'équipe IT groupe et du DSI. </t>
    </r>
    <r>
      <rPr>
        <sz val="10"/>
        <color rgb="FFFFC000"/>
        <rFont val="Aptos Narrow"/>
        <scheme val="minor"/>
      </rPr>
      <t>notre dernière réunion a eu lieu le 29/12/2022. Depuis, nous avons mis ce projet en standby en raison de la migration de Flexcube au niveau des filiales. Malheureusement, ces réunions n'ont pas été sanctionnées par un PV.  (EMC)</t>
    </r>
  </si>
  <si>
    <t>Pouvez-vous partager 2 ou 3 exemples d'agendas et comptes rendus?</t>
  </si>
  <si>
    <t>Existe-t-il un processus établi entre les départements métiers et l'informatique concernant les KPI, par ex. faire correspondre les KPI pertinents pour l’entreprise aux indicateurs technologiques ?</t>
  </si>
  <si>
    <r>
      <rPr>
        <sz val="10"/>
        <color theme="0"/>
        <rFont val="Aptos Narrow"/>
        <scheme val="minor"/>
      </rPr>
      <t xml:space="preserve">non  </t>
    </r>
    <r>
      <rPr>
        <sz val="10"/>
        <color rgb="FFFFC000"/>
        <rFont val="Aptos Narrow"/>
        <scheme val="minor"/>
      </rPr>
      <t>Manque de processus formel pour coordonner la définition, la mise en œuvre et la mesure des KPI entre les départements métiers et l'informatique.</t>
    </r>
  </si>
  <si>
    <t>Quel département est le plus demandeur de services informatiques ?</t>
  </si>
  <si>
    <t xml:space="preserve">exploitration </t>
  </si>
  <si>
    <t>Dans quelle mesure les normes industrielles comme ITIL sont-elles mises en œuvre ? ou envisagez-vous de le faire ? Si oui, quand et quels processus ?</t>
  </si>
  <si>
    <r>
      <rPr>
        <sz val="10"/>
        <color theme="0"/>
        <rFont val="Aptos Narrow"/>
        <scheme val="minor"/>
      </rPr>
      <t xml:space="preserve">envisagez-vous de le faire :  enours        Phases de mise en œuvre :
</t>
    </r>
    <r>
      <rPr>
        <sz val="10"/>
        <color rgb="FFFFC000"/>
        <rFont val="Aptos Narrow"/>
        <scheme val="minor"/>
      </rPr>
      <t xml:space="preserve">• Formation : sensibilisé l’équipe IT local  aux meilleures pratiques ITIL 
Processus à prioriser : Démarrez par les processus ITIL les plus critiques :
       Gestion des incidents : Pour gérer et résoudre les incidents rapidement et efficacement.
• Gestion des problèmes : Pour identifier et résoudre les causes profondes des incidents.
• Gestion des changements : Pour gérer les changements de manière structurée afin de minimiser les risques.
• Gestion des configurations : Pour maintenir des enregistrements précis de tous les actifs IT.
</t>
    </r>
  </si>
  <si>
    <t>Détails</t>
  </si>
  <si>
    <t>Si oui, veuillez détailler et fournir ceux qui existent déjà?</t>
  </si>
  <si>
    <t>gestion des incidents, gestion des problèmes, gestion des changements</t>
  </si>
  <si>
    <t>Si c'est le cas, est-ce qu'il y a une stratégie de standardisation pour toutes les filiales?</t>
  </si>
  <si>
    <r>
      <rPr>
        <sz val="10"/>
        <color theme="0"/>
        <rFont val="Aptos Narrow"/>
        <scheme val="minor"/>
      </rPr>
      <t xml:space="preserve">non </t>
    </r>
    <r>
      <rPr>
        <sz val="10"/>
        <rFont val="Aptos Narrow"/>
        <family val="2"/>
        <scheme val="minor"/>
      </rPr>
      <t xml:space="preserve"> </t>
    </r>
    <r>
      <rPr>
        <sz val="10"/>
        <color rgb="FFFFC000"/>
        <rFont val="Aptos Narrow"/>
        <scheme val="minor"/>
      </rPr>
      <t>Oui, mais Cofihelp gère partiellement le problème. Il nous permet juste de gérer les tickets entre les IT filiales et l'IT groupe. Cependant, les requêtes des métiers ne sont pas tracées aujourd'hui.</t>
    </r>
  </si>
  <si>
    <t>Et Cofihelp n'est pas un outil de ticketing?</t>
  </si>
  <si>
    <t>Avez-vous un outil pour les gérer ?</t>
  </si>
  <si>
    <r>
      <rPr>
        <sz val="10"/>
        <color theme="0"/>
        <rFont val="Aptos Narrow"/>
        <scheme val="minor"/>
      </rPr>
      <t xml:space="preserve">NON </t>
    </r>
    <r>
      <rPr>
        <sz val="10"/>
        <rFont val="Aptos Narrow"/>
        <family val="2"/>
        <scheme val="minor"/>
      </rPr>
      <t xml:space="preserve">  </t>
    </r>
    <r>
      <rPr>
        <sz val="10"/>
        <color rgb="FFFFC000"/>
        <rFont val="Aptos Narrow"/>
        <scheme val="minor"/>
      </rPr>
      <t>ce projet n'était pas priorisé pour cette année</t>
    </r>
  </si>
  <si>
    <t>Si oui, quels sont le numéro unique et l'adresse e-mail ?</t>
  </si>
  <si>
    <t>helpdesk.ittogo@cofinacorp.com</t>
  </si>
  <si>
    <t>Est-ce qu'il existe un Service Desk ou helpdesk, comme point d'entrée unique à la DSI pour la gestion des services IT et tout ce qui est incidents/requêtes/problèmes?</t>
  </si>
  <si>
    <t>Pouvez-vous fournir la liste des applications informatiques utilisées pour les activités d'exploitation et de maintenance :
Y compris Service Desk, gestion des incidents/problèmes, gestion des performances, gestion des stocks et des actifs, gestion des ordres de travail, gestion des changements, gestion de la configuration, gestion des capacités… etc.</t>
  </si>
  <si>
    <t>cofihelp</t>
  </si>
  <si>
    <t xml:space="preserve">Avez-vous établi un catalogue de services IT où les utilisateurs finaux peuvent se référer ? </t>
  </si>
  <si>
    <t>Si oui, alors
- Pouvez-vous fournir ce catalogue de services avec une description des éléments de service ?
- Pouvez-vous fournir des enregistrements sur les demandes de services liées à ce catalogue faites et ce par types d'utilisateurs finaux/départements ?</t>
  </si>
  <si>
    <t>Existe-t-il des SLA avec des « clients » internes sur le délai de résolution des incidents/requêtes ou la livraison de solutions ?</t>
  </si>
  <si>
    <r>
      <rPr>
        <sz val="10"/>
        <color theme="0"/>
        <rFont val="Aptos Narrow"/>
        <scheme val="minor"/>
      </rPr>
      <t xml:space="preserve">NON  </t>
    </r>
    <r>
      <rPr>
        <sz val="10"/>
        <color rgb="FFFFC000"/>
        <rFont val="Aptos Narrow"/>
        <scheme val="minor"/>
      </rPr>
      <t>Manque de processus formel pour coordonner les départements métiers et l'informatique. On a des SLA intégrés dans nos objectifs, mais ils ne sont pas encore formalisés:  Support de niveau 1 du SI                                                                                                           
I. SLA                                                                                                                                                                                                                                                       ==&gt;Respect des délais de prise en charge des incidents et des requêtes des utilisateurs (20 minutes)                                                                                                                         ==&gt;Respecter les délais de traitement des incidents et demandes 
==&gt;Aussurer le support conformément aux SLA définis.                               
      Problèmes d'access :
==&gt;Temps moyen de résolution : 30 minutes 
    Problèmes logiciels :
==&gt;Temps moyen de résolution : 2H
==&gt;Support de niveau 1 - Demandes de création Création de compte utilisateur :
==&gt; Délai de traitement des demandes de création de compte :   30minutes 
==&gt;Support de niveau 1 - Demandes d'extraction données :
==&gt;Temps moyen d'extraction de données : 1 heure  
==&gt;Support de niveau 1 - Parametrage SI
==&gt; Réalisation EOD: en moyenne 1h
==&gt; Restauration base test =&gt; en moyenne 30minutes                                                                                                                                                   Gestion des incidents                                                                                                                
I. SLA                                                                                                                                                                                                                                                       - Respect des délais de prise en charge des incidents et des requêtes des utilisateurs (20 minutes)                                                                                                                            - Respecter les délais de traitement des incidents et demandes 
Problème Matériel :
-Défaillance matérielle : Dans les 24 heures.
- Problèmes liés à des périphériques : Dans les 48 heures.
-Problèmes avec des dispositifs externes : Dans les 72 heures.
  Problème Logiciel :
-Erreurs logicielles : Dans les 24 heures.
Problèmes liés à des mises à jour logicielles : Dans les 48 heures.
-Incompatibilité logicielle : Dans les 72 heures.
 Problème Réseau :
-Problèmes de connectivité réseau : Dans les 24 heures.
-Problèmes de configuration réseau : Dans les 48 heures.
-Attaques réseau : Dans les 72 heures.
  Problème de Sécurité :
-Attaques de logiciels malveillants : Dans les 24 heures.
-Problèmes liés à l'authentification et à l'autorisation : Dans les 48 heures.
-Fuites de données ou violations de la sécurité : Dans les 72 heures.
Autres :Problèmes liés aux utilisateurs : Dans les 24 heures. Questions générales ou demandes de service : Dans les 48 heures.</t>
    </r>
  </si>
  <si>
    <t>Existe-t-il un processus d'escalade en cas de crise? Si oui, pouvez-vous le fournir?</t>
  </si>
  <si>
    <r>
      <t xml:space="preserve">NON </t>
    </r>
    <r>
      <rPr>
        <sz val="10"/>
        <color rgb="FFFFC000"/>
        <rFont val="Aptos Narrow"/>
        <scheme val="minor"/>
      </rPr>
      <t xml:space="preserve"> L'absence de normes claires au sein du département  pour formalisé le processus d'escalade</t>
    </r>
  </si>
  <si>
    <t>Avez-vous des outils fournissant des rapports de gestion des opérations :
incluant KPI de performance, gestion des SLA, statistiques d’alarmes, disponibilité…
Si oui, fournissez des exemples de rapports ?</t>
  </si>
  <si>
    <r>
      <rPr>
        <sz val="10"/>
        <color theme="0"/>
        <rFont val="Aptos Narrow"/>
        <scheme val="minor"/>
      </rPr>
      <t xml:space="preserve">NON  </t>
    </r>
    <r>
      <rPr>
        <sz val="10"/>
        <color rgb="FFFFC000"/>
        <rFont val="Aptos Narrow"/>
        <scheme val="minor"/>
      </rPr>
      <t>contraintes budgétaires  &amp; Le nombre de développeurs disponibles est limité par rapport aux besoins croissants.</t>
    </r>
  </si>
  <si>
    <t>Est-ce que vous mesurez les performances des services IT et de leur support? E.g.:
  - Disponibilité (par service)
  - Temps de réponse moyen (par service, par criticité)
  - Temps de résolution moyen (par service, par criticité)
  - Taux de respect du SLA
  - Fenêtres de maintenance, ...</t>
  </si>
  <si>
    <r>
      <rPr>
        <sz val="10"/>
        <color theme="0"/>
        <rFont val="Aptos Narrow"/>
        <scheme val="minor"/>
      </rPr>
      <t>NON</t>
    </r>
    <r>
      <rPr>
        <sz val="10"/>
        <color rgb="FFFFC000"/>
        <rFont val="Aptos Narrow"/>
        <scheme val="minor"/>
      </rPr>
      <t xml:space="preserve"> Nous étions davantage concentrés sur les projets et les autres chantiers, mais suite à notre dernière session, nous comprenons de plus en plus l'importance qu'il faut accorder à ce volet. Nous allons faire le nécessaire d'ici la fin de l'année</t>
    </r>
  </si>
  <si>
    <t>Si oui, pouvez-vous me partager des exemplaires des 3 derniers mois? Et quels sont les destinataires de ces rapports?</t>
  </si>
  <si>
    <t>Envisagez-vous de vous lancer dans une certification ISO 20000 ?</t>
  </si>
  <si>
    <t>Questions au Service Desk / support niveau 1</t>
  </si>
  <si>
    <t>Est-ce que lorsque un utilisateur rencontre un incident, il passe systématiquement par le Service Desk / helpdesk?</t>
  </si>
  <si>
    <t>Quels sont les canaux d'ouverture d'incidents?</t>
  </si>
  <si>
    <r>
      <rPr>
        <sz val="10"/>
        <color theme="0"/>
        <rFont val="Aptos Narrow"/>
        <scheme val="minor"/>
      </rPr>
      <t xml:space="preserve">MAIL  </t>
    </r>
    <r>
      <rPr>
        <sz val="10"/>
        <rFont val="Aptos Narrow"/>
        <family val="2"/>
        <scheme val="minor"/>
      </rPr>
      <t xml:space="preserve"> </t>
    </r>
    <r>
      <rPr>
        <sz val="10"/>
        <color rgb="FFFFC000"/>
        <rFont val="Aptos Narrow"/>
        <scheme val="minor"/>
      </rPr>
      <t>Oui, Cofihelp permet aux IT des filiales de remonter certaines requêtes vers le groupe IT. En ce qui concerne les utilisateurs, les incidents sont remontés par mail à leur IT de filiale pour traitement. Si pendant le traitement il y a des points nécessitant le support du groupe, l'incident est alors remonté via Cofihelp par IT filial</t>
    </r>
    <r>
      <rPr>
        <sz val="10"/>
        <rFont val="Aptos Narrow"/>
        <family val="2"/>
        <scheme val="minor"/>
      </rPr>
      <t>e</t>
    </r>
  </si>
  <si>
    <t>Est-ce que vous traitez les incidents à votre niveau?</t>
  </si>
  <si>
    <t>Si oui, lequels? Et est-ce que que cela est formalisé dans un processus? Lequel?</t>
  </si>
  <si>
    <r>
      <rPr>
        <sz val="10"/>
        <color theme="0"/>
        <rFont val="Aptos Narrow"/>
        <scheme val="minor"/>
      </rPr>
      <t xml:space="preserve">Dépanner / configurer le matériel informatique/  système d’information:          </t>
    </r>
    <r>
      <rPr>
        <sz val="10"/>
        <rFont val="Aptos Narrow"/>
        <family val="2"/>
        <scheme val="minor"/>
      </rPr>
      <t xml:space="preserve">                                                                                                                    </t>
    </r>
    <r>
      <rPr>
        <sz val="10"/>
        <color rgb="FFFFC000"/>
        <rFont val="Aptos Narrow"/>
        <scheme val="minor"/>
      </rPr>
      <t>1. Dépanner le matériel informatique :
o Diagnostiquer et résoudre les problèmes matériels sur les ordinateurs, les serveurs, et autres périphériques.
o Remplacer ou réparer les composants défectueux.
o Assurer la maintenance préventive pour éviter les pannes.
2. Configurer le matériel informatique :
o Installer et configurer de nouveaux ordinateurs, serveurs, imprimantes,  switchs , des équipements de sécurité électronique etc.
o Mettre à jour les pilotes et le firmware pour optimiser les performances et la sécurité.
o Assurer la compatibilité et l'intégration avec le réseau et les autres systèmes.
3. Dépanner le système d'information :
o Identifier et résoudre les problèmes logiciels et systèmes.
o Gérer les mises à jour logicielles et les correctifs de sécurité.
o Assurer la disponibilité et la fiabilité des applications critiques comme Oracle Flexcube et les systèmes de reporting ect 
4. Configurer le système d'information :
o Installer et configurer de nouvelles applications et modules.
o Paramétrer les permissions d'accès et les configurations de sécurité.
o Assurer la sauvegarde et la restauration des données pour la continuité des opérations.</t>
    </r>
    <r>
      <rPr>
        <sz val="10"/>
        <rFont val="Aptos Narrow"/>
        <family val="2"/>
        <scheme val="minor"/>
      </rPr>
      <t xml:space="preserve">
</t>
    </r>
  </si>
  <si>
    <t>Est-ce qu'il y a une tentative de résolution des incidents par l'équipe Service Desk?</t>
  </si>
  <si>
    <r>
      <rPr>
        <sz val="10"/>
        <color theme="0"/>
        <rFont val="Aptos Narrow"/>
        <scheme val="minor"/>
      </rPr>
      <t>oui ,</t>
    </r>
    <r>
      <rPr>
        <sz val="10"/>
        <rFont val="Aptos Narrow"/>
        <family val="2"/>
        <scheme val="minor"/>
      </rPr>
      <t xml:space="preserve"> </t>
    </r>
    <r>
      <rPr>
        <sz val="10"/>
        <color rgb="FFFFC000"/>
        <rFont val="Aptos Narrow"/>
        <scheme val="minor"/>
      </rPr>
      <t>il relève de notre responsabilité d'assurer le support de premier niveau</t>
    </r>
  </si>
  <si>
    <t>Est-ce que le Service Desk a été formé pour gérer les incidents de niveau 1?</t>
  </si>
  <si>
    <t>Comment percevez-vous votre rôle et responsabilités dans la gestion des incidents/problèmes ?</t>
  </si>
  <si>
    <t>Le responsable du département informatique joue un rôle stratégique dans la gestion des incidents et des problèmes. Il doit non seulement réagir rapidement aux incidents mais aussi anticiper et prévenir les problèmes potentiels. En assurant une communication efficace, en documentant rigoureusement et en cherchant constamment à améliorer les processus, il contribue à la continuité des opérations et à la satisfaction des utilisateurs finaux</t>
  </si>
  <si>
    <t>Est-ce qu'il y a un objectif de trouver une solution temporaire rapidement pour remettre le service en marche en attendant de trouver une solution définitive ou pas?</t>
  </si>
  <si>
    <t>Si les incidents ne sont pas résolus par le Service Desk, est-ce qu'on est sûr qu'ils sont escaladés à la bonne équipe?</t>
  </si>
  <si>
    <r>
      <rPr>
        <sz val="10"/>
        <color theme="0"/>
        <rFont val="Aptos Narrow"/>
        <scheme val="minor"/>
      </rPr>
      <t xml:space="preserve">oui , </t>
    </r>
    <r>
      <rPr>
        <sz val="10"/>
        <color rgb="FFFFC000"/>
        <rFont val="Aptos Narrow"/>
        <scheme val="minor"/>
      </rPr>
      <t>j'aurais besoin de plus d'explications sur le sujet</t>
    </r>
  </si>
  <si>
    <t>comment?</t>
  </si>
  <si>
    <t>Y'a-t-il une procédure d'escalade formalisée?</t>
  </si>
  <si>
    <t>Comment s'assure-t-on que l'équipe à qui on a escaladé a pris en charge l'incident?</t>
  </si>
  <si>
    <t>Quels sont les clients majeurs de la DSI ?</t>
  </si>
  <si>
    <t>départements internes  de la filiale &amp; Les utilisateurs finaux</t>
  </si>
  <si>
    <t>Quels sont les types d'incidents les plus fréquents?</t>
  </si>
  <si>
    <t xml:space="preserve">Pannes de système / Erreurs de traitement. / Indisponibilité des services </t>
  </si>
  <si>
    <t>Disposez-vous d'un outil ITSM? Si oui lequel?</t>
  </si>
  <si>
    <t>Est-ce que tous les incidents arrivent par l'outil ITSM?</t>
  </si>
  <si>
    <t>Est-ce qu'on est sûr que l'équipe Service Desk comprend bien la problématique et la remonte bien?</t>
  </si>
  <si>
    <t xml:space="preserve">Est-ce qu'on est sûr que l'équipe Service Desk a les moyens nécessaires pour prioriser les incidents? </t>
  </si>
  <si>
    <t>Comment sont priorisés les incidents?</t>
  </si>
  <si>
    <t>Les incidents qui affectent directement les opérations essentielles au fonctionnement de la filiale sont  traités en priorité</t>
  </si>
  <si>
    <t>Qui ouvre un problème et sur quelle base?</t>
  </si>
  <si>
    <t>IT local ou groupe</t>
  </si>
  <si>
    <t>Est-ce que vous avez des SLA avec vos clients?</t>
  </si>
  <si>
    <t>NON ( On a des SLA intégrés dans nos objectifs, mais ils ne sont pas encore formalisés:  Support de niveau 1 du SI                                                                                                           
I. SLA                                                                                                                                                                                                                                                       ==&gt;Respect des délais de prise en charge des incidents et des requêtes des utilisateurs (20 minutes)                                                                                                                         ==&gt;Respecter les délais de traitement des incidents et demandes 
==&gt;Aussurer le support conformément aux SLA définis.                               
      Problèmes d'access :
==&gt;Temps moyen de résolution : 30 minutes 
    Problèmes logiciels :
==&gt;Temps moyen de résolution : 2H
==&gt;Support de niveau 1 - Demandes de création Création de compte utilisateur :
==&gt; Délai de traitement des demandes de création de compte :   30minutes 
==&gt;Support de niveau 1 - Demandes d'extraction données :
==&gt;Temps moyen d'extraction de données : 1 heure  
==&gt;Support de niveau 1 - Parametrage SI
==&gt; Réalisation EOD: en moyenne 1h
==&gt; Restauration base test =&gt; en moyenne 30minutes                                                                                                                                                   Gestion des incidents                                                                                                                
I. SLA                                                                                                                                                                                                                                                       - Respect des délais de prise en charge des incidents et des requêtes des utilisateurs (20 minutes)                                                                                                                            - Respecter les délais de traitement des incidents et demandes 
Problème Matériel :
-Défaillance matérielle : Dans les 24 heures.
- Problèmes liés à des périphériques : Dans les 48 heures.
-Problèmes avec des dispositifs externes : Dans les 72 heures.
  Problème Logiciel :
-Erreurs logicielles : Dans les 24 heures.
Problèmes liés à des mises à jour logicielles : Dans les 48 heures.
-Incompatibilité logicielle : Dans les 72 heures.
 Problème Réseau :
-Problèmes de connectivité réseau : Dans les 24 heures.
-Problèmes de configuration réseau : Dans les 48 heures.
-Attaques réseau : Dans les 72 heures.
  Problème de Sécurité :
-Attaques de logiciels malveillants : Dans les 24 heures.
-Problèmes liés à l'authentification et à l'autorisation : Dans les 48 heures.
-Fuites de données ou violations de la sécurité : Dans les 72 heures.
Autres :Problèmes liés aux utilisateurs : Dans les 24 heures. Questions générales ou demandes de service : Dans les 48 heures.</t>
  </si>
  <si>
    <t>Si oui, est-ce qu'ils existent pour tous les services? Pouvez-vous me les fournir?</t>
  </si>
  <si>
    <t>Est-ce qu'il contient les engagements devant chaque service fourni?</t>
  </si>
  <si>
    <t>Si oui, est-ce que ces engagements ont été négociés avec les clients ou pas?</t>
  </si>
  <si>
    <t>Est-ce qu'il y a une revue périodique pour vérifier si les engagements sont respectés?</t>
  </si>
  <si>
    <t>Quels sont les temps de résolutions moyens par type d'incidents?</t>
  </si>
  <si>
    <t>24H</t>
  </si>
  <si>
    <t>Y'a-t-il des accords opérationnels entre les équipes support?</t>
  </si>
  <si>
    <t>Lorsqu'un incident est résolu, est-ce qu'il est systématiquement cloturé?</t>
  </si>
  <si>
    <r>
      <rPr>
        <sz val="10"/>
        <color theme="0"/>
        <rFont val="Aptos Narrow"/>
        <scheme val="minor"/>
      </rPr>
      <t xml:space="preserve">oui  </t>
    </r>
    <r>
      <rPr>
        <sz val="10"/>
        <rFont val="Aptos Narrow"/>
        <family val="2"/>
        <scheme val="minor"/>
      </rPr>
      <t>P</t>
    </r>
    <r>
      <rPr>
        <sz val="10"/>
        <color rgb="FFFFC000"/>
        <rFont val="Aptos Narrow"/>
        <scheme val="minor"/>
      </rPr>
      <t>our les tickets COFIHELP, le groupe clôturer les tickets. Pour les incidents locaux,  on contacte l'utilisateur pour confirmer  la résolution.</t>
    </r>
  </si>
  <si>
    <t>Lorsqu'un incident est résolu, est-ce qu'il est systématiquement documenté?</t>
  </si>
  <si>
    <t>oui mais pas tous les incidents</t>
  </si>
  <si>
    <t>pouvez-vous partager 2 exemples?</t>
  </si>
  <si>
    <t>Lorsqu'un incident est résolu, est-ce que l'utilisateur est systématiquement informé? Comment?</t>
  </si>
  <si>
    <t>Est-ce qu'une analyse des incidents est faite régulièrement?</t>
  </si>
  <si>
    <t xml:space="preserve">NON </t>
  </si>
  <si>
    <t>SI oui, comment est-elle documentée et utilisée?</t>
  </si>
  <si>
    <t>Est-ce vous gérer les problèmes à votre niveau?</t>
  </si>
  <si>
    <t>OUI nous gérons divers problèmes liés aux systèmes information, logiciels et réseaux (switching, VM hébergeant les applications locales).</t>
  </si>
  <si>
    <t>Avez-vous des comités de suivi sur la gestion des incidents/problèmes ?</t>
  </si>
  <si>
    <t>Si oui, quelle est la fréquence ? Pouvez-vous me fournir quelques comptes rendus?</t>
  </si>
  <si>
    <t>Est-ce qu'il y a des formations techniques ou des passations formalisées lors du recrutement d'une nouvelle ressource ou de la promotion d'une ressource opérationnelle à un poste de management?</t>
  </si>
  <si>
    <t xml:space="preserve">OUI Nous vous réservons une période d'immersion d'un mois au sein du nouveau staff pour comprendre l'organisation de la filiale et notre méthode de travail, suivie d'une formation continue dans le domaine où il est affecte </t>
  </si>
  <si>
    <t>Quelles ont été les formations que vous avez suivies cette année?</t>
  </si>
  <si>
    <t>Le périmètre de responsabilité est-il connu et clair? Avez-vous une fiche de poste?</t>
  </si>
  <si>
    <t>Est-ce que vous avez des objectifs? 
Si oui, a quelle fréquence sont-ils établis? À quelle fréquence leur réalisation est-elle revue?</t>
  </si>
  <si>
    <t>OUI  objectif annuel</t>
  </si>
  <si>
    <t>Est-ce que la gestion des incidents/problèmes en fait partie?</t>
  </si>
  <si>
    <t>Est-ce que vous avez une visibilité claire sur les attentes du management vis-à-vis de votre activité?</t>
  </si>
  <si>
    <t>pouvez-vous la partager?</t>
  </si>
  <si>
    <t>Est-ce vous arrivez à gérer votre charge de travail ? Sinon quelles sont les principales difficultés à pouvoir le faire?</t>
  </si>
  <si>
    <t>Est-ce que vous menez des enquêtes de satisfaction sur les services IT fournis?</t>
  </si>
  <si>
    <t>pouvez-vous partager la dernière?</t>
  </si>
  <si>
    <t>Quels sont les retours que vous avez des clients? Sont-ils positifs ou negatifs?</t>
  </si>
  <si>
    <t>Positifs</t>
  </si>
  <si>
    <t>Sentez-vous une démarche d’amélioration continue autour des incidents/problèmes ? Si oui comment?</t>
  </si>
  <si>
    <r>
      <t xml:space="preserve">oui   </t>
    </r>
    <r>
      <rPr>
        <sz val="10"/>
        <color rgb="FFFFC000"/>
        <rFont val="Aptos Narrow"/>
        <scheme val="minor"/>
      </rPr>
      <t>Analyse post-incident suite à  un incident majeur, nous menons une analyse approfondie pour comprendre sa fréquence et ses causes. Cela nous permettra de préparer une solution de backup adéquate ou d'envisager les changements nécessaires</t>
    </r>
    <r>
      <rPr>
        <sz val="10"/>
        <color theme="0"/>
        <rFont val="Aptos Narrow"/>
        <family val="2"/>
        <scheme val="minor"/>
      </rPr>
      <t xml:space="preserve">
</t>
    </r>
  </si>
  <si>
    <t>Ligne 58, vous dites que vous ne mesurez pas les peformances, ligne 92 que l'analyse des incidents n'est pas faite régulièrement, que la solution n'est pas documenté et ligne 95 que vous n'avez pas de comités de revue, comment vous procédez ?</t>
  </si>
  <si>
    <t>Quels sont les points durs que vous pouvez rencontrer dans la gestion de vos incidents/problèmes ?</t>
  </si>
  <si>
    <r>
      <rPr>
        <sz val="10"/>
        <color theme="0"/>
        <rFont val="Aptos Narrow"/>
        <scheme val="minor"/>
      </rPr>
      <t>Documentation et suivi/ Analyse post-incident  / Gestion de la charge de travail :</t>
    </r>
    <r>
      <rPr>
        <sz val="10"/>
        <color rgb="FFFFC000"/>
        <rFont val="Aptos Narrow"/>
        <scheme val="minor"/>
      </rPr>
      <t xml:space="preserve"> Oui, il arrive parfois des moments de pic où nous sommes à la fois sur le support, la gouvernance et les projets de développement</t>
    </r>
  </si>
  <si>
    <t>ligne 103, vous ariivez à gérer votre charge de travail?</t>
  </si>
  <si>
    <t>D’après vos retours d’expérience, quels sont les axes d’amélioration que vous souhaiteriez voir mis en œuvre ?</t>
  </si>
  <si>
    <t xml:space="preserve">Intégration des Processus ITIL , Définition des Procédures de Scaling, Formalisation des SLA et KPI ,
un outil de gestion des services informatiques (ITSM) qui centralise la gestion des incidents, des problèmes, des changements et des demande, Formation et Sensibilisation
</t>
  </si>
  <si>
    <t>Nous sommes dans le thème SD et support</t>
  </si>
  <si>
    <t>Pouvez-vous me partager la liste des incidents ouverts des 3 derniers mois (ou depuis le 01/01) avec toutes les infos: 
 - n° incident
 - statut de l'incident
 - date/heure d'ouverture
 - criticité (ou sévérité/priorité)
 - application concernée
 - intitulé de l'incident
 - description de l'incident
 - demandeur (et son dept)
 - qui a pris en charge
 - date/heure d'escalade (si escalade)
 - date/heure de résolution
 - qui a résolu
 - solution appliquée
 - autres infos utiles</t>
  </si>
  <si>
    <t>incident impacte actuellement l'accès à notre système d'information (SI)  01/07/24  /   Non accès internet à l'Agence d'Agoe  05/05/24: n souci de coupure de fibre optique sur le tronçon menant chez l'agence</t>
  </si>
  <si>
    <t>Demandes de changements</t>
  </si>
  <si>
    <t>Veuillez fournir des informations sur les volumes et la fréquence des demandes de changement (CR) émanant des utilisateurs finaux et celles émanant par l'IT. Veuillez inclure des données historiques ainsi que des prévisions.</t>
  </si>
  <si>
    <t>Les demandes de changement ne sont actuellement pas formalisées, ce qui rend difficile de quantifier précisément leur volume et leur fréquence</t>
  </si>
  <si>
    <t>Combien de ces demandes surviennent en moyenne par an ?</t>
  </si>
  <si>
    <t>Veuillez fournir des informations sur le volume et la fréquence des versions mineures et majeures.</t>
  </si>
  <si>
    <t>Veuillez fournir des informations sur les KPI et mesures de performances des CR et développement d'applications, ci-dessous quelques exemples:
- Catégorisation des CR en termes d'effort, par ex. petit &lt; 15 JH, moyen &lt; 25 JH, etc.
- Catégorisation des CR en termes d'impact sur le Business
- Nombre de CR par département 
- Nombre de CR demandés vs approuvés
- Nombre de CR mis en Live par mois
- Pourcentage de CR mis en Live dans les délais convenus
- Pourcentage de CR mis en Live dans le budget prévu
- ...</t>
  </si>
  <si>
    <t>Nous tenons à vous informer que nous ne disposons pas actuellement des indicateurs nécessaires. Nous aurons besoin de votre support pour formaliser et suivre cela, car nous n'avons pas encore effectué ce genre d'exercice.</t>
  </si>
  <si>
    <t>Veuillez fournir ces informations si possible par domaine d'application</t>
  </si>
  <si>
    <r>
      <t>Combien de FTE des opérations (1</t>
    </r>
    <r>
      <rPr>
        <vertAlign val="superscript"/>
        <sz val="10"/>
        <color theme="1"/>
        <rFont val="Aptos Narrow"/>
        <family val="2"/>
        <scheme val="minor"/>
      </rPr>
      <t>er</t>
    </r>
    <r>
      <rPr>
        <sz val="10"/>
        <color theme="1"/>
        <rFont val="Aptos Narrow"/>
        <family val="2"/>
        <scheme val="minor"/>
      </rPr>
      <t xml:space="preserve"> et 2</t>
    </r>
    <r>
      <rPr>
        <vertAlign val="superscript"/>
        <sz val="10"/>
        <color theme="1"/>
        <rFont val="Aptos Narrow"/>
        <family val="2"/>
        <scheme val="minor"/>
      </rPr>
      <t>eme</t>
    </r>
    <r>
      <rPr>
        <sz val="10"/>
        <color theme="1"/>
        <rFont val="Aptos Narrow"/>
        <family val="2"/>
        <scheme val="minor"/>
      </rPr>
      <t xml:space="preserve"> niveau) sont utilisés pour les CR (en dehors du cadre de l'exploitation « normale ») ?</t>
    </r>
  </si>
  <si>
    <t>Projets</t>
  </si>
  <si>
    <t>Quels sont les critères utilisés pour qualifier les demandes utilisateurs en CR ou projet?</t>
  </si>
  <si>
    <r>
      <rPr>
        <sz val="10"/>
        <color theme="0"/>
        <rFont val="Aptos Narrow"/>
        <scheme val="minor"/>
      </rPr>
      <t xml:space="preserve">voici quelques critères généraux qui sont souvent utilisés pour prendre cette décision :
Portée du changement : La taille et l'impact de la demande peuvent déterminer si elle nécessite un traitement comme un projet ou peut être gérée comme un simple changement requis.
Complexité : Les demandes plus complexes qui nécessitent des ressources significatives en termes de temps, d'argent ou de compétences techniques sont souvent traitées comme des projets.
Ressources nécessaires : La disponibilité et l'allocation de ressources telles que le personnel, le financement et le matériel peuvent influencer si la demande est gérée comme un projet ou non.
Impact sur les autres systèmes ou processus : Les demandes qui affectent d'autres systèmes, processus ou parties prenantes peuvent nécessiter une gestion plus structurée comme un projet pour assurer une coordination appropriée et minimiser les risques.
Objectifs et bénéfices attendus : Les objectifs stratégiques ou les bénéfices attendus peuvent être pris en compte pour décider du niveau de gestion et de suivi requis pour la demande.
Risques associés : Les risques potentiels liés à la mise en œuvre de la demande peuvent influencer la décision de la gérer comme un projet pour permettre une gestion proactive des risques          </t>
    </r>
    <r>
      <rPr>
        <sz val="10"/>
        <rFont val="Aptos Narrow"/>
        <family val="2"/>
        <scheme val="minor"/>
      </rPr>
      <t xml:space="preserve">                                                                                                                                                                 . </t>
    </r>
    <r>
      <rPr>
        <sz val="10"/>
        <color rgb="FFFFC000"/>
        <rFont val="Aptos Narrow"/>
        <scheme val="minor"/>
      </rPr>
      <t>1. Portée du changement :
 Pourquoi : Déterminer l'impact du changement aide à comprendre si la demande est mineure ou majeure. 
2. Complexité :
 Pourquoi :. Gérer ces demandes comme des projets permet d'assurer une coordination efficace, une allocation appropriée des compétences et une surveillance continue pour éviter les échecs.
3. Ressources nécessaires :
 Pourquoi : Les projets nécessitent souvent une planification budgétaire, une gestion des ressources humaines et matérielles, ce qui justifie un traitement plus structuré.
4. Impact sur les autres systèmes ou processus :
 Pourquoi : permet de planifier et de gérer les interdépendances, de minimiser les risques de perturbations et d'assurer une communication adéquate entre les parties prenantes.
5. Objectifs et bénéfices attendus :
 Pourquoi : permet de  garantir que les objectifs sont atteints de manière efficace.</t>
    </r>
    <r>
      <rPr>
        <sz val="10"/>
        <rFont val="Aptos Narrow"/>
        <family val="2"/>
        <scheme val="minor"/>
      </rPr>
      <t xml:space="preserve">
</t>
    </r>
  </si>
  <si>
    <t>Quels sont les principaux projets IT (métiers) en cours et prévus, par ex. implémentations du CBS, Mobile Banking, upgrade de la messagerie, …?
Et projets IT (internes) en cours et prévus, par ex. mises à niveau du système, modifications architecturales logicielles et matérielles ?</t>
  </si>
  <si>
    <t>Quelle est la performance sur les délais de livraison des projets ?</t>
  </si>
  <si>
    <r>
      <rPr>
        <sz val="11"/>
        <color theme="0"/>
        <rFont val="Aptos Narrow"/>
        <scheme val="minor"/>
      </rPr>
      <t xml:space="preserve">Acceptable,   </t>
    </r>
    <r>
      <rPr>
        <sz val="11"/>
        <color rgb="FFFFC000"/>
        <rFont val="Aptos Narrow"/>
        <scheme val="minor"/>
      </rPr>
      <t>On n'avait pas défini d'indicateurs pour les mesures, mais on se base sur le retour des utilisateurs de façon informelle et sur l'appropriation des outils par les utilisateurs.</t>
    </r>
  </si>
  <si>
    <t>Comment cela a été mesuré?</t>
  </si>
  <si>
    <t>Quel est le processus pour l’introduction de nouvelles technologies (HW et SW) ?</t>
  </si>
  <si>
    <r>
      <rPr>
        <sz val="12"/>
        <color theme="0"/>
        <rFont val="Times New Roman"/>
        <family val="1"/>
      </rPr>
      <t xml:space="preserve"> Identification des besoins /  Évaluation des technologies disponibles / Analyse de faisabilité./  Planification et budgétisation         </t>
    </r>
    <r>
      <rPr>
        <sz val="12"/>
        <color theme="1"/>
        <rFont val="Times New Roman"/>
        <family val="1"/>
        <charset val="1"/>
      </rPr>
      <t xml:space="preserve">                                                                                                                                                                         </t>
    </r>
    <r>
      <rPr>
        <sz val="12"/>
        <color rgb="FFFFC000"/>
        <rFont val="Times New Roman"/>
        <family val="1"/>
      </rPr>
      <t xml:space="preserve">Identification des besoins :
• Pourquoi ? : Elle permet de définir clairement les problèmes à résoudre ou les opportunités à exploiter.
 Évaluation des technologies disponibles :
• Pourquoi ? : pour choisir la technologie qui correspond le mieux aux besoins identifiés.
Analyse de faisabilité :
• Pourquoi ? : permet de s'assurer que la  technologie est faisable dans le contexte spécifique  et répond aux attente 
Planification et budgétisation :
• Pourquoi ? : permet de planifier le déploiement de manière détaillée et de s'assurer que les ressources financières nécessaires sont disponibles. Cela inclut l'estimation des coûts d'acquisition, de mise en œuvre, de formation et de maintenance.
</t>
    </r>
  </si>
  <si>
    <t>Quel est le processus pour la conception de nouveaux services aux utilisateurs finaux ? Quels sont les délais de réalisation de ce processus et à quoi ressemble le résultat (modèles de documents) ?</t>
  </si>
  <si>
    <r>
      <rPr>
        <sz val="10"/>
        <color theme="0"/>
        <rFont val="Aptos Narrow"/>
        <scheme val="minor"/>
      </rPr>
      <t xml:space="preserve">Identification des besoins/ Définition des spécification/ Conception         </t>
    </r>
    <r>
      <rPr>
        <sz val="10"/>
        <rFont val="Aptos Narrow"/>
        <family val="2"/>
        <scheme val="minor"/>
      </rPr>
      <t xml:space="preserve">                                                                                                                               </t>
    </r>
    <r>
      <rPr>
        <sz val="10"/>
        <color rgb="FFFFC000"/>
        <rFont val="Aptos Narrow"/>
        <scheme val="minor"/>
      </rPr>
      <t>1. Identification des besoins
Cela permet de bien comprendre ce que les utilisateurs finaux attendent du système ou du logiciel.
2. Définition des spécifications
Fournit une description détaillée des fonctionnalités et des contraintes du système ou du logiciel.
3. Conception
Permet de créer une architecture et un plan de développement structurés pour le projet</t>
    </r>
    <r>
      <rPr>
        <sz val="10"/>
        <rFont val="Aptos Narrow"/>
        <family val="2"/>
        <scheme val="minor"/>
      </rPr>
      <t xml:space="preserve">
</t>
    </r>
  </si>
  <si>
    <t>Pouvez-vous partager les dernières?</t>
  </si>
  <si>
    <r>
      <t>Combien de FTE des opérations (1</t>
    </r>
    <r>
      <rPr>
        <vertAlign val="superscript"/>
        <sz val="10"/>
        <color theme="1"/>
        <rFont val="Aptos Narrow"/>
        <family val="2"/>
        <scheme val="minor"/>
      </rPr>
      <t>er</t>
    </r>
    <r>
      <rPr>
        <sz val="10"/>
        <color theme="1"/>
        <rFont val="Aptos Narrow"/>
        <family val="2"/>
        <scheme val="minor"/>
      </rPr>
      <t xml:space="preserve"> et 2</t>
    </r>
    <r>
      <rPr>
        <vertAlign val="superscript"/>
        <sz val="10"/>
        <color theme="1"/>
        <rFont val="Aptos Narrow"/>
        <family val="2"/>
        <scheme val="minor"/>
      </rPr>
      <t>eme</t>
    </r>
    <r>
      <rPr>
        <sz val="10"/>
        <color theme="1"/>
        <rFont val="Aptos Narrow"/>
        <family val="2"/>
        <scheme val="minor"/>
      </rPr>
      <t xml:space="preserve"> niveau) sont utilisés pour des projets (en dehors du cadre de l'exploitation « normale ») ?</t>
    </r>
  </si>
  <si>
    <t>J'ai jamais fait cet exercice avant.</t>
  </si>
  <si>
    <t>Comment est organisé le processus d’approbation financière (budgétaire) des projets ?</t>
  </si>
  <si>
    <t xml:space="preserve">  Identification du besoin : Analyse approfondie des besoins du marché et des parties prenantes pour définir le problème à résoudre ou l'opportunité à exploiter.
•  Élaboration du projet : Conception du projet incluant les objectifs, la portée, les livrables, et la stratégie de mise en œuvre.
•  Préparation de la proposition : Rédaction d'une proposition détaillée présentant le projet, ses objectifs, ses méthodes et les ressources nécessaires.
•  Projections financières : Estimations financières incluant les coûts prévus, les sources de financement potentielles, et les revenus attendus.
•  Justification des coûts et bénéfices : Explication claire et documentée des coûts impliqués et des bénéfices attendus, démontrant la viabilité et la rentabilité du projet.
</t>
  </si>
  <si>
    <t>Environnement informatique de l'utilisateur final</t>
  </si>
  <si>
    <t>Veuillez décrire l'environnement de travail des utilisateurs finaux: ordinateurs, ordinateurs portables, imprimantes, appareils mobiles, VoIP, vidéoconférence, etc.</t>
  </si>
  <si>
    <t>Les utilisateurs finaux disposent d'ordinateurs et d'ordinateurs portables équipés du système d'exploitation Windows. Ils sont connectés à Internet via un réseau interne câblé ou WiFi. Pour l'impression, ils utilisent des imprimantes multifonctions centralisées, chaque utilisateur ayant un code de sécurité spécifique pour accéder à ces appareils. Enfin, tout le réseau est protégé par un équipement de pare-feu Fortinet, assurant une sécurité renforcée.</t>
  </si>
  <si>
    <t>Qui est responsable du support sur l'environnement utilisateur?</t>
  </si>
  <si>
    <t>TEAM IT</t>
  </si>
  <si>
    <t>Veuillez fournir des informations sur les systèmes de support pour l'environnement de l'utilisateur final, par ex. gestion des actifs et des licences, configuration des logiciels, déploiement des configurations, archivage des images, sécurité, etc.</t>
  </si>
  <si>
    <t>Sécurité :
o	Mise en œuvre de politiques de sécurité robustes incluant la gestion des correctifs, l'authentification multifactorielle, et la surveillance des menaces.
o	Utilisation de pare-feu, de logiciels antivirus et de solutions de chiffrement pour protéger les données et les systèmes contre les menaces internes et externes.  Firewall (Fortinet) : Configurez et maintenez un pare-feu robuste pour contrôler le trafic réseau entrant et sortant.
o	Logiciels antivirus (Kaspersky) : Utilisez des solutions de protection contre les logiciels malveillants pour détecter et éliminer les menace
Gestion des incidents et support utilisateur :
o	Utilisation de systèmes de gestion des incidents pour suivre, résoudre et documenter les problèmes rencontrés par les utilisateurs.
o	Fourniture d'un support utilisateur efficace à travers des portails d'assistance, des centres d'appels ou des équipes dédiées.
Supervision soc
Assurez-vous de mettre en place une surveillance continue des événements de sécurité et des incidents à travers un SOC pour une réponse proactive aux menaces.</t>
  </si>
  <si>
    <t>Pour le support, cela est en paradox avec les réponses plus haut</t>
  </si>
  <si>
    <t>Veuillez lister les applications poste de travail actuellement utilisées pour les différentes catégories de personnel?</t>
  </si>
  <si>
    <r>
      <rPr>
        <sz val="10"/>
        <color theme="0"/>
        <rFont val="Aptos Narrow"/>
        <scheme val="minor"/>
      </rPr>
      <t xml:space="preserve">1.	Suite bureautique : Microsoft Office (Word, Excel, PowerPoint)
2.	Logiciel de messagerie : Outlook,
3.	Logiciel de gestion documentaire : SharePoint, Dropbox, Google Drive
4.	Navigateurs web : Google Chrome, Mozilla Firefox, Microsoft Edge
5.	Communication d'équipe : Microsoft Teams, Slack, Zoom
6.	Outils de virtualisation : VMware, VirtualBox
7.	Outils de gestion de bases de données : MySQL Workbench, Microsoft SQL Server Management Studio
8.	Logiciel de gestion des tickets : ServiceNow, JIRA Service Desk, Zendesk
9.	Outils de support à distance : TeamViewer, AnyDesk, Remote Desktop Services (RDS)
10.	Logiciels de surveillance et de gestion réseau : SOC       </t>
    </r>
    <r>
      <rPr>
        <sz val="10"/>
        <rFont val="Aptos Narrow"/>
        <family val="2"/>
        <scheme val="minor"/>
      </rPr>
      <t xml:space="preserve">                                                                                                                                                               </t>
    </r>
    <r>
      <rPr>
        <sz val="10"/>
        <color rgb="FFFFC000"/>
        <rFont val="Aptos Narrow"/>
        <scheme val="minor"/>
      </rPr>
      <t>Nous utilisons actuellement Google Drive et Zoom pour échanger avec nos partenaires externes. ServiceNow et Jira SD sont en phase d’expérimentation pour améliorer nos processus internes.
 Pour le support technique à distance, nous utilisons souvent AnyDesk et Teamviewer. 
Nous n'avons pas actuellement de licence authentique pour ces outils en dehors ZOOM</t>
    </r>
    <r>
      <rPr>
        <sz val="10"/>
        <rFont val="Aptos Narrow"/>
        <family val="2"/>
        <scheme val="minor"/>
      </rPr>
      <t xml:space="preserve">
</t>
    </r>
  </si>
  <si>
    <t>Pourquoi Google Drive, Zoom alors que vous avez le pack Microsoft?
Pourquoi ServiceNow et Jira SD et Zendesk, alors que outil ITSM est non?
Pourquoi AnyDesk et Teamviewer? Y'a-t-il des licences?</t>
  </si>
  <si>
    <t>Vendeurs</t>
  </si>
  <si>
    <t>Existe-t-il une approche à l’échelle du groupe concernant les fournisseurs privilégiés ? Si oui, pouvez-vous s'il vous plaît fournir la liste des fournisseurs, leurs classements et domaines de livraison ? Veuillez également indiquer les changements prévus et les fournisseurs envisagés dans un avenir proche.</t>
  </si>
  <si>
    <t>Décrire les contrats de support matériel et logiciel actuels avec les fournisseurs de systèmes concernés.</t>
  </si>
  <si>
    <t>Utilisez-vous un outil de mesure de la performance des fournisseurs ? Si tel est le cas, veuillez nous informer sur l'outil et répertorier les scores par fournisseur.</t>
  </si>
  <si>
    <t>Tous les matériels et logiciels concernés sont-ils toujours entièrement pris en charge ? Ou avez-vous certains hors support?</t>
  </si>
  <si>
    <t>Questions Sécurité</t>
  </si>
  <si>
    <t>Sécurité de l’information - Information et documentation à fournir</t>
  </si>
  <si>
    <t>Questions complémentaires</t>
  </si>
  <si>
    <t>Quels systèmes, procédures ou pratiques de sécurité sont en place pour protéger les systèmes d’information ?</t>
  </si>
  <si>
    <t xml:space="preserve">Kaspersky Advanced, EDR Kaspersky, SIEM Qradar, Qualys, SOC, Fortinet,IPS et IDS </t>
  </si>
  <si>
    <t>Qu'en est-il des procédures et politiques?</t>
  </si>
  <si>
    <t>Existe-t-il des restrictions légales concernant le traitement des données par d'autres parties que le client ? Toute limitation pour l'accès à distance aux systèmes, les opérations à distance des systèmes</t>
  </si>
  <si>
    <t>Détailler</t>
  </si>
  <si>
    <t>Existe-t-il des plans de reprise après sinistre et de continuité des activités ?</t>
  </si>
  <si>
    <t>Pouvez-vous les partager?</t>
  </si>
  <si>
    <t>Existe-t-il une solution de reprise après sinistre (DR) ?</t>
  </si>
  <si>
    <r>
      <t xml:space="preserve">oui </t>
    </r>
    <r>
      <rPr>
        <sz val="10"/>
        <color rgb="FFFFC000"/>
        <rFont val="Aptos Narrow"/>
        <scheme val="minor"/>
      </rPr>
      <t xml:space="preserve">Sauvegarde et restauration </t>
    </r>
  </si>
  <si>
    <t>Sinon, avez-vous au moins des procédures de récupération ? Pour quels services?</t>
  </si>
  <si>
    <t>Y a-t-il des politiques de sécurité informatique en place ?</t>
  </si>
  <si>
    <t>o   Gestion des utilisateurs :</t>
  </si>
  <si>
    <t>§  La procédure technique concernant la mise à jour des utilisateurs (création / modification / suppression) ;</t>
  </si>
  <si>
    <t>Pouvez-vous la partager?</t>
  </si>
  <si>
    <t>§  La procédure technique concernant la désactivation / activation utilisateur;</t>
  </si>
  <si>
    <t>o   Gestion des habilitations :</t>
  </si>
  <si>
    <t xml:space="preserve">§  La liste des administrateurs système (y compris comptes administrateurs de domaines). </t>
  </si>
  <si>
    <t>§  La liste des profils disponibles dans chaque application</t>
  </si>
  <si>
    <t xml:space="preserve">§  Les dernières revues de droits réalisées si elles ont été formalisées (procédure, et rapport de la dernière revue). </t>
  </si>
  <si>
    <t>o   Caractéristiques des mots de passe :</t>
  </si>
  <si>
    <t>§  La politique de sécurité des systèmes d’information mise en œuvre ;</t>
  </si>
  <si>
    <t>§  La charte informatique à destination des utilisateurs et de l’informatique ;</t>
  </si>
  <si>
    <t xml:space="preserve">§  Des copies d’écrans de l’annuaire nous permettant d’identifier la politique de sécurité appliquée sur tous les Groupes (utilisateurs, utilisateurs avec pouvoirs, administrateurs de domaine) ainsi que la durée d’inactivité avant verrouillage de la session </t>
  </si>
  <si>
    <t xml:space="preserve">§  Les informations suivantes pour les mots de passe : </t>
  </si>
  <si>
    <t>·       Règles d’attribution</t>
  </si>
  <si>
    <t xml:space="preserve">·       Durée de vie. </t>
  </si>
  <si>
    <t>45 jours</t>
  </si>
  <si>
    <t xml:space="preserve">·       Longueur minimale. </t>
  </si>
  <si>
    <t xml:space="preserve">·       Complexité. </t>
  </si>
  <si>
    <t xml:space="preserve">·       Blocage après X tentatives de connexions infructueuses. </t>
  </si>
  <si>
    <t xml:space="preserve">·       Historique. </t>
  </si>
  <si>
    <t xml:space="preserve">·       Changement obligatoire du mot de passe d’initialisation. </t>
  </si>
  <si>
    <t xml:space="preserve">·       Durée d’inactivité avant verrouillage de la session. </t>
  </si>
  <si>
    <t>o   Antivirus/antimaleware :</t>
  </si>
  <si>
    <t xml:space="preserve">§  Les copies d’écrans des versions d’antivirus/antimaleware installées sur les serveurs </t>
  </si>
  <si>
    <t xml:space="preserve">§  Une copie d’écran de la version d’antivirus/antimaleware installée sur un poste de travail. </t>
  </si>
  <si>
    <t>o   Sauvegardes :</t>
  </si>
  <si>
    <t>§  La politique de sauvegarde des données informatiques, incluant les procédures de restauration et d’archivage ;</t>
  </si>
  <si>
    <t>§  Le planning des sauvegardes ;</t>
  </si>
  <si>
    <t>Sécurité physique et accès au(x) site(s)</t>
  </si>
  <si>
    <t>Décrire la manière dont l'accès aux bureaux est organisé (badges nominatifs, empreintes digitales, photos, …)</t>
  </si>
  <si>
    <t>badges</t>
  </si>
  <si>
    <t>Décrire les installations qui hébergent actuellement l'organisation des opérations : Emplacement(s), taille(s), Type (centre de données, centre d'opérations central, centre d'opérations local, etc.), Propriété (loué-en leasing-propriétaire), …</t>
  </si>
  <si>
    <t>centre d'opérations local</t>
  </si>
  <si>
    <t>Fournir des informations sur la manière dont l'accès aux sites des centres de données est organisé</t>
  </si>
  <si>
    <t>Existe-t-il des restrictions d'accès (24h/24 et 7j/7) aux sites des centres de données</t>
  </si>
  <si>
    <r>
      <t xml:space="preserve">oui </t>
    </r>
    <r>
      <rPr>
        <sz val="10"/>
        <color rgb="FFFFC000"/>
        <rFont val="Aptos Narrow"/>
        <scheme val="minor"/>
      </rPr>
      <t xml:space="preserve"> l'accès aux centres de données est restreint et soumis à des politiques strictes de sécurité et d'accès. Contrôle d'accès physique / Horaires d'accès / Autorisations préalables : L'accès peut nécessiter une autorisation préalable et être strictement réservé au personnel autorisé ou aux techniciens en cas d'intervention d'urgence / Surveillance continue</t>
    </r>
  </si>
  <si>
    <t>Lesquels?</t>
  </si>
  <si>
    <t>Existe-t-il  un Data Center de secours? Si oui, suit-il des restrictions? Lesquels?</t>
  </si>
  <si>
    <t xml:space="preserve">oui  </t>
  </si>
  <si>
    <t>Outils de sécurité</t>
  </si>
  <si>
    <t>Pouvez-vous lister de sécurité mis en place et décrires brièvement leurs fonctionnalités dans la colonne détails (gestion des mdp, gestion des logs, IAM, DLP, antimaleware, SASE, …) ?</t>
  </si>
  <si>
    <t>en dehors de la gestion des mots de passe et de l'Antivirus (Kaspersky Advanced, EDR Kaspersky), les autres dispositifs de sécurité sont gérés au niveau de l'IT groupe :
Firewall : Fortinet avec IDS/IPS activé.
SOC : Supervision 24/7 des actifs du groupe COFINA pour prévenir toute cyberattaque.
SIEM : Qradar, Qualys.</t>
  </si>
  <si>
    <t>Veuillez préciser pour chaque outil s'il est installé sur site ou utilisé à partir du Cloud (SaaS) ?</t>
  </si>
  <si>
    <t>SITE</t>
  </si>
  <si>
    <t>Quelle est la criticité de chaque outil ?</t>
  </si>
  <si>
    <t>Firewall Fortinet avec IDS/IPS activé :
Criticité : Très élevée
Raison : Le firewall Fortinet avec IDS/IPS joue un rôle crucial en sécurisant le périmètre réseau, en détectant et en prévenant les intrusions potentielles. Il est essentiel pour protéger vos systèmes contre les attaques externes et internes.
SOC (Security Operations Center) :
Criticité : Élevée
Raison : Le SOC est responsable de la surveillance continue de vos actifs informatiques, détectant les menaces et répondant aux incidents de sécurité en temps réel. Il contribue à minimiser les risques de cyberattaques et à assurer la résilience de votre infrastructure.
SIEM (Security Information and Event Management) - Qradar, Qualys :
Criticité : Élevée
Raison : Le SIEM est crucial pour la collecte, la corrélation et l'analyse des événements de sécurité à travers votre réseau. Qradar et Qualys fournissent des capacités avancées de gestion des informations de sécurité, aidant à identifier les menaces potentielles et à répondre aux incidents de manière proactive.</t>
  </si>
  <si>
    <t>Quel est le nombre actuel de licences détenues par la filiale pour chaque outil ?</t>
  </si>
  <si>
    <t>voir IT groupe</t>
  </si>
  <si>
    <t>Quel est le coût du support éditeur/partenaire pour chaque outil ?</t>
  </si>
  <si>
    <t>Quel type de contrat pour chaque outil: global couvrant plusieurs filiales ou dédié à la filiale ?</t>
  </si>
  <si>
    <t>Lancez-vous régulièrement des campagnes (internes ou externes) de sensibilisation antiphishing ?</t>
  </si>
  <si>
    <t>Pouvez-vous partager un exemple de communication?</t>
  </si>
  <si>
    <t>Lancez-vous régulièrement des pentest ? Si oui, pouvez-vous partager le dernier rapport et les actions entreprises par la suite</t>
  </si>
  <si>
    <t>#</t>
  </si>
  <si>
    <t>Nom du fichier</t>
  </si>
  <si>
    <t>Lien du fichier</t>
  </si>
  <si>
    <t>Prestataire</t>
  </si>
  <si>
    <t>Bénéficiaire</t>
  </si>
  <si>
    <r>
      <t xml:space="preserve">Scope </t>
    </r>
    <r>
      <rPr>
        <i/>
        <sz val="10"/>
        <color rgb="FFFFFFFF"/>
        <rFont val="Arial"/>
        <family val="2"/>
      </rPr>
      <t xml:space="preserve">(périmètre, solution, modules/ services inclus, etc.) </t>
    </r>
  </si>
  <si>
    <t>[L]icences
[S]ouscription
[I]mplémentation
[M]aintenance/Support</t>
  </si>
  <si>
    <t>Volume 
(# licences, # souscriptions, …)</t>
  </si>
  <si>
    <t>Coût</t>
  </si>
  <si>
    <t>Mécanisme de coût</t>
  </si>
  <si>
    <r>
      <t xml:space="preserve">Importance </t>
    </r>
    <r>
      <rPr>
        <sz val="10"/>
        <color rgb="FFFFFFFF"/>
        <rFont val="Arial"/>
        <family val="2"/>
      </rPr>
      <t>(haute / moyenne / faible)</t>
    </r>
    <r>
      <rPr>
        <b/>
        <sz val="10"/>
        <color rgb="FFFFFFFF"/>
        <rFont val="Arial"/>
        <family val="2"/>
      </rPr>
      <t xml:space="preserve"> </t>
    </r>
  </si>
  <si>
    <t>Date de début</t>
  </si>
  <si>
    <t>Durée du contrat</t>
  </si>
  <si>
    <r>
      <t xml:space="preserve">SLA </t>
    </r>
    <r>
      <rPr>
        <sz val="10"/>
        <color rgb="FFFFFFFF"/>
        <rFont val="Arial"/>
        <family val="2"/>
      </rPr>
      <t>(dispo ou pas)</t>
    </r>
    <r>
      <rPr>
        <b/>
        <sz val="10"/>
        <color rgb="FFFFFFFF"/>
        <rFont val="Arial"/>
        <family val="2"/>
      </rPr>
      <t xml:space="preserve"> et lien</t>
    </r>
  </si>
  <si>
    <t>Notification de résiliation</t>
  </si>
  <si>
    <t>Contrat signé par les 2 parties (oui/non)</t>
  </si>
  <si>
    <t>Remise appliquée</t>
  </si>
  <si>
    <t>Responsable Achat</t>
  </si>
  <si>
    <t>Commentaires / Information complémentaire / Questions à poser</t>
  </si>
  <si>
    <t>INFOGERANCE</t>
  </si>
  <si>
    <t>CANOPUS</t>
  </si>
  <si>
    <t>COFINA TOGO</t>
  </si>
  <si>
    <t>LOCATION D'IMPRIMANTE</t>
  </si>
  <si>
    <t>moyenne</t>
  </si>
  <si>
    <t> 2 mois</t>
  </si>
  <si>
    <t>N/A</t>
  </si>
  <si>
    <t>Amadou Mar DIOP</t>
  </si>
  <si>
    <t>FAI</t>
  </si>
  <si>
    <t>GVA</t>
  </si>
  <si>
    <t>INTERNET</t>
  </si>
  <si>
    <t>M</t>
  </si>
  <si>
    <t>haute</t>
  </si>
  <si>
    <t>TOGOCOM</t>
  </si>
  <si>
    <t>GOMISE</t>
  </si>
  <si>
    <t>CAGECFI</t>
  </si>
  <si>
    <t>PAIE</t>
  </si>
  <si>
    <t>IT GROUPE</t>
  </si>
  <si>
    <t>MOBILE</t>
  </si>
  <si>
    <t>Smarts Solutions Managers</t>
  </si>
  <si>
    <t>COFINA MOBILE +</t>
  </si>
  <si>
    <t>VOIR IT GROUPE</t>
  </si>
  <si>
    <t xml:space="preserve">IMMO </t>
  </si>
  <si>
    <t>MEDIASOFT</t>
  </si>
  <si>
    <t>IMMOBILISATION DES BIEN ET ACTIFS</t>
  </si>
  <si>
    <t>L</t>
  </si>
  <si>
    <t>DIRECTION</t>
  </si>
  <si>
    <t>FLEXCUBE</t>
  </si>
  <si>
    <t>JMR Infotech</t>
  </si>
  <si>
    <t>SYSTÈME D'INFORMATION</t>
  </si>
  <si>
    <t>Projet</t>
  </si>
  <si>
    <t>Objectif</t>
  </si>
  <si>
    <t>État Actuel</t>
  </si>
  <si>
    <t>Progrès Réalisé (%)</t>
  </si>
  <si>
    <t>Résultats et Avantages</t>
  </si>
  <si>
    <t>Commentaire</t>
  </si>
  <si>
    <t>Présentation  Projets Informatiques  Accomplis   2025</t>
  </si>
  <si>
    <t>Digitalisation des processus arrêt de caisse</t>
  </si>
  <si>
    <t>Automatiser et simplifier les processus de clôture de caisse</t>
  </si>
  <si>
    <t>Processus automatisés, réduction du temps</t>
  </si>
  <si>
    <t>- Gain de temps.</t>
  </si>
  <si>
    <t>- Minimisation des erreurs humaines.</t>
  </si>
  <si>
    <t>Application de rappel des échéances (15j, 7j, J)</t>
  </si>
  <si>
    <t>Optimiser la gestion des échéances pour éviter les retards</t>
  </si>
  <si>
    <t>Application fonctionnelle, rappels envoyés</t>
  </si>
  <si>
    <t>- Réduction des retards de paiement.</t>
  </si>
  <si>
    <t>- Amélioration de la trésorerie.</t>
  </si>
  <si>
    <r>
      <t xml:space="preserve">Logiciel de Gestion du Parc Informatique &amp; Helpdesk  </t>
    </r>
    <r>
      <rPr>
        <b/>
        <sz val="12"/>
        <color rgb="FFFF0000"/>
        <rFont val="Aptos Narrow"/>
        <family val="2"/>
        <scheme val="minor"/>
      </rPr>
      <t>COFIHELP</t>
    </r>
  </si>
  <si>
    <t>Améliorer la gestion du parc &amp; le support technique</t>
  </si>
  <si>
    <t>Système opérationnel</t>
  </si>
  <si>
    <t>- Réduction des pannes.</t>
  </si>
  <si>
    <t>- Productivité accrue.</t>
  </si>
  <si>
    <t>Correctifs appliqués</t>
  </si>
  <si>
    <t>- Stabilité et sécurité renforcées.</t>
  </si>
  <si>
    <t>Transactions opérationnelles</t>
  </si>
  <si>
    <t>- Fluidité des paiements.</t>
  </si>
  <si>
    <t>- Plus de choix pour les clients.</t>
  </si>
  <si>
    <t>Digitalisation des conventions de crédit</t>
  </si>
  <si>
    <t>Accélérer le traitement des contrats de crédit</t>
  </si>
  <si>
    <t>Projet terminé</t>
  </si>
  <si>
    <t>- Réduction des délais de traitement.</t>
  </si>
  <si>
    <t>- Meilleure traçabilité , Minimisation des erreurs humaines</t>
  </si>
  <si>
    <r>
      <t xml:space="preserve">Automatisation des extractions opérationnelles Flexcube </t>
    </r>
    <r>
      <rPr>
        <b/>
        <sz val="12"/>
        <color rgb="FFFF0000"/>
        <rFont val="Aptos Narrow"/>
        <family val="2"/>
        <scheme val="minor"/>
      </rPr>
      <t>REPORT</t>
    </r>
  </si>
  <si>
    <t>Gagner du temps sur la génération de rapports</t>
  </si>
  <si>
    <t xml:space="preserve">Extractions automatisées  </t>
  </si>
  <si>
    <t>- Moins de charge manuelle.</t>
  </si>
  <si>
    <t>- Rapports disponibles rapidement.</t>
  </si>
  <si>
    <r>
      <t xml:space="preserve">Application de gestion des </t>
    </r>
    <r>
      <rPr>
        <b/>
        <sz val="12"/>
        <color rgb="FFFF0000"/>
        <rFont val="Aptos Narrow"/>
        <family val="2"/>
        <scheme val="minor"/>
      </rPr>
      <t>COFICARTES</t>
    </r>
  </si>
  <si>
    <t>Suivre les ventes et le stock de cartes VISA</t>
  </si>
  <si>
    <t>Application opérationnelle</t>
  </si>
  <si>
    <t>- Suivi en temps réel.</t>
  </si>
  <si>
    <t>- Traçabilité améliorée.</t>
  </si>
  <si>
    <t xml:space="preserve">Application Recrutement RH </t>
  </si>
  <si>
    <t>Améliorer le processus de recrutement</t>
  </si>
  <si>
    <t>Application fonctionnelle</t>
  </si>
  <si>
    <t>- Processus fluidifié.</t>
  </si>
  <si>
    <t>IMMO – Gestion des immobilisations</t>
  </si>
  <si>
    <t>Suivre les immobilisations de l'entreprise</t>
  </si>
  <si>
    <t>- Meilleure visibilité patrimoniale.</t>
  </si>
  <si>
    <r>
      <rPr>
        <b/>
        <sz val="12"/>
        <color rgb="FFFF0000"/>
        <rFont val="Aptos Narrow"/>
        <family val="2"/>
        <scheme val="minor"/>
      </rPr>
      <t xml:space="preserve">COFIGED </t>
    </r>
    <r>
      <rPr>
        <b/>
        <sz val="12"/>
        <color theme="0"/>
        <rFont val="Aptos Narrow"/>
        <family val="2"/>
        <scheme val="minor"/>
      </rPr>
      <t>– Archivage numérique</t>
    </r>
  </si>
  <si>
    <t>Digitaliser l’archivage des documents</t>
  </si>
  <si>
    <t>Application déployée</t>
  </si>
  <si>
    <t>- Réduction du papier.</t>
  </si>
  <si>
    <t>- Accès rapide aux documents.</t>
  </si>
  <si>
    <t>GESTION DE STOCK (Parc IT, consommables…)</t>
  </si>
  <si>
    <t>Optimiser le suivi des stocks</t>
  </si>
  <si>
    <t>Application en production</t>
  </si>
  <si>
    <t>- Traçabilité complète.</t>
  </si>
  <si>
    <t>Implémentation Carthago (réglementaire)</t>
  </si>
  <si>
    <t>Assurer la conformité réglementaire</t>
  </si>
  <si>
    <t>Système en production</t>
  </si>
  <si>
    <t>- Conformité assurée.</t>
  </si>
  <si>
    <t>- Risques réglementaires réduits.</t>
  </si>
  <si>
    <t>Application d’Intégration Automatique des OD</t>
  </si>
  <si>
    <t>Simplifier les opérations comptables</t>
  </si>
  <si>
    <t>Application en service</t>
  </si>
  <si>
    <t>- Rapidité et fiabilité des OD.</t>
  </si>
  <si>
    <t>COFINA MOBILE+</t>
  </si>
  <si>
    <t>Cofina Mobile+ est une application web et mobile , permettant aux clients d'accéder à des services bancaires à distance 24h/24 et 7j/7 depuis un ordinateur, une tablette ou un smartphone.</t>
  </si>
  <si>
    <t>Déployé et opérationnel</t>
  </si>
  <si>
    <t>- Disponibilité permanente des services</t>
  </si>
  <si>
    <t>- Réduction de l'affluence en agence</t>
  </si>
  <si>
    <t>- Amélioration de l’expérience utilisateur</t>
  </si>
  <si>
    <t>- Extension de la portée des services bancaires</t>
  </si>
  <si>
    <t>SMS Banking</t>
  </si>
  <si>
    <t>Le service SMS Banking permet aux clients  de recevoir des notifications par SMS en temps réel pour chaque mouvement effectué sur leur compte bancaire.  Ce service vise à renforcer la transparence et la sécurité des transactions tout en offrant aux clients un suivi instantané de leurs opérations financières.</t>
  </si>
  <si>
    <t>- Transparence accrue</t>
  </si>
  <si>
    <t>- Suivi en temps réel des opérations</t>
  </si>
  <si>
    <t>- Renforcement de la sécurité des comptes</t>
  </si>
  <si>
    <t>B2W/W2B</t>
  </si>
  <si>
    <t>Le projet B2W (Bank to Wallet) / W2B (Wallet to Bank) vise à mettre en place un service permettant aux clients de transférer des fonds entre leurs comptes bancaires et leurs portefeuilles mobiles via un canal USSD.</t>
  </si>
  <si>
    <t>En phase finale de tests et intégrations</t>
  </si>
  <si>
    <t>- Accessibilité pour les utilisateurs sans smartphone</t>
  </si>
  <si>
    <t>- Inclusion financière renforcée</t>
  </si>
  <si>
    <t>- Réduction des délais de transfert</t>
  </si>
  <si>
    <t>Outil de suivi des commissions et digitalisation des workflows</t>
  </si>
  <si>
    <t>L'Outil de suivi des commissions et digitalisation des workflows vise à améliorer la gestion et le suivi des commissions prelevées en agence et par les  équipes back-office. Il intègre une automatisation des processus de validation et de traitement afin d'optimiser l'efficacité opérationnelle et la transparence dans le calcul et le paiement des commissions</t>
  </si>
  <si>
    <t>Déployé et en production</t>
  </si>
  <si>
    <t>- Meilleure visibilité sur les commissions</t>
  </si>
  <si>
    <t>- Automatisation des validations</t>
  </si>
  <si>
    <t>- Fiabilité accrue des calculs</t>
  </si>
  <si>
    <t>- Gains de temps significatifs</t>
  </si>
  <si>
    <t>Digitalisation des conventions de crédit V2</t>
  </si>
  <si>
    <t>- Meilleure traçabilité</t>
  </si>
  <si>
    <t>- Réduction des erreurs humaines</t>
  </si>
  <si>
    <t>- Délai de traitement réduit</t>
  </si>
  <si>
    <t>Automatisation de l'envoi mensuel des relevés de compte clients</t>
  </si>
  <si>
    <t>Automatiser la génération, la mise en forme et l’envoi des relevés de compte clients à la fin de chaque mois</t>
  </si>
  <si>
    <t>Fonctionnalité déployée et testée</t>
  </si>
  <si>
    <t>- Moins d’intervention manuelle</t>
  </si>
  <si>
    <t>- Amélioration de la ponctualité</t>
  </si>
  <si>
    <t>- Meilleure conformité réglementaire</t>
  </si>
  <si>
    <t>- Expérience client renforcée</t>
  </si>
  <si>
    <t>Automatisation de l’ouverture et de la fermeture du Système d’Information</t>
  </si>
  <si>
    <t>Automatiser les routines quotidiennes du système d'information.</t>
  </si>
  <si>
    <t>Finalisé</t>
  </si>
  <si>
    <t>- Gain de temps opérationnel</t>
  </si>
  <si>
    <t>- Réduction des risques d’oubli ou d’erreur humaine</t>
  </si>
  <si>
    <t>Déploiement TPE (pour collecte)</t>
  </si>
  <si>
    <t>Déployer les terminaux de paiement (TPE) pour faciliter la collecte.</t>
  </si>
  <si>
    <t>STANDBY</t>
  </si>
  <si>
    <t>- Modernisation des moyens de collecte</t>
  </si>
  <si>
    <t>Le déploiement est presque finalisé. Reste la formation continue des agents terrain et quelques derniers tests de validation.</t>
  </si>
  <si>
    <t>- Réduction de la manipulation de liquidités</t>
  </si>
  <si>
    <t>- Suivi en temps réel des transactions</t>
  </si>
  <si>
    <t>Priorité</t>
  </si>
  <si>
    <t>Progrès réalisé</t>
  </si>
  <si>
    <t>Résultats &amp; Avantages</t>
  </si>
  <si>
    <t>Owner</t>
  </si>
  <si>
    <t>Start Date</t>
  </si>
  <si>
    <t>End Date</t>
  </si>
  <si>
    <t>Date de livraison</t>
  </si>
  <si>
    <t>Digitalisation des processus d’arrêt de caisse (ecart de caisse)</t>
  </si>
  <si>
    <t>Not Star</t>
  </si>
  <si>
    <t>- Gain de temps significatif</t>
  </si>
  <si>
    <t>BABACAR</t>
  </si>
  <si>
    <t>À définir</t>
  </si>
  <si>
    <t>- Minimisation des erreurs humaines</t>
  </si>
  <si>
    <t>ERB – État de Rapprochement Bancaire</t>
  </si>
  <si>
    <t>Automatiser le rapprochement bancaire</t>
  </si>
  <si>
    <t>- Réduction des écarts et erreurs humaines</t>
  </si>
  <si>
    <t>Application de gestion des COFICARTES</t>
  </si>
  <si>
    <t>Assurer le suivi des ventes et du stock de cartes VISA</t>
  </si>
  <si>
    <t>In Progress</t>
  </si>
  <si>
    <t>- Suivi en temps réel</t>
  </si>
  <si>
    <t>MAR</t>
  </si>
  <si>
    <t>—</t>
  </si>
  <si>
    <t>- Traçabilité améliorée</t>
  </si>
  <si>
    <t>- Réduction des risques réglementaires</t>
  </si>
  <si>
    <t>Gestion des pièces comptables – Intégration automatique des OD</t>
  </si>
  <si>
    <t>Simplifier et fiabiliser les opérations comptables</t>
  </si>
  <si>
    <t>- Rapidité de traitement</t>
  </si>
  <si>
    <t>MODOU</t>
  </si>
  <si>
    <t>Réduire significativement l’impression massive de pièces comptables</t>
  </si>
  <si>
    <t>archivage</t>
  </si>
  <si>
    <t>- Fiabilité des écritures comptables</t>
  </si>
  <si>
    <t xml:space="preserve">Digitalisation des conventions de crédit </t>
  </si>
  <si>
    <t>Gestion PIP</t>
  </si>
  <si>
    <t>Optimiser la gestion et le suivi des PIP</t>
  </si>
  <si>
    <t>- Amélioration du suivi opérationnel</t>
  </si>
  <si>
    <t>- Données centralisées</t>
  </si>
  <si>
    <t>Gestion Fiche Dépense (FED), Petite Caisse &amp; Budget</t>
  </si>
  <si>
    <t>Digitaliser et contrôler les dépenses internes</t>
  </si>
  <si>
    <t>- Meilleur contrôle budgétaire</t>
  </si>
  <si>
    <t>MANSOUR</t>
  </si>
  <si>
    <t>- Traçabilité des dépenses</t>
  </si>
  <si>
    <t>- Réduction des fraudes</t>
  </si>
  <si>
    <t>Engagements</t>
  </si>
  <si>
    <r>
      <rPr>
        <b/>
        <sz val="20"/>
        <color theme="0"/>
        <rFont val="Aptos Narrow"/>
        <scheme val="minor"/>
      </rPr>
      <t xml:space="preserve">Présentation des Projets Informatiques  </t>
    </r>
    <r>
      <rPr>
        <b/>
        <sz val="20"/>
        <color rgb="FFFF0000"/>
        <rFont val="Aptos Narrow"/>
        <family val="2"/>
        <scheme val="minor"/>
      </rPr>
      <t>ENCOURS  2026</t>
    </r>
  </si>
  <si>
    <t>outils de gestion de parc informatique</t>
  </si>
  <si>
    <t>Centraliser et automatiser le suivi des équipements informatiques (postes, imprimantes, serveurs, etc.)</t>
  </si>
  <si>
    <t>DONE</t>
  </si>
  <si>
    <t xml:space="preserve"> Amélioration du suivi du parc</t>
  </si>
  <si>
    <t>Réduction des pertes et pannes</t>
  </si>
  <si>
    <t>CofiRH</t>
  </si>
  <si>
    <t>Application RH couvrant : gestion des entretiens d’embauche, gestion des contrats, intranet, communication interne, fiches d’habilitation</t>
  </si>
  <si>
    <t>Centralisation des données RH</t>
  </si>
  <si>
    <t>- Gestion efficace des habilitations</t>
  </si>
  <si>
    <t>MODOU/BABACAR</t>
  </si>
  <si>
    <t xml:space="preserve">Avance sur salaire </t>
  </si>
  <si>
    <t>Priorité 1</t>
  </si>
  <si>
    <t>Projet DATA &amp; BI (COFIdash)</t>
  </si>
  <si>
    <t>Suivi des commissions et pilotage de la performance : PNB &amp; PBT, suivi des objectifs et réalisations</t>
  </si>
  <si>
    <t>EN COURS</t>
  </si>
  <si>
    <t>- Décisions basées sur données fiables</t>
  </si>
  <si>
    <t>- Suivi des performances en temps réel</t>
  </si>
  <si>
    <t>MODOU/NDICK</t>
  </si>
  <si>
    <t>Priorité 2</t>
  </si>
  <si>
    <t>Vue Client 360°</t>
  </si>
  <si>
    <t>Centraliser toutes les informations client issues des différents systèmes (Core Banking, Mobile, Agence, Produits digitaux) dans une interface unique</t>
  </si>
  <si>
    <t>Vision complète du client</t>
  </si>
  <si>
    <t>Amélioration de l’expérience client</t>
  </si>
  <si>
    <t>NDICK/MODOU</t>
  </si>
  <si>
    <t>Interopérabilité BCEAO  PIP</t>
  </si>
  <si>
    <t>Assurer une compatibilité avec les systèmes BCEAO pour les transactions.</t>
  </si>
  <si>
    <t>ENCOURS</t>
  </si>
  <si>
    <t>- Intégration dans l’écosystème bancaire régional</t>
  </si>
  <si>
    <t>- Automatisation des échanges</t>
  </si>
  <si>
    <t>Priorité 5</t>
  </si>
  <si>
    <t>Cofilcolatte: gestion des garanties</t>
  </si>
  <si>
    <t>Suivi et gestion des garanties des produits et clients</t>
  </si>
  <si>
    <t>- Meilleur contrôle des garanties</t>
  </si>
  <si>
    <t>- Réduction des risques</t>
  </si>
  <si>
    <t>MANSSOUR</t>
  </si>
  <si>
    <t>Priorité 3</t>
  </si>
  <si>
    <t>Application de gestion des COFICARTES V1</t>
  </si>
  <si>
    <t>Mise en service des équipements de sécurité électronique au niveau des agences.</t>
  </si>
  <si>
    <t>Stabilisation de la connexion internet dans les différentes agences</t>
  </si>
  <si>
    <t>EN COURS+31:48+B43</t>
  </si>
  <si>
    <t>Réponse corrigé à partir du fichier CTI</t>
  </si>
  <si>
    <t>Core Banking System - Système de Gestion Bancaire</t>
  </si>
  <si>
    <t>Veuillez répondre à toutes les questions et donner plus de détails (colonne D) lorsque nécessaire, un taux de remplissage est calculé dans le sommaire et devrait être à 100%</t>
  </si>
  <si>
    <t>Certaines questions peuvent en faire  apparaitre de nouvelles auxquelles il faudra répondre, cela entre également dans le calcul du taux de remplissage</t>
  </si>
  <si>
    <t>Questions</t>
  </si>
  <si>
    <t>Réponses</t>
  </si>
  <si>
    <t>COTS ou Développement interne? (Commercial Off-The-Shelf solution)</t>
  </si>
  <si>
    <t>COTS</t>
  </si>
  <si>
    <t xml:space="preserve">
</t>
  </si>
  <si>
    <t>Oracle</t>
  </si>
  <si>
    <t xml:space="preserve"> le produit  est directement développé et édité par Oracle Corporation  . JMR Infotech, comme partenaire et intégrateur de solutions Oracle.</t>
  </si>
  <si>
    <t xml:space="preserve">Oracle FLEXCUBE Universal Banking </t>
  </si>
  <si>
    <t>Quelle est la version/release de l'application ?</t>
  </si>
  <si>
    <t>Version 14.7</t>
  </si>
  <si>
    <t>Quelle est la dernière version de l'application ?</t>
  </si>
  <si>
    <t>Version 14.8</t>
  </si>
  <si>
    <t>Etes-vous au courant d’une évolution majeure en cours sur cette Application ?</t>
  </si>
  <si>
    <t>La version 14.7.0.0.0 d’Oracle FLEXCUBE Universal Banking propose plusieurs améliorations significatives. Voici un aperçu des principales mises à jour :
Améliorations :
Fonctionnalités Avancées :
Intégration de nouvelles fonctionnalités pour améliorer l’efficacité opérationnelle des institutions financières.
Amélioration des modules de gestion des comptes, des prêts et des transactions.
==&gt; Interface Utilisateur :Interface utilisateur améliorée pour une meilleure expérience utilisateur.
Simplification des processus de navigation et d’utilisation des différentes fonctionnalités du logiciel.
==&gt;Sécurité :Renforcement des mesures de sécurité pour protéger les données sensibles.
Mise en conformité avec les dernières réglementations en matière de sécurité bancaire.
=&gt;Détails sur les Composants Logiciels :
==&gt;Composants Noyau :Mise à jour des composants noyau pour une performance optimisée.
Améliorations dans les processus de traitement des transactions pour une rapidité accrue.
==&gt;Modules Spécifiques :Améliorations dans les modules spécifiques tels que la gestion des risques, les services bancaires numériques et le traitement des paiements.
Environnement et Logiciels Tiers :
Compatibilité :
Compatibilité étendue avec les derniers systèmes d'exploitation et infrastructures matérielles.
Intégration facilitée avec les logiciels tiers couramment utilisés dans l’industrie bancaire.
Outils de Développement :
Inclusion de nouveaux outils de développement pour faciliter la personnalisation et l’extension des fonctionnalités du logiciel.
Documentation enrichie pour aider les développeurs et les administrateurs à mieux comprendre et utiliser les nouvelles capacités.</t>
  </si>
  <si>
    <t>Qui contrôle les évolutions sur cette Application ?</t>
  </si>
  <si>
    <t>les évolutions de l'application Oracle FLEXCUBE Universal Banking sont le fruit d'un effort coordonné entre les équipes internes d'Oracle, les clients, et les partenaires externes, sous la direction et le contrôle principal de l'éditeur Oracle Corporation.</t>
  </si>
  <si>
    <t>Quelle est la criticité de cette application ? combien de temps peut-on supporter son indisponibilité (colonne détail) ?</t>
  </si>
  <si>
    <t>Primoridal</t>
  </si>
  <si>
    <t>Oracle FLEXCUBE Universal Banking a une criticité élevée, et la durée acceptable de son indisponibilité doit être très courte, idéalement limitée à quelques heures au maximum pour éviter des impacts significatifs sur les opérations bancaires et la satisfaction des clients</t>
  </si>
  <si>
    <t>Quels sont les modules utlisés?</t>
  </si>
  <si>
    <t>RB/CB/ PY /CL/ LN/ DE</t>
  </si>
  <si>
    <t>Voici quelques-uns des modules utilisés dans FCUBS :
1.	Retail Banking (RB) : Gestion des opérations bancaires de détail, y compris les comptes d'épargne, les prêts personnels, etc.
2.	Core Banking (CB) : Gère les fonctions bancaires de base telles que les comptes, les prêts, les dépôts, etc.
3.	Payments (PY) : Gestion des opérations de paiement, y compris les virements, les paiements en temps réel, etc.
4.	Collections (CL) : Gestion des opérations de recouvrement et de gestion des créances.
5.	Lending (LN) : Gestion des opérations de prêt, y compris l'octroi de prêts, la gestion des garanties, etc.
6.	Deposits (DE) : Gère les produits de dépôt.</t>
  </si>
  <si>
    <t>Est-ce que la solution dispose d'un module integré de gestion des documents (mise en page, formatage, impression, …) ?</t>
  </si>
  <si>
    <t>Non il fait l'objet d'une solution séparée</t>
  </si>
  <si>
    <t>Oracle FLEXCUBE Universal Banking (FCUBS) est un système de gestion bancaire complet, mais il n'inclut pas nativement de module intégré spécifique pour la gestion des documents tels que la mise en page, le formatage et l'impression. Cependant, FCUBS offre des capacités d'intégration avec d'autres systèmes et peut être personnalisé pour intégrer des solutions tierces qui fournissent ces fonctionnalités. Pour des besoins spécifiques , notre  partenaire JMR Infotech a développer une solutions tierces spécialisées OAS.</t>
  </si>
  <si>
    <t>Est-ce que la solution dispose d'un module de gestion de catalogue de produits ?</t>
  </si>
  <si>
    <t>Oui, Oracle FLEXCUBE Universal Banking inclut un module de gestion de catalogue de produits. Ce module permet aux banques de gérer et de proposer une large gamme de produits bancaires, tels que des comptes, des prêts, des cartes, et d'autres services financiers. Il est conçu pour être flexible afin de s'adapter aux besoins spécifiques des institutions financières et de leurs clients.</t>
  </si>
  <si>
    <t>Est-ce que la solution dispose d'un module de gestion de campagnes ?</t>
  </si>
  <si>
    <t>Non nous n'en avons pas</t>
  </si>
  <si>
    <t>Non, Oracle FLEXCUBE Universal Banking 14.4.0.0.0 ne dispose pas d'un module de gestion de campagnes intégré dans sa solution de base. Oracle FLEXCUBE est principalement conçu pour la gestion des opérations bancaires de base telles que les dépôts, les prêts, les paiements et autres services bancaires traditionnels.</t>
  </si>
  <si>
    <t>Est-ce que la solution dispose d'un module de gestion des notifications (sms, mail, …) ?</t>
  </si>
  <si>
    <t>Oracle FLEXCUBE Universal Banking ne dispose pas nativement d'un module de gestion des notifications telles que les SMS ou les e-mails. Cependant, il est souvent possible d'intégrer des solutions tierces pour gérer ces fonctionnalités de notification dans le cadre d'une configuration personnalisée ou d'une intégration spécifique avec d'autres systèmes.</t>
  </si>
  <si>
    <r>
      <t xml:space="preserve">j'ai cru comprendre qu'il faisait partie du package  </t>
    </r>
    <r>
      <rPr>
        <sz val="10"/>
        <color rgb="FFFFC000"/>
        <rFont val="Aptos Narrow"/>
        <scheme val="minor"/>
      </rPr>
      <t xml:space="preserve"> Oui, effectivement, je fais allusion au canal que nous utilisons pour envoyer les SMS.</t>
    </r>
  </si>
  <si>
    <t>Quand l’application a-t-elle été implémentée ?</t>
  </si>
  <si>
    <t>Qui l'a implémenté?</t>
  </si>
  <si>
    <t xml:space="preserve"> JMR Infotech</t>
  </si>
  <si>
    <t>Quels sont les processus fonctionnels couverts ?</t>
  </si>
  <si>
    <t>Caisse, Compte, Client, Credit, virement, Dat,Comptabilité</t>
  </si>
  <si>
    <t>Quel est le niveau de personnalisation de l’Application ?</t>
  </si>
  <si>
    <t>Moyen</t>
  </si>
  <si>
    <t xml:space="preserve">Quelle(s) technologie(s) sous-jacente(s) ? </t>
  </si>
  <si>
    <t>Est-ce que cette solution dispose d'une interface Mobile?</t>
  </si>
  <si>
    <t>Mais il ne répond pas à nos besoins spécifiques. C'est pourquoi nous avons décidé d'opter pour une autre solution, qui consiste à interfacer Flexcube Developer avec un éditeur différent.</t>
  </si>
  <si>
    <t>Les 2</t>
  </si>
  <si>
    <t>Est-ce qu'il est prévu de remplacer cette solution par une autre? Si oui, veuillez mettre le nom de la nouvelle solution et la période prévue dans la colonne détails</t>
  </si>
  <si>
    <t>Quel est le nombre d’utilisateurs finaux de cette application ?</t>
  </si>
  <si>
    <t>1000 pour tout le groupe</t>
  </si>
  <si>
    <t>Y a-t-il des utilisateurs du Groupe sur les activités de la filiale ?</t>
  </si>
  <si>
    <t>oui, le Groupe inclut plusieurs utilisateurs impliqués dans les activités de la filiale. Nous avons des contrôleurs et des auditeurs du Groupe qui interviennent dans le système pour effectuer un contrôle de deuxième niveau sur les activités de la filiale. De plus, le Responsable Crédit du Groupe est chargé de la validation de certains crédits dépassant des montants spécifiques.</t>
  </si>
  <si>
    <t>Quelles sont les activités qu'ils font?</t>
  </si>
  <si>
    <t>Quels ont été les acquisitions de licences détaillées (nombre, date, coût) ?</t>
  </si>
  <si>
    <t>Quel est le nombre actuel de licences détenues par la filiale?</t>
  </si>
  <si>
    <t>Quel type de licences (nominatives/partagées) ?</t>
  </si>
  <si>
    <t>Nominatives</t>
  </si>
  <si>
    <t>Des licences supplémentaires sont-elles nécessaires pour l'utilisation de l'application (outil supplémentaire, interfaces, modules complémentaires, …) ? Par module / par utilisateur ?</t>
  </si>
  <si>
    <t>Quel est le coût du support éditeur ?</t>
  </si>
  <si>
    <t>Existe-t-il un contrat de support avec un fournisseur ou un partenaire ? Pouvez-vous le partager?</t>
  </si>
  <si>
    <t>Le contrat est-il global couvrant plusieurs filiales ou dédié à la filiale ?</t>
  </si>
  <si>
    <t>Dédié</t>
  </si>
  <si>
    <t>Le contrat comprend-il un SLA formel ? Cela inclut-il un engagement de performance ?</t>
  </si>
  <si>
    <t>Oui et non</t>
  </si>
  <si>
    <t>Non pour les 2</t>
  </si>
  <si>
    <t>Combien de ETP internes sont dédiés aux support (Niveaux 1, 2 et 3) de cette solution?
Veuillez décrire dans la colonne détail de quelle entité sont-ils (Holding ou pays), la répartition des principales activités, les compétences et les rôles</t>
  </si>
  <si>
    <r>
      <rPr>
        <b/>
        <sz val="10"/>
        <color rgb="FFFFC000"/>
        <rFont val="Aptos Narrow"/>
        <scheme val="minor"/>
      </rPr>
      <t>1. Niveau 1 :</t>
    </r>
    <r>
      <rPr>
        <sz val="10"/>
        <color rgb="FFFFC000"/>
        <rFont val="Aptos Narrow"/>
        <family val="2"/>
        <scheme val="minor"/>
      </rPr>
      <t xml:space="preserve">
o Nombre d'ETP : 4
o Répartition des Activités : Résolution des tickets de premier niveau, support de base aux utilisateurs, gestion des demandes simples et Analyse des incidents 
</t>
    </r>
    <r>
      <rPr>
        <b/>
        <sz val="10"/>
        <color rgb="FFFFC000"/>
        <rFont val="Aptos Narrow"/>
        <scheme val="minor"/>
      </rPr>
      <t xml:space="preserve">2. Niveau 2 </t>
    </r>
    <r>
      <rPr>
        <sz val="10"/>
        <color rgb="FFFFC000"/>
        <rFont val="Aptos Narrow"/>
        <family val="2"/>
        <scheme val="minor"/>
      </rPr>
      <t xml:space="preserve">:
o Nombre d'ETP : 5
o Entité : Holding
o Répartition des Activités : Analyse des incidents plus complexes, gestion des escalades du niveau 1, résolution de problèmes techniques avancés.
o Compétences : Expertise technique, capacité à résoudre des problèmes complexes.
o Rôles : Technicien Support Niveau 2
</t>
    </r>
    <r>
      <rPr>
        <b/>
        <sz val="10"/>
        <color rgb="FFFFC000"/>
        <rFont val="Aptos Narrow"/>
        <scheme val="minor"/>
      </rPr>
      <t>3. Niveau 3 :</t>
    </r>
    <r>
      <rPr>
        <sz val="10"/>
        <color rgb="FFFFC000"/>
        <rFont val="Aptos Narrow"/>
        <family val="2"/>
        <scheme val="minor"/>
      </rPr>
      <t xml:space="preserve">
o Nombre d'ETP : DEFINIR
o Entité : PROVIDER
o Répartition des Activités : Gestion des problèmes critiques, développement de solutions, coordination avec les équipes de développement.
o Compétences : Expertise approfondie, compétences en développement et en gestion des incidents majeurs.
o Rôles : Ingénieur Support Niveau 3
</t>
    </r>
  </si>
  <si>
    <r>
      <rPr>
        <b/>
        <sz val="10"/>
        <rFont val="Aptos Narrow"/>
        <scheme val="minor"/>
      </rPr>
      <t xml:space="preserve">Niveau 1:  </t>
    </r>
    <r>
      <rPr>
        <sz val="10"/>
        <rFont val="Aptos Narrow"/>
        <family val="2"/>
        <scheme val="minor"/>
      </rPr>
      <t xml:space="preserve">Holding : ETP dédiés : 5                                                                                                                            </t>
    </r>
    <r>
      <rPr>
        <b/>
        <sz val="10"/>
        <rFont val="Aptos Narrow"/>
        <scheme val="minor"/>
      </rPr>
      <t xml:space="preserve">Niveau 2 : </t>
    </r>
    <r>
      <rPr>
        <sz val="10"/>
        <rFont val="Aptos Narrow"/>
        <family val="2"/>
        <scheme val="minor"/>
      </rPr>
      <t xml:space="preserve">Filiale : ETP dédiés : 4                                                                                                                                </t>
    </r>
    <r>
      <rPr>
        <b/>
        <sz val="10"/>
        <rFont val="Aptos Narrow"/>
        <scheme val="minor"/>
      </rPr>
      <t xml:space="preserve">Niveau 3 :  </t>
    </r>
    <r>
      <rPr>
        <sz val="10"/>
        <rFont val="Aptos Narrow"/>
        <family val="2"/>
        <scheme val="minor"/>
      </rPr>
      <t>Nombre d'ETP : DEFINIR par IT GROUPE</t>
    </r>
  </si>
  <si>
    <t>Combien d'ETP?</t>
  </si>
  <si>
    <t>Combien de ETP internes sont dédiés aux changements opérés sur cette solution (incluant Dev, Config, Mise en prod)?
Veuillez décrire dans la colonne détail de quelle entité sont-ils (Holding ou pays), la répartition des principales activités, les compétences et les rôles</t>
  </si>
  <si>
    <t xml:space="preserve">Holding : ETP dédiés : 5
Filiale : ETP dédiés : 1
</t>
  </si>
  <si>
    <t>Holding : ETP dédiés : 5
Filiale : ETP dédiés : 1</t>
  </si>
  <si>
    <t>Qui administre cette solution et apporte le support aux utilisateurs l'IT Groupe, l'IT local ou les 2 ?</t>
  </si>
  <si>
    <t>équipe IT locale se concentre principalement sur les aspects applicatifs et les opérations quotidiennes liées aux applications, tandis que l'équipe ITgroupe est responsable de la gestion et de l'administration des bases de données.</t>
  </si>
  <si>
    <t>Qui fait quoi?</t>
  </si>
  <si>
    <t>Avez-vous un historique des KPI pour la disponibilité et le support de cette application ? Si oui, pouvez-vous les partager</t>
  </si>
  <si>
    <t>Existe-t-il un processus de suivi des contrats groupe et tiers ?</t>
  </si>
  <si>
    <t>L'application est-elle installée sur site ou utilisée sur le Cloud (SaaS) ?</t>
  </si>
  <si>
    <t>On-site</t>
  </si>
  <si>
    <t>les serveurs de Cofina  TOGO sont hébergés au niveau des datacenters de MTN Côte d'Ivoire et Free Sénégal</t>
  </si>
  <si>
    <t>S'agit-il d'une architecture Client/Serveur à 3 niveaux ? Décrivez s'il vous plait</t>
  </si>
  <si>
    <t>Est-ce que le middleware est utilisé pour les intégrations? Si oui, au CBS uniquement ou de façon plus globale?</t>
  </si>
  <si>
    <t>Achat</t>
  </si>
  <si>
    <t>Où sont installés les serveurs ?</t>
  </si>
  <si>
    <t>MTN CIV</t>
  </si>
  <si>
    <t>Sur quels systèmes (versions) cette application s'exécute-t-elle ?</t>
  </si>
  <si>
    <t>Oracle Lunix 8.9</t>
  </si>
  <si>
    <t>Sur quelle base de données cette application tourne-t-elle ?</t>
  </si>
  <si>
    <t>ORACLE 19C</t>
  </si>
  <si>
    <t xml:space="preserve">Existe-t-il une architecture haute disponibilité (réplication) ? </t>
  </si>
  <si>
    <t>Est-on sûr?</t>
  </si>
  <si>
    <t>ACTIF-PASSIF</t>
  </si>
  <si>
    <t>Existe-t-il un plan de récupération pour cette application ?</t>
  </si>
  <si>
    <t>Pouvez-vous le partager?</t>
  </si>
  <si>
    <t>Qui gère les données de la base de données ?</t>
  </si>
  <si>
    <t>IT GROUPE/ LOCAL</t>
  </si>
  <si>
    <t>Quelles sont les interfaces existantes de cette application ? Veuillez décrire et partager tout document d'architecture</t>
  </si>
  <si>
    <t>COFINA MOBILE +,  KIWI, REIS, CARTAGO</t>
  </si>
  <si>
    <t>Avec quel SI?</t>
  </si>
  <si>
    <t>L'application est-elle complètement en temps réel ou y'a-t-il des batchs la nuit ? Décrivez s'il vous plait</t>
  </si>
  <si>
    <t xml:space="preserve">Temps réel </t>
  </si>
  <si>
    <t>Avez-vous connaissance d'un quelconque problème potentiel lié à la continuité de cette application (par exemple départ ou indisponibilité des ressources clés, fin de support, bug critique, ...), si oui lequel dans détails?</t>
  </si>
  <si>
    <t xml:space="preserve">Est-ce que des sauvegardes sont réalisées régulièrement? </t>
  </si>
  <si>
    <t>journaliere</t>
  </si>
  <si>
    <r>
      <t xml:space="preserve">S'il y a un crash en fin de journée, on perd toutes les transactions de la journée?  </t>
    </r>
    <r>
      <rPr>
        <sz val="10"/>
        <color rgb="FFFFC000"/>
        <rFont val="Aptos Narrow"/>
        <scheme val="minor"/>
      </rPr>
      <t>oui</t>
    </r>
  </si>
  <si>
    <t>RMAN</t>
  </si>
  <si>
    <t>300 Gigas</t>
  </si>
  <si>
    <t xml:space="preserve"> actuellement, nous ne réalisons pas de sauvegardes avant et après les traitements du batcht pour la filiale du Togo.</t>
  </si>
  <si>
    <t>Loan Origination System - Système de Gestion des Credits</t>
  </si>
  <si>
    <t>Oui existant</t>
  </si>
  <si>
    <t>Développement externalisé</t>
  </si>
  <si>
    <t>EDAN</t>
  </si>
  <si>
    <t xml:space="preserve">  CREDITFLOW
</t>
  </si>
  <si>
    <r>
      <rPr>
        <sz val="10"/>
        <color rgb="FFFFC000"/>
        <rFont val="Aptos Narrow"/>
        <scheme val="minor"/>
      </rPr>
      <t xml:space="preserve">  Fonctionnalités principales :
Gestion des demandes de crédit, Évaluation du crédit et  Décision de crédit </t>
    </r>
    <r>
      <rPr>
        <sz val="10"/>
        <rFont val="Aptos Narrow"/>
        <family val="2"/>
        <scheme val="minor"/>
      </rPr>
      <t xml:space="preserve">
</t>
    </r>
  </si>
  <si>
    <t>1.0</t>
  </si>
  <si>
    <t>COFINA</t>
  </si>
  <si>
    <t xml:space="preserve"> PLUS DE 4 MOIS</t>
  </si>
  <si>
    <t xml:space="preserve">  Fonctionnalités principales :
Gestion des demandes de crédit, Évaluation du crédit et  Décision de crédit </t>
  </si>
  <si>
    <t>faire la refonte de celle-ci</t>
  </si>
  <si>
    <t>Si, la reflexion est là, remplacer ou faire la refonte de celle-ci</t>
  </si>
  <si>
    <t xml:space="preserve">environ 50 </t>
  </si>
  <si>
    <t>On peut le savoir au nombre d'utilisateurs</t>
  </si>
  <si>
    <r>
      <rPr>
        <b/>
        <sz val="10"/>
        <color rgb="FFFFC000"/>
        <rFont val="Aptos Narrow"/>
        <scheme val="minor"/>
      </rPr>
      <t>1. Niveau 1 :</t>
    </r>
    <r>
      <rPr>
        <sz val="10"/>
        <color rgb="FFFFC000"/>
        <rFont val="Aptos Narrow"/>
        <scheme val="minor"/>
      </rPr>
      <t xml:space="preserve">
o Nombre d'ETP : 3
o Répartition des Activités : Résolution des tickets de premier niveau, support de base aux utilisateurs, gestion des demandes simples et Analyse des incidents 
</t>
    </r>
    <r>
      <rPr>
        <b/>
        <sz val="10"/>
        <color rgb="FFFFC000"/>
        <rFont val="Aptos Narrow"/>
        <scheme val="minor"/>
      </rPr>
      <t xml:space="preserve">2. Niveau 2 </t>
    </r>
    <r>
      <rPr>
        <sz val="10"/>
        <color rgb="FFFFC000"/>
        <rFont val="Aptos Narrow"/>
        <scheme val="minor"/>
      </rPr>
      <t xml:space="preserve">:
o Nombre d'ETP :  A DEFINIR
o Entité : Holding
o Répartition des Activités : Analyse des incidents plus complexes, gestion des escalades du niveau 1, résolution de problèmes techniques avancés.
o Compétences : Expertise technique, capacité à résoudre des problèmes complexes.
o Rôles : Technicien Support Niveau 2
</t>
    </r>
    <r>
      <rPr>
        <b/>
        <sz val="10"/>
        <color rgb="FFFFC000"/>
        <rFont val="Aptos Narrow"/>
        <scheme val="minor"/>
      </rPr>
      <t>3. Niveau 3 :</t>
    </r>
    <r>
      <rPr>
        <sz val="10"/>
        <color rgb="FFFFC000"/>
        <rFont val="Aptos Narrow"/>
        <scheme val="minor"/>
      </rPr>
      <t xml:space="preserve">
o Nombre d'ETP : DEFINIR par IT GROUPE
o Entité : PROVIDER
o Répartition des Activités : Gestion des problèmes critiques, développement de solutions, coordination avec les équipes de développement.
o Compétences : Expertise approfondie, compétences en développement et en gestion des incidents majeurs.
o Rôles : Ingénieur Support Niveau 3
</t>
    </r>
  </si>
  <si>
    <r>
      <rPr>
        <b/>
        <sz val="10"/>
        <color rgb="FFFFC000"/>
        <rFont val="Aptos Narrow"/>
        <scheme val="minor"/>
      </rPr>
      <t xml:space="preserve">Niveau 1:  </t>
    </r>
    <r>
      <rPr>
        <sz val="10"/>
        <color rgb="FFFFC000"/>
        <rFont val="Aptos Narrow"/>
        <scheme val="minor"/>
      </rPr>
      <t xml:space="preserve">Holding : ETP dédiés : 0                                                    </t>
    </r>
    <r>
      <rPr>
        <b/>
        <sz val="10"/>
        <color rgb="FFFFC000"/>
        <rFont val="Aptos Narrow"/>
        <scheme val="minor"/>
      </rPr>
      <t xml:space="preserve">Niveau 2 : </t>
    </r>
    <r>
      <rPr>
        <sz val="10"/>
        <color rgb="FFFFC000"/>
        <rFont val="Aptos Narrow"/>
        <scheme val="minor"/>
      </rPr>
      <t xml:space="preserve">Filiale : ETP dédiés : 3                                                       </t>
    </r>
    <r>
      <rPr>
        <b/>
        <sz val="10"/>
        <color rgb="FFFFC000"/>
        <rFont val="Aptos Narrow"/>
        <scheme val="minor"/>
      </rPr>
      <t xml:space="preserve">Niveau 2- 3  :  </t>
    </r>
    <r>
      <rPr>
        <sz val="10"/>
        <color rgb="FFFFC000"/>
        <rFont val="Aptos Narrow"/>
        <scheme val="minor"/>
      </rPr>
      <t>Nombre d'ETP : A DEFINIR Par EDAN</t>
    </r>
  </si>
  <si>
    <t>Vous n'intervenez pas dans le support?</t>
  </si>
  <si>
    <t xml:space="preserve">Holding : ETP dédiés : 0
Filiale : ETP dédiés : 0
</t>
  </si>
  <si>
    <t>Holding : ETP dédiés : 0
Filiale : ETP dédiés : 0</t>
  </si>
  <si>
    <t>Vous n'intervenez pas dans les changements?</t>
  </si>
  <si>
    <t>IT Groupe</t>
  </si>
  <si>
    <t>Vous devez l'exiger à EDAN</t>
  </si>
  <si>
    <t>Cloud</t>
  </si>
  <si>
    <t>nous n'avons pas suffisamment d'informations pour répondre à votre question</t>
  </si>
  <si>
    <t>Lequel?</t>
  </si>
  <si>
    <t>SaaS</t>
  </si>
  <si>
    <t>Vous devez le savoir</t>
  </si>
  <si>
    <t>Lenteur dans l'exploitation essentiellement, exigence élévée en utilisation de la bande passante</t>
  </si>
  <si>
    <t>Agency Banking - Système de Gestion des Agences</t>
  </si>
  <si>
    <t>SMARTS SOLUTIONS</t>
  </si>
  <si>
    <t>KIWI</t>
  </si>
  <si>
    <t>1.7</t>
  </si>
  <si>
    <t>1.7.5</t>
  </si>
  <si>
    <t>editeur</t>
  </si>
  <si>
    <t>Critique</t>
  </si>
  <si>
    <t>Solution séparée</t>
  </si>
  <si>
    <t>A DEFINIR</t>
  </si>
  <si>
    <t xml:space="preserve">phase de deploiement </t>
  </si>
  <si>
    <t>Quel est le statut?</t>
  </si>
  <si>
    <t>PROVIDER</t>
  </si>
  <si>
    <t>Est-ce le même prestataire?</t>
  </si>
  <si>
    <t>CASH IN / CASH OUT</t>
  </si>
  <si>
    <t>Ce sera bien utilisé par des agents externes à Cofina?</t>
  </si>
  <si>
    <t>Haut</t>
  </si>
  <si>
    <t>Smartphone</t>
  </si>
  <si>
    <t>nous n'avons l'information proprement dit</t>
  </si>
  <si>
    <r>
      <rPr>
        <b/>
        <sz val="10"/>
        <color rgb="FFFFC000"/>
        <rFont val="Aptos Narrow"/>
        <scheme val="minor"/>
      </rPr>
      <t>1. Niveau 1 :</t>
    </r>
    <r>
      <rPr>
        <sz val="10"/>
        <color rgb="FFFFC000"/>
        <rFont val="Aptos Narrow"/>
        <family val="2"/>
        <scheme val="minor"/>
      </rPr>
      <t xml:space="preserve">
o Nombre d'ETP : 3
o Répartition des Activités : Résolution des tickets de premier niveau, support de base aux utilisateurs, gestion des demandes simples et Analyse des incidents 
</t>
    </r>
    <r>
      <rPr>
        <b/>
        <sz val="10"/>
        <color rgb="FFFFC000"/>
        <rFont val="Aptos Narrow"/>
        <scheme val="minor"/>
      </rPr>
      <t xml:space="preserve">2. Niveau 2 </t>
    </r>
    <r>
      <rPr>
        <sz val="10"/>
        <color rgb="FFFFC000"/>
        <rFont val="Aptos Narrow"/>
        <family val="2"/>
        <scheme val="minor"/>
      </rPr>
      <t xml:space="preserve">:
o Nombre d'ETP : 5
o Entité : Holding
o Répartition des Activités : Analyse des incidents plus complexes, gestion des escalades du niveau 1, résolution de problèmes techniques avancés.
o Compétences : Expertise technique, capacité à résoudre des problèmes complexes.
o Rôles : Technicien Support Niveau 2
</t>
    </r>
    <r>
      <rPr>
        <b/>
        <sz val="10"/>
        <color rgb="FFFFC000"/>
        <rFont val="Aptos Narrow"/>
        <scheme val="minor"/>
      </rPr>
      <t>3. Niveau 3 :</t>
    </r>
    <r>
      <rPr>
        <sz val="10"/>
        <color rgb="FFFFC000"/>
        <rFont val="Aptos Narrow"/>
        <family val="2"/>
        <scheme val="minor"/>
      </rPr>
      <t xml:space="preserve">
o Nombre d'ETP : DEFINIR
o Entité : PROVIDER
o Répartition des Activités : Gestion des problèmes critiques, développement de solutions, coordination avec les équipes de développement.
o Compétences : Expertise approfondie, compétences en développement et en gestion des incidents majeurs.
o Rôles : Ingénieur Support Niveau 3
</t>
    </r>
  </si>
  <si>
    <t>N3</t>
  </si>
  <si>
    <t>Qui fera quoi?</t>
  </si>
  <si>
    <t>Pas de SLA</t>
  </si>
  <si>
    <t>aucune information</t>
  </si>
  <si>
    <t>Ubuntu</t>
  </si>
  <si>
    <t>Version?</t>
  </si>
  <si>
    <t>ORACLE 19c</t>
  </si>
  <si>
    <t>Actif-Passif</t>
  </si>
  <si>
    <t>Smart et DBA Cofina</t>
  </si>
  <si>
    <t>Journaliere</t>
  </si>
  <si>
    <t>DUMP</t>
  </si>
  <si>
    <t>je ne dispose pas encore les informations</t>
  </si>
  <si>
    <t>Mobile Banking - Application Mobile Client</t>
  </si>
  <si>
    <t>SmartSolution</t>
  </si>
  <si>
    <t xml:space="preserve">Voici les processus fonctionnels clés :
1. Authentification et Autorisation :
1. Gestion des Utilisateurs :
2. Navigation et Interface Utilisateur :
3. Gestion des Données :
4. Notifications et Alertes :
5. Transactions.
6. Sécurité :
7. Intégration avec d'autres Services :
o Connexion avec des API tierces ou des services externes.
</t>
  </si>
  <si>
    <t>Par quoi passera l'intégration? Middleware ou point à point?</t>
  </si>
  <si>
    <t>API</t>
  </si>
  <si>
    <t>Très haut</t>
  </si>
  <si>
    <t>Quelles versions?</t>
  </si>
  <si>
    <t>Quel est le nombre actuel?</t>
  </si>
  <si>
    <t>Que font-ils?</t>
  </si>
  <si>
    <t>Licence par filiale ou par client?</t>
  </si>
  <si>
    <t>Playstore, Appstore</t>
  </si>
  <si>
    <t>Est-ce qu'elles sont actives?</t>
  </si>
  <si>
    <r>
      <rPr>
        <b/>
        <sz val="10"/>
        <color rgb="FFFFC000"/>
        <rFont val="Aptos Narrow"/>
        <scheme val="minor"/>
      </rPr>
      <t>1. Niveau 1 :</t>
    </r>
    <r>
      <rPr>
        <sz val="10"/>
        <color rgb="FFFFC000"/>
        <rFont val="Aptos Narrow"/>
        <scheme val="minor"/>
      </rPr>
      <t xml:space="preserve">
o Nombre d'ETP : 4
o Répartition des Activités : Résolution des tickets de premier niveau, support de base aux utilisateurs, gestion des demandes simples et Analyse des incidents 
</t>
    </r>
    <r>
      <rPr>
        <b/>
        <sz val="10"/>
        <color rgb="FFFFC000"/>
        <rFont val="Aptos Narrow"/>
        <scheme val="minor"/>
      </rPr>
      <t xml:space="preserve">2. Niveau 2 </t>
    </r>
    <r>
      <rPr>
        <sz val="10"/>
        <color rgb="FFFFC000"/>
        <rFont val="Aptos Narrow"/>
        <scheme val="minor"/>
      </rPr>
      <t xml:space="preserve">:
o Nombre d'ETP : 5
o Entité : Holding
o Répartition des Activités : Analyse des incidents plus complexes, gestion des escalades du niveau 1, résolution de problèmes techniques avancés.
o Compétences : Expertise technique, capacité à résoudre des problèmes complexes.
o Rôles : Technicien Support Niveau 2
</t>
    </r>
    <r>
      <rPr>
        <b/>
        <sz val="10"/>
        <color rgb="FFFFC000"/>
        <rFont val="Aptos Narrow"/>
        <scheme val="minor"/>
      </rPr>
      <t>3. Niveau 3 :</t>
    </r>
    <r>
      <rPr>
        <sz val="10"/>
        <color rgb="FFFFC000"/>
        <rFont val="Aptos Narrow"/>
        <scheme val="minor"/>
      </rPr>
      <t xml:space="preserve">
o Nombre d'ETP : DEFINIR
o Entité : PROVIDER
o Répartition des Activités : Gestion des problèmes critiques, développement de solutions, coordination avec les équipes de développement.
o Compétences : Expertise approfondie, compétences en développement et en gestion des incidents majeurs.
o Rôles : Ingénieur Support Niveau 3
</t>
    </r>
  </si>
  <si>
    <t>N2</t>
  </si>
  <si>
    <t>Nombre d'ETP?</t>
  </si>
  <si>
    <t>Incomplet mais existe</t>
  </si>
  <si>
    <t>DATA CENTER CIV</t>
  </si>
  <si>
    <t>Linux-Ubuntu 22.04.3</t>
  </si>
  <si>
    <t>Oracle 19C</t>
  </si>
  <si>
    <t>• Consultation des soldes et historique de transaction
• Virements
• Ouverture de compte
• E-coficash
• Situation des crédits
• Consultation solde et rechargement de Coficarte
• Paiement des factures
• Opération Bank to Wallet
• Opération Wallet to Bank
• Achat de crédit de communication</t>
  </si>
  <si>
    <t>Les integrations?</t>
  </si>
  <si>
    <t>EN temps réel</t>
  </si>
  <si>
    <r>
      <t xml:space="preserve">Il y a aucune integration avec des partenaires externes qui envoient les données 1xjour?    </t>
    </r>
    <r>
      <rPr>
        <sz val="10"/>
        <color rgb="FFFFC000"/>
        <rFont val="Aptos Narrow"/>
        <scheme val="minor"/>
      </rPr>
      <t>NON</t>
    </r>
  </si>
  <si>
    <t>Internet Banking - Banque en ligne</t>
  </si>
  <si>
    <t>Non existant</t>
  </si>
  <si>
    <t>Rate</t>
  </si>
  <si>
    <t>Non prévu</t>
  </si>
  <si>
    <t>Temenos</t>
  </si>
  <si>
    <t>ebankIT</t>
  </si>
  <si>
    <t>Finshape</t>
  </si>
  <si>
    <t>Five Degrees</t>
  </si>
  <si>
    <t>Backbase</t>
  </si>
  <si>
    <t>NETinfo</t>
  </si>
  <si>
    <t>Veritran</t>
  </si>
  <si>
    <t>nCino</t>
  </si>
  <si>
    <t>Infosys</t>
  </si>
  <si>
    <t>Intellect</t>
  </si>
  <si>
    <t>Faible</t>
  </si>
  <si>
    <t>Inexistant</t>
  </si>
  <si>
    <t>Anti Money Laundering - Anti blanchiment</t>
  </si>
  <si>
    <t>Vneuron</t>
  </si>
  <si>
    <t xml:space="preserve">REIS </t>
  </si>
  <si>
    <t>Vneuron © Reis™ RCS 4.1</t>
  </si>
  <si>
    <t>4.1</t>
  </si>
  <si>
    <t>Le partenaire Vneuron</t>
  </si>
  <si>
    <t>Vneuron avec le support de IT groupe</t>
  </si>
  <si>
    <t>évaluation du risque pour tout nouveau client qui souhaite ouvrir un compte ; le filtrage et le profilage s’effectue lors de la demande d’ouverture de compte</t>
  </si>
  <si>
    <t>L'application récupère de facon automatique la liste des clients existant dans le Core Banking et mets à jour sa base de données</t>
  </si>
  <si>
    <t>Si le client est présent sur les listes, l'utilisateur peut continuer? L'utilisateur confirme la correspondance trouvée et ne poursuit plus l'enroulement du client dans le Core Banking</t>
  </si>
  <si>
    <t>une vingtaine</t>
  </si>
  <si>
    <t>une licence par filiale</t>
  </si>
  <si>
    <t>Partagées</t>
  </si>
  <si>
    <r>
      <rPr>
        <b/>
        <sz val="10"/>
        <color rgb="FFFFC000"/>
        <rFont val="Aptos Narrow"/>
        <scheme val="minor"/>
      </rPr>
      <t xml:space="preserve">Niveau 1:  </t>
    </r>
    <r>
      <rPr>
        <sz val="10"/>
        <color rgb="FFFFC000"/>
        <rFont val="Aptos Narrow"/>
        <scheme val="minor"/>
      </rPr>
      <t xml:space="preserve">Holding : ETP dédiés : 5                                                                                                                            </t>
    </r>
    <r>
      <rPr>
        <b/>
        <sz val="10"/>
        <color rgb="FFFFC000"/>
        <rFont val="Aptos Narrow"/>
        <scheme val="minor"/>
      </rPr>
      <t xml:space="preserve">Niveau 2 : </t>
    </r>
    <r>
      <rPr>
        <sz val="10"/>
        <color rgb="FFFFC000"/>
        <rFont val="Aptos Narrow"/>
        <scheme val="minor"/>
      </rPr>
      <t xml:space="preserve">Filiale : ETP dédiés : 4                                                                                                                                </t>
    </r>
    <r>
      <rPr>
        <b/>
        <sz val="10"/>
        <color rgb="FFFFC000"/>
        <rFont val="Aptos Narrow"/>
        <scheme val="minor"/>
      </rPr>
      <t xml:space="preserve">Niveau 3 :  </t>
    </r>
    <r>
      <rPr>
        <sz val="10"/>
        <color rgb="FFFFC000"/>
        <rFont val="Aptos Narrow"/>
        <scheme val="minor"/>
      </rPr>
      <t>Nombre d'ETP : DEFINIR par IT GROUPE</t>
    </r>
  </si>
  <si>
    <t>Je n'ai pas compris</t>
  </si>
  <si>
    <t xml:space="preserve">IT local gère la créatiin des utilisateurs, les problèmes d'accès interne à l'application, la suppression des entrées erronées suite à la demande des CC, IT Groupe gère la disponibilité de l'application au niveau du Data Center, les sauvegardes, les problèmes de communication entre l'application et le core banking, les bugs </t>
  </si>
  <si>
    <t xml:space="preserve">L'architecture client/serveur à  deux niveaux </t>
  </si>
  <si>
    <t xml:space="preserve">La solution Reis Cloud est hébergée dans un data center Microsoft Azure, basé à l'Europe de l’Ouest. Le site principal du Datacenter Azure se trouve dans la ville d’Amsterdam. Les autres sites (de secours et de réplication)  sont situés dans la même zone d'Amsterdam.  </t>
  </si>
  <si>
    <t>L'appli est alimentée en data tous les jours à 07H30</t>
  </si>
  <si>
    <t>Ce n'est pas contractualisé?</t>
  </si>
  <si>
    <t>En cloud</t>
  </si>
  <si>
    <t>Collection - Outil de recouverement</t>
  </si>
  <si>
    <t>Pourquoi vous n'utilisez pas le module de Flexcube?</t>
  </si>
  <si>
    <t>Nous utilisons actuellement l'application de recouvrement du CBS, mais elle ne couvre pas toutes les fonctionnalités d'une application de recouvrement.</t>
  </si>
  <si>
    <t>Module : Collection</t>
  </si>
  <si>
    <t xml:space="preserve">Version 14.7 </t>
  </si>
  <si>
    <t>Version 14.9</t>
  </si>
  <si>
    <t>Oracle Corporation.</t>
  </si>
  <si>
    <t xml:space="preserve">Gestion des 
•  Stratégies de 
•  Actions de recouvrement 
•  Négociations et règlements : 
•  Calcul des pénalités
</t>
  </si>
  <si>
    <r>
      <rPr>
        <b/>
        <sz val="10"/>
        <rFont val="Aptos Narrow"/>
        <scheme val="minor"/>
      </rPr>
      <t xml:space="preserve">Niveau 1:  </t>
    </r>
    <r>
      <rPr>
        <sz val="10"/>
        <rFont val="Aptos Narrow"/>
        <family val="2"/>
        <scheme val="minor"/>
      </rPr>
      <t xml:space="preserve">Holding : ETP dédiés : 5                                                                                                                            </t>
    </r>
    <r>
      <rPr>
        <b/>
        <sz val="10"/>
        <rFont val="Aptos Narrow"/>
        <scheme val="minor"/>
      </rPr>
      <t xml:space="preserve">Niveau 2 : </t>
    </r>
    <r>
      <rPr>
        <sz val="10"/>
        <rFont val="Aptos Narrow"/>
        <family val="2"/>
        <scheme val="minor"/>
      </rPr>
      <t xml:space="preserve">Filiale : ETP dédiés : 3                                                                                                                                </t>
    </r>
    <r>
      <rPr>
        <b/>
        <sz val="10"/>
        <rFont val="Aptos Narrow"/>
        <scheme val="minor"/>
      </rPr>
      <t xml:space="preserve">Niveau 3 :  </t>
    </r>
    <r>
      <rPr>
        <sz val="10"/>
        <rFont val="Aptos Narrow"/>
        <family val="2"/>
        <scheme val="minor"/>
      </rPr>
      <t>Nombre d'ETP : DEFINIR par IT GROUPE</t>
    </r>
  </si>
  <si>
    <t>Customer Relationship Management - 
Gestion de la relation Clients</t>
  </si>
  <si>
    <t>Salesforce</t>
  </si>
  <si>
    <t>Microsoft</t>
  </si>
  <si>
    <t>Pegasystems</t>
  </si>
  <si>
    <t>Zendesk</t>
  </si>
  <si>
    <t>ServuceNow</t>
  </si>
  <si>
    <t>SAP</t>
  </si>
  <si>
    <t>eGain</t>
  </si>
  <si>
    <t>Freshworks</t>
  </si>
  <si>
    <t>SugarCRM</t>
  </si>
  <si>
    <t>Zoho</t>
  </si>
  <si>
    <t>Call Center Management - Gestion du centre d'appels</t>
  </si>
  <si>
    <t>last version</t>
  </si>
  <si>
    <t>Genesys</t>
  </si>
  <si>
    <t>Cx3</t>
  </si>
  <si>
    <t>Avaya</t>
  </si>
  <si>
    <t>Mambu</t>
  </si>
  <si>
    <t>Sopra</t>
  </si>
  <si>
    <t>Oradian</t>
  </si>
  <si>
    <t>Electronic Document Management - 
Gestion électronique des documents</t>
  </si>
  <si>
    <t>Service Oriented Architecture - Middleware</t>
  </si>
  <si>
    <t>Comment vous faites les integrations actuellement?
Et pourquoi vous ne le prévoyez pas?</t>
  </si>
  <si>
    <t>Tibco</t>
  </si>
  <si>
    <t>Informatica</t>
  </si>
  <si>
    <t>MuleSoft</t>
  </si>
  <si>
    <t>Qlik</t>
  </si>
  <si>
    <t>IBM</t>
  </si>
  <si>
    <t>AWS</t>
  </si>
  <si>
    <t>Confluent</t>
  </si>
  <si>
    <t>Precisely</t>
  </si>
  <si>
    <t>BI - DWH</t>
  </si>
  <si>
    <t>Pourquoi ce n'est pas prévu?</t>
  </si>
  <si>
    <t>Teradata</t>
  </si>
  <si>
    <t>SAS</t>
  </si>
  <si>
    <t>ERP - Système de Gestion Financière</t>
  </si>
  <si>
    <t>Oui dans le CBS</t>
  </si>
  <si>
    <t>est-ce que le module Comptabilité générale (GL) est utilisé?</t>
  </si>
  <si>
    <t>est-ce que le module Gestion des créances (AP) est utilisé?</t>
  </si>
  <si>
    <t>est-ce que le module Gestion des Immo (FA) est utilisé?</t>
  </si>
  <si>
    <t>est-ce que le module Gestion de la trésorerie (CM) est utilisé?</t>
  </si>
  <si>
    <t>est-ce que le module Contrôle budgétaire (BF) est utilisé?</t>
  </si>
  <si>
    <t>est-ce que le module Reporting financier/comptabilité analytique est utilisé?</t>
  </si>
  <si>
    <t>est-ce que d'autres modules sont utilisés? si oui, lesquels?</t>
  </si>
  <si>
    <t>Qui l'a implémenté ?</t>
  </si>
  <si>
    <t>Est-ce qu'il est prévu de remplacer cette solution par une solution dédiée (ERP) ? Si oui, veuillez mettre le nom de la nouvelle solution et la période prévue dans la colonne détails</t>
  </si>
  <si>
    <t>Existe-t-il un contrat de support avec un fournisseur ou un partenaire ? Pouvez-vous le partager ?</t>
  </si>
  <si>
    <t>Si c'est sur le Cloud, est-ce entièrement SaaS ou Infra gérée par l'équipe locale ?</t>
  </si>
  <si>
    <t>Existe-t-il une architecture haute disponibilité (réplication) ?</t>
  </si>
  <si>
    <t>Avez-vous connaissance d'un quelconque problème potentiel lié à la continuité de cette application (par exemple départ ou indisponibilité des ressources clés, fin de support, bug critique, ...), si oui lequel dans détails ?</t>
  </si>
  <si>
    <t>Est-ce que des sauvegardes sont réalisées régulièrement ?</t>
  </si>
  <si>
    <t>A quelle fréquence sont-elles exécutées?</t>
  </si>
  <si>
    <t>Avez-vous une politique de rétention en place ? Si oui, pouvez-vous me la partager?</t>
  </si>
  <si>
    <t>Quelle est la solution de sauvegarde/récupération utilisée ?</t>
  </si>
  <si>
    <t>ERP - Système de Gestion des Ressources Humaines</t>
  </si>
  <si>
    <t>Développement interne</t>
  </si>
  <si>
    <t>digitalisée d'évaluation des performances de COFINA</t>
  </si>
  <si>
    <t>IT LOCAL</t>
  </si>
  <si>
    <t>évaluation des performances de COFINA</t>
  </si>
  <si>
    <t>Quid de la gestion du personnels, de la paie, …?</t>
  </si>
  <si>
    <t>it groupe</t>
  </si>
  <si>
    <t xml:space="preserve">•  Définition des objectifs :
•  Suivi des performances :
•  Auto-évaluation et feedback continu :
•  Évaluations formelles :
•  Développement et plans de carrière :
•  Gestion des récompenses et reconnaissances :
•  Suivi de la conformité :
</t>
  </si>
  <si>
    <t>Quelques détails pour étayer</t>
  </si>
  <si>
    <t>Quelles sont leurs activités? Validations?</t>
  </si>
  <si>
    <r>
      <rPr>
        <b/>
        <sz val="10"/>
        <color rgb="FFFFC000"/>
        <rFont val="Aptos Narrow"/>
        <scheme val="minor"/>
      </rPr>
      <t>1. Niveau 1 :</t>
    </r>
    <r>
      <rPr>
        <sz val="10"/>
        <color rgb="FFFFC000"/>
        <rFont val="Aptos Narrow"/>
        <family val="2"/>
        <scheme val="minor"/>
      </rPr>
      <t xml:space="preserve">
o Nombre d'ETP : 4
o Répartition des Activités : Résolution des tickets de premier niveau, support de base aux utilisateurs, gestion des demandes simples et Analyse des incidents 
</t>
    </r>
    <r>
      <rPr>
        <b/>
        <sz val="10"/>
        <color rgb="FFFFC000"/>
        <rFont val="Aptos Narrow"/>
        <scheme val="minor"/>
      </rPr>
      <t xml:space="preserve">2. Niveau 2 </t>
    </r>
    <r>
      <rPr>
        <sz val="10"/>
        <color rgb="FFFFC000"/>
        <rFont val="Aptos Narrow"/>
        <family val="2"/>
        <scheme val="minor"/>
      </rPr>
      <t xml:space="preserve">:
o Nombre d'ETP : 5
o Entité : Holding
o Répartition des Activités : Analyse des incidents plus complexes, gestion des escalades du niveau 1, résolution de problèmes techniques avancés.
o Compétences : Expertise technique, capacité à résoudre des problèmes complexes.
o Rôles : Technicien Support Niveau 2
</t>
    </r>
    <r>
      <rPr>
        <b/>
        <sz val="10"/>
        <color rgb="FFFFC000"/>
        <rFont val="Aptos Narrow"/>
        <scheme val="minor"/>
      </rPr>
      <t/>
    </r>
  </si>
  <si>
    <r>
      <rPr>
        <b/>
        <sz val="10"/>
        <rFont val="Aptos Narrow"/>
        <scheme val="minor"/>
      </rPr>
      <t xml:space="preserve">Niveau 1:  </t>
    </r>
    <r>
      <rPr>
        <sz val="10"/>
        <rFont val="Aptos Narrow"/>
        <family val="2"/>
        <scheme val="minor"/>
      </rPr>
      <t xml:space="preserve">Holding : ETP dédiés : 3                                                                                                                          </t>
    </r>
    <r>
      <rPr>
        <b/>
        <sz val="10"/>
        <rFont val="Aptos Narrow"/>
        <scheme val="minor"/>
      </rPr>
      <t xml:space="preserve">Niveau 2 : </t>
    </r>
    <r>
      <rPr>
        <sz val="10"/>
        <rFont val="Aptos Narrow"/>
        <family val="2"/>
        <scheme val="minor"/>
      </rPr>
      <t>Filiale : ETP dédiés : 4                                                                                                                                GROUPE</t>
    </r>
  </si>
  <si>
    <t xml:space="preserve">Holding : ETP dédiés : 3
Filiale : ETP dédiés : 1
</t>
  </si>
  <si>
    <t>Holding : ETP dédiés : 3
Filiale : ETP dédiés : 1</t>
  </si>
  <si>
    <t>Aucune intervention interne de l'IT?</t>
  </si>
  <si>
    <t>temps réel</t>
  </si>
  <si>
    <t>Procurement Management - Gestion des Achats</t>
  </si>
  <si>
    <t>COFIFED</t>
  </si>
  <si>
    <t>1.1</t>
  </si>
  <si>
    <t>1.2</t>
  </si>
  <si>
    <t xml:space="preserve">L'application a été implémentée vers fin 2022 </t>
  </si>
  <si>
    <t>Application déjà implémentée</t>
  </si>
  <si>
    <t>Année 2020?</t>
  </si>
  <si>
    <t xml:space="preserve">PHP </t>
  </si>
  <si>
    <t>La solution est adaptée pour le web ainsi que pour  le mobile ( Responsive design)</t>
  </si>
  <si>
    <t>Illimité</t>
  </si>
  <si>
    <t>Niveau 1:  Filiale : ETP dédiés : 3                                                                                                                          Niveau 2 : Filiale : ETP dédiés : 3                                                                                                                                Niveau 3 :  Filiale d'ETP : 3</t>
  </si>
  <si>
    <r>
      <rPr>
        <b/>
        <sz val="10"/>
        <rFont val="Aptos Narrow"/>
        <scheme val="minor"/>
      </rPr>
      <t xml:space="preserve">Niveau 1:  </t>
    </r>
    <r>
      <rPr>
        <sz val="10"/>
        <rFont val="Aptos Narrow"/>
        <family val="2"/>
        <scheme val="minor"/>
      </rPr>
      <t xml:space="preserve">Filiale : ETP dédiés : 3                                                                                                                          </t>
    </r>
    <r>
      <rPr>
        <b/>
        <sz val="10"/>
        <rFont val="Aptos Narrow"/>
        <scheme val="minor"/>
      </rPr>
      <t xml:space="preserve">Niveau 2 : </t>
    </r>
    <r>
      <rPr>
        <sz val="10"/>
        <rFont val="Aptos Narrow"/>
        <family val="2"/>
        <scheme val="minor"/>
      </rPr>
      <t xml:space="preserve">Filiale : ETP dédiés : 3                                                                                                                                </t>
    </r>
    <r>
      <rPr>
        <b/>
        <sz val="10"/>
        <rFont val="Aptos Narrow"/>
        <scheme val="minor"/>
      </rPr>
      <t>Niveau 3 :  Filiale</t>
    </r>
    <r>
      <rPr>
        <sz val="10"/>
        <rFont val="Aptos Narrow"/>
        <family val="2"/>
        <scheme val="minor"/>
      </rPr>
      <t xml:space="preserve"> d'ETP : 3</t>
    </r>
  </si>
  <si>
    <t xml:space="preserve">
Filiale : ETP dédiés : 3
</t>
  </si>
  <si>
    <t xml:space="preserve"> Filiale : ETP dédiés :3
Filiale : ETP dédiés : 1</t>
  </si>
  <si>
    <t>en local</t>
  </si>
  <si>
    <t>Linux</t>
  </si>
  <si>
    <t>MySQL</t>
  </si>
  <si>
    <t xml:space="preserve">UTILISATEUR SIMPLE (DEMANDEUR)
-ASSISTANT LOGISTIQUE
-RESPONSABLE LOGISTIQUE
-MANAGER 
-DAF
-MD
</t>
  </si>
  <si>
    <t xml:space="preserve">I-	LE DEMANDEUR
Il initie la demande en remplissant un formulaire comportant le nom, prénom, date, poste, objet demandé et sa signature.
Son N+1 valide en premier 
Après enregistrement de la demande le service logistique reçoit la demande pour traitement.
II-	ASSISTANT LOGISTIQUE 
Chargé de faire la demande de cotation et l’établissement du bon de commande après validation 
Il peut également imprimer le bon de commande final
III-	RESPONSABLE LOGISTIQUE
Il se charge de valider, rejeter ou de mettre en attente les demandes ainsi que la création de la facture pro-forma.
IV-	MANAGER
Il a la possibilité de valider de rejeter ou de mettre en attente une demande
V-	DAF ET MD
Ils sont chargés de valider les bons et factures
VI-	Prévoir un tableau de bord 
Couplet l’application de FED et de gestion de stock afin d’avoir une seule authentification.
Mettre 
</t>
  </si>
  <si>
    <t>Quelles sont lesinterfaces avec les autres SI (integrations)?</t>
  </si>
  <si>
    <t>TEMPS REEL</t>
  </si>
  <si>
    <t>Oui les sauvegardes sont automatiques et journalieres dès l'implementation</t>
  </si>
  <si>
    <t>Contract Management - Gestion des contrats</t>
  </si>
  <si>
    <t>Cette solution devrait être dans SIRH, ici il s'agit de la gestion des contrats avec les prestataires externes</t>
  </si>
  <si>
    <t>application de recrutement RH  &amp; gestion des contrats</t>
  </si>
  <si>
    <t>Notre système actuel de SIRH ne prend pas en compte les processus de recrutement RH ni la gestion des contrats.</t>
  </si>
  <si>
    <t>IT LOCAL
/IT GROUPE</t>
  </si>
  <si>
    <t>Digitalisation des offres, candidatures, interviews, propositions d'embauche, contracts, evaluations</t>
  </si>
  <si>
    <t>Publication des offres d'emplois, reception des candidatures, programmation des entretiens, notation des entretiens, envoie des propositions d'embauche, génération des contrat, evaluation des fins de contrat</t>
  </si>
  <si>
    <t>voici une vue d'ensemble des processus nécessaires : Publication des offres d'emplois, reception des candidatures, programmation des entretiens(du niveau 1 au niveau Holding), notation des entretiens, envoie des propositions d'embauche, génération des contrat, evaluation des fins de contrat</t>
  </si>
  <si>
    <t xml:space="preserve">Recrutement RH
1. Gestion des candidatures
2. Suivi des candidatures
3. Gestion des entretiens
4. Évaluation et sélection des candidats
5. Intégration des nouveaux employés
Gestion des contrats
1. Création et gestion des contrats
2. Suivi des contrats
3. Processus de résiliation et de fin de contrat
</t>
  </si>
  <si>
    <t>PHP / LARAVEL / HTML / CSS</t>
  </si>
  <si>
    <t>Laravel est un framework sucurisé, fréquement mis à jour, ce qui permet d'assurer une sécurité maximale de l'application</t>
  </si>
  <si>
    <t>Car l'application sera utilisé par toutes le filliales</t>
  </si>
  <si>
    <t>Aucun</t>
  </si>
  <si>
    <t>Toutes les filliales</t>
  </si>
  <si>
    <r>
      <rPr>
        <b/>
        <sz val="10"/>
        <rFont val="Aptos Narrow"/>
        <scheme val="minor"/>
      </rPr>
      <t xml:space="preserve">Niveau 1:  </t>
    </r>
    <r>
      <rPr>
        <sz val="10"/>
        <rFont val="Aptos Narrow"/>
        <family val="2"/>
        <scheme val="minor"/>
      </rPr>
      <t xml:space="preserve">Holding : ETP dédiés : 3                                                                                                                       </t>
    </r>
    <r>
      <rPr>
        <b/>
        <sz val="10"/>
        <rFont val="Aptos Narrow"/>
        <scheme val="minor"/>
      </rPr>
      <t xml:space="preserve">Niveau 2 : </t>
    </r>
    <r>
      <rPr>
        <sz val="10"/>
        <rFont val="Aptos Narrow"/>
        <family val="2"/>
        <scheme val="minor"/>
      </rPr>
      <t>Filiale : ETP dédiés : 3                                                                                                                                GROUPE</t>
    </r>
  </si>
  <si>
    <t>en locale</t>
  </si>
  <si>
    <t>Quelle version?</t>
  </si>
  <si>
    <t>MySQL 8.0</t>
  </si>
  <si>
    <t xml:space="preserve">IT LOCAL
</t>
  </si>
  <si>
    <t>L'application a deux interface web: cliente et administrative</t>
  </si>
  <si>
    <t>L'interface cliente permet de visualiser les offres et de postuler à ces dernières, il est également possible d'effectuer des candidatures spontanées
Linterface administrative permet de gérer tout ce qui est offres, candidatures, entretiens, proposition d'embauches, contrats et evaluations</t>
  </si>
  <si>
    <t>Messagerie</t>
  </si>
  <si>
    <t>OFFICE 365</t>
  </si>
  <si>
    <t>Quel est l'effectif actuel?</t>
  </si>
  <si>
    <t>N1 &amp; 2</t>
  </si>
  <si>
    <t>N</t>
  </si>
  <si>
    <t>Le nombre d'ETP?</t>
  </si>
  <si>
    <t>actif -passif</t>
  </si>
  <si>
    <t>Other tools - Autres outils</t>
  </si>
  <si>
    <t>Occ</t>
  </si>
  <si>
    <t>Avez-vous un outil pour la gestion de projet ?</t>
  </si>
  <si>
    <t>Avez-vous un outil pour la gestion des missions d'audit internes ?</t>
  </si>
  <si>
    <t>Avez-vous un outil pour la gestion des frais de missions ?</t>
  </si>
  <si>
    <t>Non mais il est prévu</t>
  </si>
  <si>
    <t>Pour quand?</t>
  </si>
  <si>
    <t>Avez-vous un outil pour la gestion des congés ?</t>
  </si>
  <si>
    <t>La date?</t>
  </si>
  <si>
    <t>VOIR GROUPE</t>
  </si>
  <si>
    <t>Quel est leur nombre?</t>
  </si>
  <si>
    <t>Unbutu 20.04</t>
  </si>
  <si>
    <t>mysql</t>
  </si>
  <si>
    <t>Avez-vous des plateformes digitales de formation ?</t>
  </si>
  <si>
    <t>Avez-vous un outil d'intranet ?</t>
  </si>
  <si>
    <t>Avez-vous un outil de gestion des conseils de surveillances ?</t>
  </si>
  <si>
    <t>Autres solutions internes ? (veuillez s&amp;isir et décrire toutes les solutions développées en interne)</t>
  </si>
  <si>
    <t>Digitalisation des conventions de crédit</t>
  </si>
  <si>
    <t>Élaboration du contrat de crédit, Édition des Conditions Générales d’Acceptation (CAT), Gestion du report d’échéance, Possibilité de remboursement anticipé, Envoi automatisé des lettres de mise en demeure en cas de besoin, Vérification post-déblocage</t>
  </si>
  <si>
    <t>IT Tools - Outils IT</t>
  </si>
  <si>
    <t>Avez-vous un outil de planification et d'envoi SMS aux clients (SMS Gateway) ?</t>
  </si>
  <si>
    <t>Oui, inclut dans CBS</t>
  </si>
  <si>
    <t>Il est dit dans la partie CBS que Flexcube ne dispose pas de module</t>
  </si>
  <si>
    <t>Avez-vous un outil de RPA (Automatisation des activités) ?</t>
  </si>
  <si>
    <t>Avez-vous un outil de gestion/transfert de fichiers (MFT) ?</t>
  </si>
  <si>
    <t>Avez-vous un outil de gestion des services informatiques (ITSM tool) ?</t>
  </si>
  <si>
    <t>Avez-vous des outils de supervision et monitoring des plateformes IT ?</t>
  </si>
  <si>
    <t>SIEM, analyse de logs, détection d'anomalies, tableaux de bord personnalisables.</t>
  </si>
  <si>
    <t>Déploiement: Sur site et SaaS.</t>
  </si>
  <si>
    <t>Criticité: Élevée.</t>
  </si>
  <si>
    <t>Variable selon l'utilisation</t>
  </si>
  <si>
    <t>Avez-vous des outils de gestion des postes de travail ?</t>
  </si>
  <si>
    <t>Avez-vous des outils de gestion des développements internes ?</t>
  </si>
  <si>
    <t>Avez-vous des outils de reporting ?</t>
  </si>
  <si>
    <t>Avez-vous des outils collaboratifs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</si>
</sst>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quot; &quot;##&quot; &quot;##&quot; &quot;##&quot; &quot;##"/>
    <numFmt numFmtId="165" formatCode="0.0%"/>
    <numFmt numFmtId="166" formatCode="_-* #,##0\ [$€-40C]_-;\-* #,##0\ [$€-40C]_-;_-* &quot;-&quot;??\ [$€-40C]_-;_-@_-"/>
    <numFmt numFmtId="167" formatCode="dd/mm/yy;@"/>
  </numFmts>
  <fonts count="90">
    <font>
      <sz val="11"/>
      <color theme="1"/>
      <name val="Aptos Narrow"/>
      <family val="2"/>
      <scheme val="minor"/>
    </font>
    <font>
      <b/>
      <sz val="10"/>
      <color rgb="FFFFFFFF"/>
      <name val="Arial"/>
      <family val="2"/>
    </font>
    <font>
      <sz val="12"/>
      <name val="宋体"/>
      <charset val="134"/>
    </font>
    <font>
      <b/>
      <sz val="14"/>
      <color theme="0"/>
      <name val="Aptos Narrow"/>
      <family val="2"/>
      <scheme val="minor"/>
    </font>
    <font>
      <b/>
      <sz val="12"/>
      <color theme="0"/>
      <name val="Aptos Narrow"/>
      <family val="2"/>
      <scheme val="minor"/>
    </font>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sz val="10"/>
      <color theme="1"/>
      <name val="Aptos Narrow"/>
      <family val="2"/>
      <scheme val="minor"/>
    </font>
    <font>
      <sz val="10"/>
      <color rgb="FFFFFFFF"/>
      <name val="Arial"/>
      <family val="2"/>
    </font>
    <font>
      <i/>
      <sz val="10"/>
      <color rgb="FFFFFFFF"/>
      <name val="Arial"/>
      <family val="2"/>
    </font>
    <font>
      <sz val="10"/>
      <name val="Aptos Narrow"/>
      <family val="2"/>
      <scheme val="minor"/>
    </font>
    <font>
      <sz val="10"/>
      <color rgb="FFFF0000"/>
      <name val="Aptos Narrow"/>
      <family val="2"/>
      <scheme val="minor"/>
    </font>
    <font>
      <i/>
      <sz val="10"/>
      <color theme="1"/>
      <name val="Aptos Narrow"/>
      <family val="2"/>
      <scheme val="minor"/>
    </font>
    <font>
      <b/>
      <sz val="10"/>
      <color theme="0"/>
      <name val="Aptos Narrow"/>
      <family val="2"/>
      <scheme val="minor"/>
    </font>
    <font>
      <b/>
      <sz val="14"/>
      <color theme="5" tint="-0.499984740745262"/>
      <name val="Aptos Narrow"/>
      <family val="2"/>
      <scheme val="minor"/>
    </font>
    <font>
      <b/>
      <sz val="14"/>
      <color theme="7" tint="-0.499984740745262"/>
      <name val="Aptos Narrow"/>
      <family val="2"/>
      <scheme val="minor"/>
    </font>
    <font>
      <b/>
      <sz val="14"/>
      <color theme="8" tint="-0.249977111117893"/>
      <name val="Aptos Narrow"/>
      <family val="2"/>
      <scheme val="minor"/>
    </font>
    <font>
      <b/>
      <sz val="14"/>
      <color theme="5" tint="0.39997558519241921"/>
      <name val="Aptos Narrow"/>
      <family val="2"/>
      <scheme val="minor"/>
    </font>
    <font>
      <b/>
      <sz val="14"/>
      <color theme="3" tint="0.499984740745262"/>
      <name val="Aptos Narrow"/>
      <family val="2"/>
      <scheme val="minor"/>
    </font>
    <font>
      <b/>
      <sz val="14"/>
      <color rgb="FFFF9933"/>
      <name val="Aptos Narrow"/>
      <family val="2"/>
      <scheme val="minor"/>
    </font>
    <font>
      <b/>
      <sz val="14"/>
      <color rgb="FFDB4BCA"/>
      <name val="Aptos Narrow"/>
      <family val="2"/>
      <scheme val="minor"/>
    </font>
    <font>
      <b/>
      <sz val="14"/>
      <color rgb="FF709AB6"/>
      <name val="Aptos Narrow"/>
      <family val="2"/>
      <scheme val="minor"/>
    </font>
    <font>
      <b/>
      <sz val="14"/>
      <color rgb="FFA4AC42"/>
      <name val="Aptos Narrow"/>
      <family val="2"/>
      <scheme val="minor"/>
    </font>
    <font>
      <b/>
      <sz val="14"/>
      <color rgb="FFB75351"/>
      <name val="Aptos Narrow"/>
      <family val="2"/>
      <scheme val="minor"/>
    </font>
    <font>
      <b/>
      <sz val="14"/>
      <color theme="9" tint="-0.499984740745262"/>
      <name val="Aptos Narrow"/>
      <family val="2"/>
      <scheme val="minor"/>
    </font>
    <font>
      <b/>
      <sz val="14"/>
      <color rgb="FF786FB7"/>
      <name val="Aptos Narrow"/>
      <family val="2"/>
      <scheme val="minor"/>
    </font>
    <font>
      <b/>
      <sz val="14"/>
      <color rgb="FFA49ECE"/>
      <name val="Aptos Narrow"/>
      <family val="2"/>
      <scheme val="minor"/>
    </font>
    <font>
      <b/>
      <sz val="14"/>
      <color rgb="FF23AF37"/>
      <name val="Aptos Narrow"/>
      <family val="2"/>
      <scheme val="minor"/>
    </font>
    <font>
      <b/>
      <sz val="14"/>
      <color rgb="FF92D050"/>
      <name val="Aptos Narrow"/>
      <family val="2"/>
      <scheme val="minor"/>
    </font>
    <font>
      <b/>
      <sz val="14"/>
      <color rgb="FFE74549"/>
      <name val="Aptos Narrow"/>
      <family val="2"/>
      <scheme val="minor"/>
    </font>
    <font>
      <sz val="12"/>
      <color theme="1"/>
      <name val="Aptos Narrow"/>
      <family val="2"/>
      <scheme val="minor"/>
    </font>
    <font>
      <vertAlign val="superscript"/>
      <sz val="10"/>
      <color theme="1"/>
      <name val="Aptos Narrow"/>
      <family val="2"/>
      <scheme val="minor"/>
    </font>
    <font>
      <b/>
      <sz val="16"/>
      <color theme="0"/>
      <name val="Aptos Narrow"/>
      <family val="2"/>
      <scheme val="minor"/>
    </font>
    <font>
      <sz val="14"/>
      <color theme="0"/>
      <name val="Aptos Narrow"/>
      <family val="2"/>
      <scheme val="minor"/>
    </font>
    <font>
      <b/>
      <u/>
      <sz val="20"/>
      <color theme="1"/>
      <name val="Aptos Narrow"/>
      <family val="2"/>
      <scheme val="minor"/>
    </font>
    <font>
      <u/>
      <sz val="11"/>
      <color theme="10"/>
      <name val="Aptos Narrow"/>
      <family val="2"/>
      <scheme val="minor"/>
    </font>
    <font>
      <b/>
      <sz val="14"/>
      <color theme="7" tint="-0.249977111117893"/>
      <name val="Aptos Narrow"/>
      <family val="2"/>
      <scheme val="minor"/>
    </font>
    <font>
      <b/>
      <sz val="11"/>
      <color rgb="FFFF0000"/>
      <name val="Aptos Narrow"/>
      <family val="2"/>
      <scheme val="minor"/>
    </font>
    <font>
      <b/>
      <sz val="14"/>
      <color theme="3" tint="0.249977111117893"/>
      <name val="Aptos Narrow"/>
      <family val="2"/>
      <scheme val="minor"/>
    </font>
    <font>
      <b/>
      <sz val="12"/>
      <color theme="3" tint="0.249977111117893"/>
      <name val="Aptos Narrow"/>
      <family val="2"/>
      <scheme val="minor"/>
    </font>
    <font>
      <sz val="10"/>
      <color rgb="FF000000"/>
      <name val="Aptos Narrow"/>
      <family val="2"/>
      <scheme val="minor"/>
    </font>
    <font>
      <sz val="11"/>
      <color rgb="FF000000"/>
      <name val="Calibri"/>
      <family val="2"/>
    </font>
    <font>
      <sz val="10"/>
      <name val="Aptos Narrow"/>
      <family val="2"/>
    </font>
    <font>
      <sz val="10"/>
      <color rgb="FF000000"/>
      <name val="Aptos Narrow"/>
      <family val="2"/>
    </font>
    <font>
      <sz val="12"/>
      <color theme="1"/>
      <name val="Times New Roman"/>
      <family val="1"/>
      <charset val="1"/>
    </font>
    <font>
      <sz val="11"/>
      <color theme="0"/>
      <name val="Calibri"/>
      <family val="2"/>
      <charset val="1"/>
    </font>
    <font>
      <sz val="9"/>
      <color theme="1"/>
      <name val="Aptos Narrow"/>
      <family val="2"/>
      <scheme val="minor"/>
    </font>
    <font>
      <sz val="9"/>
      <color rgb="FFFF0000"/>
      <name val="Aptos Narrow"/>
      <family val="2"/>
      <scheme val="minor"/>
    </font>
    <font>
      <b/>
      <sz val="9"/>
      <color theme="1"/>
      <name val="Aptos Narrow"/>
      <family val="2"/>
      <scheme val="minor"/>
    </font>
    <font>
      <sz val="9"/>
      <name val="Aptos Narrow"/>
      <family val="2"/>
      <scheme val="minor"/>
    </font>
    <font>
      <b/>
      <sz val="10"/>
      <name val="Aptos Narrow"/>
      <scheme val="minor"/>
    </font>
    <font>
      <sz val="10"/>
      <name val="Aptos Narrow"/>
      <scheme val="minor"/>
    </font>
    <font>
      <sz val="10"/>
      <color rgb="FFFFC000"/>
      <name val="Aptos Narrow"/>
      <scheme val="minor"/>
    </font>
    <font>
      <sz val="10"/>
      <color rgb="FFFFC000"/>
      <name val="Aptos Narrow"/>
      <family val="2"/>
      <scheme val="minor"/>
    </font>
    <font>
      <sz val="11"/>
      <color rgb="FFFFC000"/>
      <name val="Aptos Narrow"/>
      <scheme val="minor"/>
    </font>
    <font>
      <sz val="12"/>
      <color rgb="FFFFC000"/>
      <name val="Times New Roman"/>
      <family val="1"/>
    </font>
    <font>
      <b/>
      <sz val="10"/>
      <color rgb="FFFFC000"/>
      <name val="Aptos Narrow"/>
      <scheme val="minor"/>
    </font>
    <font>
      <sz val="10"/>
      <color rgb="FFFFC000"/>
      <name val="Aptos Narrow"/>
      <family val="2"/>
    </font>
    <font>
      <sz val="10"/>
      <color theme="1"/>
      <name val="Aptos Narrow"/>
      <scheme val="minor"/>
    </font>
    <font>
      <sz val="10"/>
      <color theme="0"/>
      <name val="Aptos Narrow"/>
      <family val="2"/>
      <scheme val="minor"/>
    </font>
    <font>
      <sz val="10"/>
      <color theme="0"/>
      <name val="Aptos Narrow"/>
      <scheme val="minor"/>
    </font>
    <font>
      <sz val="11"/>
      <color theme="0"/>
      <name val="Aptos Narrow"/>
      <scheme val="minor"/>
    </font>
    <font>
      <sz val="12"/>
      <name val="Aptos Narrow"/>
      <scheme val="minor"/>
    </font>
    <font>
      <sz val="12"/>
      <color theme="0"/>
      <name val="Aptos Narrow"/>
      <scheme val="minor"/>
    </font>
    <font>
      <sz val="12"/>
      <color rgb="FFFFC000"/>
      <name val="Aptos Narrow"/>
      <scheme val="minor"/>
    </font>
    <font>
      <sz val="11"/>
      <color theme="1"/>
      <name val="Aptos Narrow"/>
      <scheme val="minor"/>
    </font>
    <font>
      <sz val="12"/>
      <color theme="0"/>
      <name val="Times New Roman"/>
      <family val="1"/>
    </font>
    <font>
      <sz val="12"/>
      <color theme="1"/>
      <name val="Times New Roman"/>
      <family val="1"/>
    </font>
    <font>
      <sz val="10"/>
      <color rgb="FFFFC000"/>
      <name val="Aptos Narrow"/>
    </font>
    <font>
      <b/>
      <sz val="18"/>
      <color rgb="FF000000"/>
      <name val="Calibri"/>
      <family val="2"/>
    </font>
    <font>
      <b/>
      <sz val="18"/>
      <color rgb="FFFF0000"/>
      <name val="Calibri"/>
      <family val="2"/>
    </font>
    <font>
      <sz val="22"/>
      <color theme="0"/>
      <name val="Aptos Narrow"/>
      <family val="2"/>
      <scheme val="minor"/>
    </font>
    <font>
      <b/>
      <sz val="22"/>
      <color theme="0"/>
      <name val="Aptos Narrow"/>
      <family val="2"/>
      <scheme val="minor"/>
    </font>
    <font>
      <b/>
      <sz val="10"/>
      <name val="Calibri"/>
      <family val="2"/>
    </font>
    <font>
      <b/>
      <sz val="12"/>
      <color theme="0"/>
      <name val="Calibri"/>
      <family val="2"/>
    </font>
    <font>
      <b/>
      <sz val="10"/>
      <color rgb="FF000000"/>
      <name val="Calibri"/>
      <family val="2"/>
    </font>
    <font>
      <b/>
      <sz val="12"/>
      <color rgb="FFFF0000"/>
      <name val="Aptos Narrow"/>
      <family val="2"/>
      <scheme val="minor"/>
    </font>
    <font>
      <sz val="12"/>
      <color theme="0"/>
      <name val="Aptos Narrow"/>
      <family val="2"/>
      <scheme val="minor"/>
    </font>
    <font>
      <b/>
      <sz val="20"/>
      <color theme="0"/>
      <name val="Aptos Narrow"/>
      <family val="2"/>
      <scheme val="minor"/>
    </font>
    <font>
      <b/>
      <sz val="12"/>
      <color theme="1"/>
      <name val="Aptos Narrow"/>
      <scheme val="minor"/>
    </font>
    <font>
      <b/>
      <sz val="14"/>
      <color theme="0"/>
      <name val="Aptos Narrow"/>
      <scheme val="minor"/>
    </font>
    <font>
      <b/>
      <sz val="12"/>
      <color theme="0"/>
      <name val="Aptos Narrow"/>
      <scheme val="minor"/>
    </font>
    <font>
      <b/>
      <sz val="12"/>
      <color theme="9"/>
      <name val="Aptos Narrow"/>
      <scheme val="minor"/>
    </font>
    <font>
      <b/>
      <sz val="20"/>
      <color rgb="FFFF0000"/>
      <name val="Aptos Narrow"/>
      <family val="2"/>
      <scheme val="minor"/>
    </font>
    <font>
      <b/>
      <sz val="20"/>
      <color theme="0"/>
      <name val="Aptos Narrow"/>
      <scheme val="minor"/>
    </font>
    <font>
      <b/>
      <sz val="20"/>
      <color rgb="FFFF0000"/>
      <name val="Aptos Narrow"/>
      <scheme val="minor"/>
    </font>
    <font>
      <sz val="22"/>
      <color theme="6" tint="0.39997558519241921"/>
      <name val="Aptos Narrow"/>
      <family val="2"/>
      <scheme val="minor"/>
    </font>
    <font>
      <b/>
      <sz val="10"/>
      <color rgb="FFFF0000"/>
      <name val="Calibri"/>
      <family val="2"/>
    </font>
  </fonts>
  <fills count="47">
    <fill>
      <patternFill patternType="none"/>
    </fill>
    <fill>
      <patternFill patternType="gray125"/>
    </fill>
    <fill>
      <patternFill patternType="solid">
        <fgColor rgb="FF92D050"/>
        <bgColor indexed="64"/>
      </patternFill>
    </fill>
    <fill>
      <patternFill patternType="solid">
        <fgColor theme="8" tint="-0.249977111117893"/>
        <bgColor indexed="64"/>
      </patternFill>
    </fill>
    <fill>
      <patternFill patternType="solid">
        <fgColor theme="7" tint="-0.249977111117893"/>
        <bgColor indexed="64"/>
      </patternFill>
    </fill>
    <fill>
      <patternFill patternType="solid">
        <fgColor theme="9" tint="-0.499984740745262"/>
        <bgColor indexed="64"/>
      </patternFill>
    </fill>
    <fill>
      <patternFill patternType="solid">
        <fgColor theme="5" tint="-0.499984740745262"/>
        <bgColor indexed="64"/>
      </patternFill>
    </fill>
    <fill>
      <patternFill patternType="solid">
        <fgColor theme="7" tint="-0.499984740745262"/>
        <bgColor indexed="64"/>
      </patternFill>
    </fill>
    <fill>
      <patternFill patternType="solid">
        <fgColor theme="5" tint="0.39997558519241921"/>
        <bgColor indexed="64"/>
      </patternFill>
    </fill>
    <fill>
      <patternFill patternType="solid">
        <fgColor theme="3" tint="0.499984740745262"/>
        <bgColor indexed="64"/>
      </patternFill>
    </fill>
    <fill>
      <patternFill patternType="solid">
        <fgColor rgb="FFFF9933"/>
        <bgColor indexed="64"/>
      </patternFill>
    </fill>
    <fill>
      <patternFill patternType="solid">
        <fgColor rgb="FFDB4BCA"/>
        <bgColor indexed="64"/>
      </patternFill>
    </fill>
    <fill>
      <patternFill patternType="solid">
        <fgColor rgb="FF709AB6"/>
        <bgColor indexed="64"/>
      </patternFill>
    </fill>
    <fill>
      <patternFill patternType="solid">
        <fgColor rgb="FFA4AC42"/>
        <bgColor indexed="64"/>
      </patternFill>
    </fill>
    <fill>
      <patternFill patternType="solid">
        <fgColor rgb="FFB75351"/>
        <bgColor indexed="64"/>
      </patternFill>
    </fill>
    <fill>
      <patternFill patternType="solid">
        <fgColor theme="0" tint="-0.14999847407452621"/>
        <bgColor indexed="64"/>
      </patternFill>
    </fill>
    <fill>
      <patternFill patternType="solid">
        <fgColor rgb="FFEDF725"/>
        <bgColor indexed="64"/>
      </patternFill>
    </fill>
    <fill>
      <patternFill patternType="solid">
        <fgColor rgb="FF786FB7"/>
        <bgColor indexed="64"/>
      </patternFill>
    </fill>
    <fill>
      <patternFill patternType="solid">
        <fgColor rgb="FFA49ECE"/>
        <bgColor indexed="64"/>
      </patternFill>
    </fill>
    <fill>
      <patternFill patternType="solid">
        <fgColor rgb="FF23AF37"/>
        <bgColor indexed="64"/>
      </patternFill>
    </fill>
    <fill>
      <patternFill patternType="solid">
        <fgColor rgb="FFE74549"/>
        <bgColor indexed="64"/>
      </patternFill>
    </fill>
    <fill>
      <patternFill patternType="solid">
        <fgColor rgb="FF99E7FF"/>
        <bgColor indexed="64"/>
      </patternFill>
    </fill>
    <fill>
      <patternFill patternType="solid">
        <fgColor theme="2" tint="-0.249977111117893"/>
        <bgColor indexed="64"/>
      </patternFill>
    </fill>
    <fill>
      <patternFill patternType="solid">
        <fgColor theme="1" tint="0.34998626667073579"/>
        <bgColor indexed="64"/>
      </patternFill>
    </fill>
    <fill>
      <patternFill patternType="solid">
        <fgColor rgb="FF739763"/>
        <bgColor indexed="64"/>
      </patternFill>
    </fill>
    <fill>
      <patternFill patternType="solid">
        <fgColor rgb="FF50746A"/>
        <bgColor indexed="64"/>
      </patternFill>
    </fill>
    <fill>
      <patternFill patternType="solid">
        <fgColor rgb="FF847E62"/>
        <bgColor indexed="64"/>
      </patternFill>
    </fill>
    <fill>
      <patternFill patternType="solid">
        <fgColor rgb="FFBCB8A4"/>
        <bgColor indexed="64"/>
      </patternFill>
    </fill>
    <fill>
      <patternFill patternType="solid">
        <fgColor rgb="FFFC7CF6"/>
        <bgColor indexed="64"/>
      </patternFill>
    </fill>
    <fill>
      <patternFill patternType="solid">
        <fgColor rgb="FFFEDAFC"/>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0000"/>
        <bgColor indexed="64"/>
      </patternFill>
    </fill>
    <fill>
      <patternFill patternType="solid">
        <fgColor theme="4" tint="-0.49998474074526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1"/>
        <bgColor indexed="64"/>
      </patternFill>
    </fill>
    <fill>
      <patternFill patternType="solid">
        <fgColor rgb="FFE6FEF6"/>
        <bgColor indexed="64"/>
      </patternFill>
    </fill>
    <fill>
      <patternFill patternType="solid">
        <fgColor theme="0"/>
        <bgColor indexed="64"/>
      </patternFill>
    </fill>
    <fill>
      <patternFill patternType="solid">
        <fgColor theme="0" tint="-0.499984740745262"/>
        <bgColor indexed="64"/>
      </patternFill>
    </fill>
    <fill>
      <patternFill patternType="solid">
        <fgColor rgb="FFC00000"/>
        <bgColor indexed="64"/>
      </patternFill>
    </fill>
    <fill>
      <patternFill patternType="solid">
        <fgColor rgb="FFBFBFBF"/>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rgb="FF00B050"/>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23"/>
      </left>
      <right style="thin">
        <color indexed="23"/>
      </right>
      <top/>
      <bottom style="thin">
        <color indexed="23"/>
      </bottom>
      <diagonal/>
    </border>
    <border>
      <left style="thin">
        <color indexed="23"/>
      </left>
      <right style="thin">
        <color indexed="23"/>
      </right>
      <top style="thin">
        <color indexed="23"/>
      </top>
      <bottom style="medium">
        <color auto="1"/>
      </bottom>
      <diagonal/>
    </border>
    <border>
      <left style="thin">
        <color indexed="23"/>
      </left>
      <right style="thin">
        <color indexed="23"/>
      </right>
      <top style="medium">
        <color auto="1"/>
      </top>
      <bottom style="thin">
        <color indexed="23"/>
      </bottom>
      <diagonal/>
    </border>
    <border>
      <left style="thin">
        <color indexed="23"/>
      </left>
      <right style="thin">
        <color indexed="23"/>
      </right>
      <top style="thin">
        <color indexed="23"/>
      </top>
      <bottom/>
      <diagonal/>
    </border>
    <border>
      <left style="thin">
        <color indexed="23"/>
      </left>
      <right style="thin">
        <color indexed="23"/>
      </right>
      <top/>
      <bottom/>
      <diagonal/>
    </border>
    <border>
      <left/>
      <right/>
      <top/>
      <bottom style="medium">
        <color auto="1"/>
      </bottom>
      <diagonal/>
    </border>
    <border>
      <left/>
      <right style="thin">
        <color indexed="64"/>
      </right>
      <top style="thin">
        <color indexed="64"/>
      </top>
      <bottom style="thin">
        <color indexed="64"/>
      </bottom>
      <diagonal/>
    </border>
    <border>
      <left style="thin">
        <color rgb="FF1B4F4E"/>
      </left>
      <right style="thin">
        <color rgb="FF1B4F4E"/>
      </right>
      <top style="thin">
        <color rgb="FF1B4F4E"/>
      </top>
      <bottom style="thin">
        <color rgb="FF1B4F4E"/>
      </bottom>
      <diagonal/>
    </border>
    <border>
      <left style="thin">
        <color indexed="64"/>
      </left>
      <right style="thin">
        <color indexed="64"/>
      </right>
      <top/>
      <bottom style="thin">
        <color indexed="64"/>
      </bottom>
      <diagonal/>
    </border>
    <border>
      <left/>
      <right style="thin">
        <color indexed="23"/>
      </right>
      <top style="thin">
        <color indexed="23"/>
      </top>
      <bottom style="thin">
        <color indexed="23"/>
      </bottom>
      <diagonal/>
    </border>
    <border>
      <left style="thin">
        <color indexed="64"/>
      </left>
      <right style="thin">
        <color indexed="64"/>
      </right>
      <top style="thin">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1B4F4E"/>
      </left>
      <right style="thin">
        <color rgb="FF1B4F4E"/>
      </right>
      <top style="thin">
        <color rgb="FF1B4F4E"/>
      </top>
      <bottom/>
      <diagonal/>
    </border>
    <border>
      <left/>
      <right/>
      <top style="thin">
        <color indexed="23"/>
      </top>
      <bottom style="thin">
        <color indexed="23"/>
      </bottom>
      <diagonal/>
    </border>
    <border>
      <left/>
      <right/>
      <top/>
      <bottom style="dashDotDot">
        <color theme="0"/>
      </bottom>
      <diagonal/>
    </border>
    <border>
      <left/>
      <right style="thin">
        <color theme="0"/>
      </right>
      <top/>
      <bottom style="thin">
        <color indexed="23"/>
      </bottom>
      <diagonal/>
    </border>
    <border>
      <left style="thin">
        <color theme="0"/>
      </left>
      <right style="thin">
        <color theme="0"/>
      </right>
      <top/>
      <bottom style="thin">
        <color indexed="23"/>
      </bottom>
      <diagonal/>
    </border>
    <border>
      <left style="thin">
        <color theme="0"/>
      </left>
      <right/>
      <top/>
      <bottom style="thin">
        <color indexed="23"/>
      </bottom>
      <diagonal/>
    </border>
    <border>
      <left style="thin">
        <color theme="5" tint="-0.499984740745262"/>
      </left>
      <right style="thin">
        <color theme="5" tint="-0.499984740745262"/>
      </right>
      <top style="thin">
        <color theme="5" tint="-0.499984740745262"/>
      </top>
      <bottom style="thin">
        <color theme="5" tint="-0.499984740745262"/>
      </bottom>
      <diagonal/>
    </border>
    <border>
      <left style="thin">
        <color theme="7" tint="-0.499984740745262"/>
      </left>
      <right style="thin">
        <color theme="7" tint="-0.499984740745262"/>
      </right>
      <top style="thin">
        <color theme="7" tint="-0.499984740745262"/>
      </top>
      <bottom style="thin">
        <color theme="7" tint="-0.499984740745262"/>
      </bottom>
      <diagonal/>
    </border>
    <border>
      <left style="thin">
        <color theme="8" tint="-0.24994659260841701"/>
      </left>
      <right style="thin">
        <color theme="8" tint="-0.24994659260841701"/>
      </right>
      <top style="thin">
        <color theme="8" tint="-0.24994659260841701"/>
      </top>
      <bottom style="thin">
        <color theme="8" tint="-0.24994659260841701"/>
      </bottom>
      <diagonal/>
    </border>
    <border>
      <left style="thin">
        <color theme="5" tint="0.39994506668294322"/>
      </left>
      <right style="thin">
        <color theme="5" tint="0.39994506668294322"/>
      </right>
      <top style="thin">
        <color theme="5" tint="0.39994506668294322"/>
      </top>
      <bottom style="thin">
        <color theme="5" tint="0.39994506668294322"/>
      </bottom>
      <diagonal/>
    </border>
    <border>
      <left style="thin">
        <color theme="3" tint="0.499984740745262"/>
      </left>
      <right style="thin">
        <color theme="3" tint="0.499984740745262"/>
      </right>
      <top style="thin">
        <color theme="3" tint="0.499984740745262"/>
      </top>
      <bottom style="thin">
        <color theme="3" tint="0.499984740745262"/>
      </bottom>
      <diagonal/>
    </border>
    <border>
      <left style="thin">
        <color rgb="FFFC9F08"/>
      </left>
      <right style="thin">
        <color rgb="FFFC9F08"/>
      </right>
      <top style="thin">
        <color rgb="FFFC9F08"/>
      </top>
      <bottom style="thin">
        <color rgb="FFFC9F08"/>
      </bottom>
      <diagonal/>
    </border>
    <border>
      <left style="thin">
        <color rgb="FFCD47C0"/>
      </left>
      <right style="thin">
        <color rgb="FFCD47C0"/>
      </right>
      <top style="thin">
        <color rgb="FFCD47C0"/>
      </top>
      <bottom style="thin">
        <color rgb="FFCD47C0"/>
      </bottom>
      <diagonal/>
    </border>
    <border>
      <left style="thin">
        <color rgb="FF569BCA"/>
      </left>
      <right style="thin">
        <color rgb="FF569BCA"/>
      </right>
      <top style="thin">
        <color rgb="FF569BCA"/>
      </top>
      <bottom style="thin">
        <color rgb="FF569BCA"/>
      </bottom>
      <diagonal/>
    </border>
    <border>
      <left/>
      <right style="thin">
        <color rgb="FFA6A454"/>
      </right>
      <top style="thin">
        <color rgb="FFA6A454"/>
      </top>
      <bottom style="thin">
        <color rgb="FFA6A454"/>
      </bottom>
      <diagonal/>
    </border>
    <border>
      <left style="thin">
        <color rgb="FFAD423D"/>
      </left>
      <right style="thin">
        <color rgb="FFAD423D"/>
      </right>
      <top style="thin">
        <color rgb="FFAD423D"/>
      </top>
      <bottom style="thin">
        <color rgb="FFAD423D"/>
      </bottom>
      <diagonal/>
    </border>
    <border>
      <left style="thin">
        <color rgb="FF6D58C4"/>
      </left>
      <right style="thin">
        <color rgb="FF6D58C4"/>
      </right>
      <top style="thin">
        <color rgb="FF6D58C4"/>
      </top>
      <bottom style="thin">
        <color rgb="FF6D58C4"/>
      </bottom>
      <diagonal/>
    </border>
    <border>
      <left style="thin">
        <color rgb="FF9E90D8"/>
      </left>
      <right style="thin">
        <color rgb="FF9E90D8"/>
      </right>
      <top style="thin">
        <color rgb="FF9E90D8"/>
      </top>
      <bottom style="thin">
        <color rgb="FF9E90D8"/>
      </bottom>
      <diagonal/>
    </border>
    <border>
      <left style="thin">
        <color rgb="FF92D050"/>
      </left>
      <right style="thin">
        <color rgb="FF92D050"/>
      </right>
      <top style="thin">
        <color rgb="FF92D050"/>
      </top>
      <bottom style="thin">
        <color rgb="FF92D050"/>
      </bottom>
      <diagonal/>
    </border>
    <border>
      <left style="thin">
        <color rgb="FF00B050"/>
      </left>
      <right style="thin">
        <color rgb="FF00B050"/>
      </right>
      <top style="thin">
        <color rgb="FF00B050"/>
      </top>
      <bottom style="thin">
        <color rgb="FF00B050"/>
      </bottom>
      <diagonal/>
    </border>
    <border>
      <left style="thin">
        <color rgb="FFDE1847"/>
      </left>
      <right style="thin">
        <color rgb="FFDE1847"/>
      </right>
      <top style="thin">
        <color rgb="FFDE1847"/>
      </top>
      <bottom style="thin">
        <color rgb="FFDE1847"/>
      </bottom>
      <diagonal/>
    </border>
    <border>
      <left style="thin">
        <color rgb="FFFC7CF6"/>
      </left>
      <right style="thin">
        <color rgb="FFFC7CF6"/>
      </right>
      <top style="thin">
        <color rgb="FFFC7CF6"/>
      </top>
      <bottom style="thin">
        <color rgb="FFFC7CF6"/>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ck">
        <color indexed="23"/>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style="thin">
        <color rgb="FF808080"/>
      </bottom>
      <diagonal/>
    </border>
    <border>
      <left style="thin">
        <color indexed="64"/>
      </left>
      <right style="thin">
        <color indexed="64"/>
      </right>
      <top style="thin">
        <color indexed="23"/>
      </top>
      <bottom style="thin">
        <color indexed="23"/>
      </bottom>
      <diagonal/>
    </border>
    <border>
      <left style="thin">
        <color indexed="64"/>
      </left>
      <right style="thin">
        <color indexed="64"/>
      </right>
      <top style="thin">
        <color indexed="64"/>
      </top>
      <bottom style="thin">
        <color rgb="FF1B4F4E"/>
      </bottom>
      <diagonal/>
    </border>
    <border>
      <left style="thin">
        <color indexed="64"/>
      </left>
      <right style="thin">
        <color indexed="64"/>
      </right>
      <top style="thin">
        <color rgb="FF1B4F4E"/>
      </top>
      <bottom style="thin">
        <color rgb="FF1B4F4E"/>
      </bottom>
      <diagonal/>
    </border>
    <border>
      <left style="thin">
        <color indexed="64"/>
      </left>
      <right style="thin">
        <color indexed="64"/>
      </right>
      <top style="thin">
        <color rgb="FF1B4F4E"/>
      </top>
      <bottom/>
      <diagonal/>
    </border>
    <border>
      <left style="thin">
        <color indexed="64"/>
      </left>
      <right style="thin">
        <color indexed="64"/>
      </right>
      <top/>
      <bottom style="thin">
        <color indexed="23"/>
      </bottom>
      <diagonal/>
    </border>
    <border>
      <left style="thin">
        <color indexed="64"/>
      </left>
      <right style="thin">
        <color indexed="64"/>
      </right>
      <top style="medium">
        <color indexed="64"/>
      </top>
      <bottom style="thin">
        <color indexed="23"/>
      </bottom>
      <diagonal/>
    </border>
    <border>
      <left style="thin">
        <color indexed="64"/>
      </left>
      <right style="thin">
        <color indexed="64"/>
      </right>
      <top style="thin">
        <color indexed="23"/>
      </top>
      <bottom style="medium">
        <color indexed="64"/>
      </bottom>
      <diagonal/>
    </border>
    <border>
      <left style="thin">
        <color indexed="64"/>
      </left>
      <right style="thin">
        <color indexed="64"/>
      </right>
      <top style="thin">
        <color indexed="23"/>
      </top>
      <bottom/>
      <diagonal/>
    </border>
    <border>
      <left style="thin">
        <color indexed="64"/>
      </left>
      <right style="medium">
        <color rgb="FFFFFFFF"/>
      </right>
      <top style="thin">
        <color indexed="64"/>
      </top>
      <bottom/>
      <diagonal/>
    </border>
    <border>
      <left style="medium">
        <color rgb="FFFFFFFF"/>
      </left>
      <right style="medium">
        <color rgb="FFFFFFFF"/>
      </right>
      <top/>
      <bottom/>
      <diagonal/>
    </border>
    <border>
      <left style="medium">
        <color rgb="FFFFFFFF"/>
      </left>
      <right/>
      <top/>
      <bottom/>
      <diagonal/>
    </border>
    <border>
      <left style="thin">
        <color indexed="64"/>
      </left>
      <right style="medium">
        <color rgb="FFFFFFFF"/>
      </right>
      <top/>
      <bottom/>
      <diagonal/>
    </border>
    <border>
      <left style="medium">
        <color rgb="FFFFFFFF"/>
      </left>
      <right style="medium">
        <color rgb="FFFFFFFF"/>
      </right>
      <top style="thick">
        <color rgb="FFFFFFFF"/>
      </top>
      <bottom/>
      <diagonal/>
    </border>
    <border>
      <left style="thin">
        <color indexed="64"/>
      </left>
      <right style="medium">
        <color rgb="FFFFFFFF"/>
      </right>
      <top/>
      <bottom style="thin">
        <color indexed="64"/>
      </bottom>
      <diagonal/>
    </border>
    <border>
      <left style="medium">
        <color rgb="FFFFFFFF"/>
      </left>
      <right style="medium">
        <color rgb="FFFFFFFF"/>
      </right>
      <top/>
      <bottom style="thick">
        <color rgb="FFFFFFFF"/>
      </bottom>
      <diagonal/>
    </border>
    <border>
      <left style="medium">
        <color rgb="FFFFFFFF"/>
      </left>
      <right/>
      <top style="thick">
        <color rgb="FFFFFFFF"/>
      </top>
      <bottom/>
      <diagonal/>
    </border>
    <border>
      <left/>
      <right style="medium">
        <color rgb="FFFFFFFF"/>
      </right>
      <top style="thick">
        <color rgb="FFFFFFFF"/>
      </top>
      <bottom/>
      <diagonal/>
    </border>
    <border>
      <left/>
      <right style="medium">
        <color rgb="FFFFFFFF"/>
      </right>
      <top/>
      <bottom/>
      <diagonal/>
    </border>
    <border>
      <left/>
      <right style="medium">
        <color rgb="FFFFFFFF"/>
      </right>
      <top/>
      <bottom style="thick">
        <color rgb="FFFFFFFF"/>
      </bottom>
      <diagonal/>
    </border>
    <border>
      <left style="medium">
        <color rgb="FFFFFFFF"/>
      </left>
      <right/>
      <top/>
      <bottom style="thick">
        <color rgb="FFFFFFFF"/>
      </bottom>
      <diagonal/>
    </border>
    <border>
      <left style="thin">
        <color indexed="64"/>
      </left>
      <right/>
      <top/>
      <bottom style="thick">
        <color rgb="FFFFFFFF"/>
      </bottom>
      <diagonal/>
    </border>
    <border>
      <left/>
      <right/>
      <top/>
      <bottom style="thick">
        <color rgb="FFFFFFFF"/>
      </bottom>
      <diagonal/>
    </border>
    <border>
      <left style="thin">
        <color indexed="64"/>
      </left>
      <right/>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s>
  <cellStyleXfs count="5">
    <xf numFmtId="0" fontId="0" fillId="0" borderId="0"/>
    <xf numFmtId="0" fontId="2" fillId="0" borderId="0"/>
    <xf numFmtId="9" fontId="5" fillId="0" borderId="0" applyFon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cellStyleXfs>
  <cellXfs count="404">
    <xf numFmtId="0" fontId="0" fillId="0" borderId="0" xfId="0"/>
    <xf numFmtId="0" fontId="0" fillId="0" borderId="0" xfId="0" applyAlignment="1">
      <alignment wrapText="1"/>
    </xf>
    <xf numFmtId="0" fontId="9" fillId="0" borderId="0" xfId="0" applyFont="1"/>
    <xf numFmtId="0" fontId="9" fillId="0" borderId="0" xfId="0" applyFont="1" applyAlignment="1">
      <alignment horizontal="center" vertical="center" wrapText="1"/>
    </xf>
    <xf numFmtId="0" fontId="4" fillId="2" borderId="1" xfId="1" applyFont="1" applyFill="1" applyBorder="1" applyAlignment="1">
      <alignment horizontal="center" vertical="center" wrapText="1"/>
    </xf>
    <xf numFmtId="0" fontId="6" fillId="3" borderId="0" xfId="0" applyFont="1" applyFill="1" applyAlignment="1">
      <alignment horizontal="center"/>
    </xf>
    <xf numFmtId="0" fontId="12" fillId="0" borderId="3" xfId="0" applyFont="1" applyBorder="1" applyAlignment="1">
      <alignment horizontal="left" vertical="center" wrapText="1"/>
    </xf>
    <xf numFmtId="164" fontId="12" fillId="0" borderId="3" xfId="0" applyNumberFormat="1" applyFont="1" applyBorder="1" applyAlignment="1">
      <alignment horizontal="left" vertical="center" wrapText="1"/>
    </xf>
    <xf numFmtId="0" fontId="13" fillId="0" borderId="3" xfId="0" applyFont="1" applyBorder="1" applyAlignment="1">
      <alignment horizontal="left" vertical="center" wrapText="1"/>
    </xf>
    <xf numFmtId="0" fontId="7" fillId="0" borderId="0" xfId="0" applyFont="1"/>
    <xf numFmtId="0" fontId="0" fillId="0" borderId="0" xfId="0" applyAlignment="1">
      <alignment horizontal="left" wrapText="1"/>
    </xf>
    <xf numFmtId="0" fontId="6" fillId="3" borderId="0" xfId="0" applyFont="1" applyFill="1" applyAlignment="1">
      <alignment horizontal="center" wrapText="1"/>
    </xf>
    <xf numFmtId="0" fontId="12" fillId="0" borderId="3" xfId="0" applyFont="1" applyBorder="1" applyAlignment="1">
      <alignment horizontal="center" vertical="center" wrapText="1"/>
    </xf>
    <xf numFmtId="0" fontId="14" fillId="0" borderId="0" xfId="0" applyFont="1" applyAlignment="1">
      <alignment horizontal="left"/>
    </xf>
    <xf numFmtId="0" fontId="8" fillId="0" borderId="0" xfId="0" applyFont="1"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0" fontId="15" fillId="4" borderId="0" xfId="0" applyFont="1" applyFill="1" applyAlignment="1">
      <alignment horizontal="center" vertical="center" wrapText="1"/>
    </xf>
    <xf numFmtId="9" fontId="9" fillId="0" borderId="4" xfId="2" applyFont="1" applyBorder="1" applyAlignment="1">
      <alignment horizontal="center" vertical="center"/>
    </xf>
    <xf numFmtId="0" fontId="0" fillId="0" borderId="4" xfId="0" applyBorder="1" applyAlignment="1">
      <alignment horizontal="center" vertical="center"/>
    </xf>
    <xf numFmtId="0" fontId="12" fillId="0" borderId="3" xfId="0" applyFont="1" applyBorder="1" applyAlignment="1" applyProtection="1">
      <alignment horizontal="center" vertical="center" wrapText="1"/>
      <protection locked="0"/>
    </xf>
    <xf numFmtId="0" fontId="12" fillId="0" borderId="3" xfId="0" applyFont="1" applyBorder="1" applyAlignment="1" applyProtection="1">
      <alignment horizontal="left" vertical="center" wrapText="1"/>
      <protection locked="0"/>
    </xf>
    <xf numFmtId="9" fontId="12" fillId="0" borderId="3" xfId="0" applyNumberFormat="1" applyFont="1" applyBorder="1" applyAlignment="1" applyProtection="1">
      <alignment horizontal="center" vertical="center" wrapText="1"/>
      <protection locked="0"/>
    </xf>
    <xf numFmtId="1" fontId="12" fillId="0" borderId="3" xfId="0" applyNumberFormat="1" applyFont="1" applyBorder="1" applyAlignment="1" applyProtection="1">
      <alignment horizontal="left" vertical="center" wrapText="1"/>
      <protection locked="0"/>
    </xf>
    <xf numFmtId="164" fontId="12" fillId="0" borderId="3" xfId="0" applyNumberFormat="1" applyFont="1" applyBorder="1" applyAlignment="1" applyProtection="1">
      <alignment horizontal="left" vertical="center" wrapText="1"/>
      <protection locked="0"/>
    </xf>
    <xf numFmtId="0" fontId="6" fillId="5" borderId="0" xfId="0" applyFont="1" applyFill="1" applyAlignment="1">
      <alignment horizontal="center" wrapText="1"/>
    </xf>
    <xf numFmtId="0" fontId="6" fillId="5" borderId="0" xfId="0" applyFont="1" applyFill="1" applyAlignment="1">
      <alignment horizontal="center"/>
    </xf>
    <xf numFmtId="0" fontId="3" fillId="5" borderId="0" xfId="0" applyFont="1" applyFill="1" applyAlignment="1">
      <alignment horizontal="left" wrapText="1"/>
    </xf>
    <xf numFmtId="0" fontId="3" fillId="6" borderId="0" xfId="0" applyFont="1" applyFill="1" applyAlignment="1">
      <alignment horizontal="left" wrapText="1"/>
    </xf>
    <xf numFmtId="0" fontId="6" fillId="6" borderId="0" xfId="0" applyFont="1" applyFill="1" applyAlignment="1">
      <alignment horizontal="center" wrapText="1"/>
    </xf>
    <xf numFmtId="0" fontId="6" fillId="6" borderId="0" xfId="0" applyFont="1" applyFill="1" applyAlignment="1">
      <alignment horizontal="center"/>
    </xf>
    <xf numFmtId="0" fontId="3" fillId="7" borderId="0" xfId="0" applyFont="1" applyFill="1" applyAlignment="1">
      <alignment horizontal="left" wrapText="1"/>
    </xf>
    <xf numFmtId="0" fontId="6" fillId="7" borderId="0" xfId="0" applyFont="1" applyFill="1" applyAlignment="1">
      <alignment horizontal="center" wrapText="1"/>
    </xf>
    <xf numFmtId="0" fontId="6" fillId="7" borderId="0" xfId="0" applyFont="1" applyFill="1" applyAlignment="1">
      <alignment horizontal="center"/>
    </xf>
    <xf numFmtId="0" fontId="3" fillId="3" borderId="0" xfId="0" applyFont="1" applyFill="1" applyAlignment="1">
      <alignment horizontal="left" wrapText="1"/>
    </xf>
    <xf numFmtId="3" fontId="0" fillId="0" borderId="4" xfId="0" applyNumberFormat="1" applyBorder="1" applyAlignment="1">
      <alignment horizontal="center" vertical="center"/>
    </xf>
    <xf numFmtId="0" fontId="3" fillId="8" borderId="0" xfId="0" applyFont="1" applyFill="1" applyAlignment="1">
      <alignment horizontal="left" wrapText="1"/>
    </xf>
    <xf numFmtId="0" fontId="6" fillId="8" borderId="0" xfId="0" applyFont="1" applyFill="1" applyAlignment="1">
      <alignment horizontal="center" wrapText="1"/>
    </xf>
    <xf numFmtId="0" fontId="6" fillId="8" borderId="0" xfId="0" applyFont="1" applyFill="1" applyAlignment="1">
      <alignment horizontal="center"/>
    </xf>
    <xf numFmtId="9" fontId="0" fillId="0" borderId="4" xfId="0" applyNumberFormat="1" applyBorder="1" applyAlignment="1">
      <alignment horizontal="center" vertical="center"/>
    </xf>
    <xf numFmtId="0" fontId="3" fillId="9" borderId="0" xfId="0" applyFont="1" applyFill="1" applyAlignment="1">
      <alignment horizontal="left" wrapText="1"/>
    </xf>
    <xf numFmtId="0" fontId="6" fillId="9" borderId="0" xfId="0" applyFont="1" applyFill="1" applyAlignment="1">
      <alignment horizontal="center" wrapText="1"/>
    </xf>
    <xf numFmtId="0" fontId="6" fillId="9" borderId="0" xfId="0" applyFont="1" applyFill="1" applyAlignment="1">
      <alignment horizontal="center"/>
    </xf>
    <xf numFmtId="0" fontId="3" fillId="10" borderId="0" xfId="0" applyFont="1" applyFill="1" applyAlignment="1">
      <alignment horizontal="left" wrapText="1"/>
    </xf>
    <xf numFmtId="0" fontId="6" fillId="10" borderId="0" xfId="0" applyFont="1" applyFill="1" applyAlignment="1">
      <alignment horizontal="center" wrapText="1"/>
    </xf>
    <xf numFmtId="0" fontId="6" fillId="10" borderId="0" xfId="0" applyFont="1" applyFill="1" applyAlignment="1">
      <alignment horizontal="center"/>
    </xf>
    <xf numFmtId="0" fontId="6" fillId="11" borderId="0" xfId="0" applyFont="1" applyFill="1" applyAlignment="1">
      <alignment horizontal="center" wrapText="1"/>
    </xf>
    <xf numFmtId="0" fontId="6" fillId="11" borderId="0" xfId="0" applyFont="1" applyFill="1" applyAlignment="1">
      <alignment horizontal="center"/>
    </xf>
    <xf numFmtId="0" fontId="3" fillId="11" borderId="0" xfId="0" applyFont="1" applyFill="1" applyAlignment="1">
      <alignment horizontal="left" vertical="center" wrapText="1"/>
    </xf>
    <xf numFmtId="0" fontId="0" fillId="0" borderId="0" xfId="0" applyAlignment="1">
      <alignment vertical="center"/>
    </xf>
    <xf numFmtId="0" fontId="3" fillId="12" borderId="0" xfId="0" applyFont="1" applyFill="1" applyAlignment="1">
      <alignment horizontal="left" vertical="center" wrapText="1"/>
    </xf>
    <xf numFmtId="0" fontId="6" fillId="12" borderId="0" xfId="0" applyFont="1" applyFill="1" applyAlignment="1">
      <alignment horizontal="center" wrapText="1"/>
    </xf>
    <xf numFmtId="0" fontId="6" fillId="12" borderId="0" xfId="0" applyFont="1" applyFill="1" applyAlignment="1">
      <alignment horizontal="center"/>
    </xf>
    <xf numFmtId="0" fontId="6" fillId="13" borderId="0" xfId="0" applyFont="1" applyFill="1" applyAlignment="1">
      <alignment horizontal="center" wrapText="1"/>
    </xf>
    <xf numFmtId="0" fontId="6" fillId="13" borderId="0" xfId="0" applyFont="1" applyFill="1" applyAlignment="1">
      <alignment horizontal="center"/>
    </xf>
    <xf numFmtId="0" fontId="3" fillId="14" borderId="0" xfId="0" applyFont="1" applyFill="1" applyAlignment="1">
      <alignment horizontal="left" wrapText="1"/>
    </xf>
    <xf numFmtId="0" fontId="6" fillId="14" borderId="0" xfId="0" applyFont="1" applyFill="1" applyAlignment="1">
      <alignment horizontal="center" wrapText="1"/>
    </xf>
    <xf numFmtId="0" fontId="6" fillId="14" borderId="0" xfId="0" applyFont="1" applyFill="1" applyAlignment="1">
      <alignment horizontal="center"/>
    </xf>
    <xf numFmtId="0" fontId="26" fillId="16" borderId="0" xfId="0" applyFont="1" applyFill="1" applyAlignment="1">
      <alignment horizontal="left" vertical="center" wrapText="1"/>
    </xf>
    <xf numFmtId="3" fontId="12" fillId="0" borderId="3" xfId="0" applyNumberFormat="1" applyFont="1" applyBorder="1" applyAlignment="1" applyProtection="1">
      <alignment horizontal="center" vertical="center" wrapText="1"/>
      <protection locked="0"/>
    </xf>
    <xf numFmtId="0" fontId="3" fillId="17" borderId="0" xfId="0" applyFont="1" applyFill="1" applyAlignment="1">
      <alignment horizontal="left" vertical="center" wrapText="1"/>
    </xf>
    <xf numFmtId="0" fontId="6" fillId="17" borderId="0" xfId="0" applyFont="1" applyFill="1" applyAlignment="1">
      <alignment horizontal="center" wrapText="1"/>
    </xf>
    <xf numFmtId="0" fontId="6" fillId="17" borderId="0" xfId="0" applyFont="1" applyFill="1" applyAlignment="1">
      <alignment horizontal="center"/>
    </xf>
    <xf numFmtId="0" fontId="3" fillId="18" borderId="0" xfId="0" applyFont="1" applyFill="1" applyAlignment="1">
      <alignment horizontal="left" vertical="center" wrapText="1"/>
    </xf>
    <xf numFmtId="0" fontId="6" fillId="18" borderId="0" xfId="0" applyFont="1" applyFill="1" applyAlignment="1">
      <alignment horizontal="center" wrapText="1"/>
    </xf>
    <xf numFmtId="0" fontId="6" fillId="18" borderId="0" xfId="0" applyFont="1" applyFill="1" applyAlignment="1">
      <alignment horizontal="center"/>
    </xf>
    <xf numFmtId="0" fontId="3" fillId="19" borderId="0" xfId="0" applyFont="1" applyFill="1" applyAlignment="1">
      <alignment horizontal="left" vertical="center" wrapText="1"/>
    </xf>
    <xf numFmtId="0" fontId="6" fillId="19" borderId="0" xfId="0" applyFont="1" applyFill="1" applyAlignment="1">
      <alignment horizontal="center" wrapText="1"/>
    </xf>
    <xf numFmtId="0" fontId="6" fillId="19" borderId="0" xfId="0" applyFont="1" applyFill="1" applyAlignment="1">
      <alignment horizontal="center"/>
    </xf>
    <xf numFmtId="0" fontId="3" fillId="2" borderId="0" xfId="0" applyFont="1" applyFill="1" applyAlignment="1">
      <alignment horizontal="left" vertical="center" wrapText="1"/>
    </xf>
    <xf numFmtId="0" fontId="6" fillId="2" borderId="0" xfId="0" applyFont="1" applyFill="1" applyAlignment="1">
      <alignment horizontal="center" wrapText="1"/>
    </xf>
    <xf numFmtId="0" fontId="6" fillId="2" borderId="0" xfId="0" applyFont="1" applyFill="1" applyAlignment="1">
      <alignment horizontal="center"/>
    </xf>
    <xf numFmtId="0" fontId="3" fillId="20" borderId="0" xfId="0" applyFont="1" applyFill="1" applyAlignment="1">
      <alignment horizontal="left" vertical="center" wrapText="1"/>
    </xf>
    <xf numFmtId="0" fontId="6" fillId="20" borderId="0" xfId="0" applyFont="1" applyFill="1" applyAlignment="1">
      <alignment horizontal="center" wrapText="1"/>
    </xf>
    <xf numFmtId="0" fontId="6" fillId="20" borderId="0" xfId="0" applyFont="1" applyFill="1" applyAlignment="1">
      <alignment horizontal="center"/>
    </xf>
    <xf numFmtId="0" fontId="6" fillId="21" borderId="0" xfId="0" applyFont="1" applyFill="1" applyAlignment="1">
      <alignment horizontal="center"/>
    </xf>
    <xf numFmtId="9" fontId="12" fillId="0" borderId="5" xfId="0" applyNumberFormat="1" applyFont="1" applyBorder="1" applyAlignment="1" applyProtection="1">
      <alignment horizontal="center" vertical="center" wrapText="1"/>
      <protection locked="0"/>
    </xf>
    <xf numFmtId="0" fontId="12" fillId="0" borderId="5" xfId="0" applyFont="1" applyBorder="1" applyAlignment="1" applyProtection="1">
      <alignment horizontal="left" vertical="center" wrapText="1"/>
      <protection locked="0"/>
    </xf>
    <xf numFmtId="0" fontId="12" fillId="0" borderId="6" xfId="0" applyFont="1" applyBorder="1" applyAlignment="1">
      <alignment horizontal="left" vertical="center" wrapText="1"/>
    </xf>
    <xf numFmtId="0" fontId="12" fillId="0" borderId="6" xfId="0" applyFont="1" applyBorder="1" applyAlignment="1" applyProtection="1">
      <alignment horizontal="center" vertical="center" wrapText="1"/>
      <protection locked="0"/>
    </xf>
    <xf numFmtId="0" fontId="12" fillId="0" borderId="6" xfId="0" applyFont="1" applyBorder="1" applyAlignment="1" applyProtection="1">
      <alignment horizontal="left" vertical="center" wrapText="1"/>
      <protection locked="0"/>
    </xf>
    <xf numFmtId="0" fontId="12" fillId="0" borderId="8" xfId="0" applyFont="1" applyBorder="1" applyAlignment="1">
      <alignment horizontal="left" vertical="center" wrapText="1"/>
    </xf>
    <xf numFmtId="0" fontId="12" fillId="0" borderId="8" xfId="0" applyFont="1" applyBorder="1" applyAlignment="1" applyProtection="1">
      <alignment horizontal="center" vertical="center" wrapText="1"/>
      <protection locked="0"/>
    </xf>
    <xf numFmtId="0" fontId="12" fillId="0" borderId="8" xfId="0" applyFont="1" applyBorder="1" applyAlignment="1" applyProtection="1">
      <alignment horizontal="left" vertical="center" wrapText="1"/>
      <protection locked="0"/>
    </xf>
    <xf numFmtId="9" fontId="12" fillId="0" borderId="7" xfId="0" applyNumberFormat="1" applyFont="1" applyBorder="1" applyAlignment="1" applyProtection="1">
      <alignment horizontal="center" vertical="center" wrapText="1"/>
      <protection locked="0"/>
    </xf>
    <xf numFmtId="0" fontId="12" fillId="0" borderId="7" xfId="0" applyFont="1" applyBorder="1" applyAlignment="1" applyProtection="1">
      <alignment horizontal="left" vertical="center" wrapText="1"/>
      <protection locked="0"/>
    </xf>
    <xf numFmtId="0" fontId="4" fillId="9" borderId="3" xfId="0" applyFont="1" applyFill="1" applyBorder="1" applyAlignment="1">
      <alignment horizontal="left" vertical="center" wrapText="1"/>
    </xf>
    <xf numFmtId="0" fontId="4" fillId="9" borderId="7" xfId="0" applyFont="1" applyFill="1" applyBorder="1" applyAlignment="1">
      <alignment horizontal="left" vertical="center" wrapText="1"/>
    </xf>
    <xf numFmtId="0" fontId="3" fillId="22" borderId="0" xfId="0" applyFont="1" applyFill="1" applyAlignment="1">
      <alignment horizontal="left" vertical="center" wrapText="1"/>
    </xf>
    <xf numFmtId="0" fontId="4" fillId="22" borderId="0" xfId="0" applyFont="1" applyFill="1" applyAlignment="1">
      <alignment horizontal="center" wrapText="1"/>
    </xf>
    <xf numFmtId="0" fontId="4" fillId="22" borderId="0" xfId="0" applyFont="1" applyFill="1" applyAlignment="1">
      <alignment horizontal="center"/>
    </xf>
    <xf numFmtId="0" fontId="4" fillId="23" borderId="7" xfId="0" applyFont="1" applyFill="1" applyBorder="1" applyAlignment="1">
      <alignment horizontal="left" vertical="center" wrapText="1"/>
    </xf>
    <xf numFmtId="0" fontId="12" fillId="0" borderId="6" xfId="0" applyFont="1" applyBorder="1" applyAlignment="1">
      <alignment horizontal="center" vertical="center" wrapText="1"/>
    </xf>
    <xf numFmtId="0" fontId="12" fillId="0" borderId="5" xfId="0" applyFont="1" applyBorder="1" applyAlignment="1">
      <alignment horizontal="center" vertical="center" wrapText="1"/>
    </xf>
    <xf numFmtId="0" fontId="0" fillId="0" borderId="10" xfId="0" applyBorder="1"/>
    <xf numFmtId="0" fontId="12" fillId="0" borderId="9" xfId="0" applyFont="1" applyBorder="1" applyAlignment="1">
      <alignment horizontal="center" vertical="center" wrapText="1"/>
    </xf>
    <xf numFmtId="0" fontId="12" fillId="0" borderId="7" xfId="0" applyFont="1" applyBorder="1" applyAlignment="1">
      <alignment horizontal="center" vertical="center" wrapText="1"/>
    </xf>
    <xf numFmtId="0" fontId="4" fillId="22" borderId="10" xfId="0" applyFont="1" applyFill="1" applyBorder="1" applyAlignment="1">
      <alignment horizontal="center"/>
    </xf>
    <xf numFmtId="0" fontId="32" fillId="0" borderId="0" xfId="0" applyFont="1"/>
    <xf numFmtId="0" fontId="4" fillId="2" borderId="11" xfId="1" applyFont="1" applyFill="1" applyBorder="1" applyAlignment="1">
      <alignment horizontal="center" vertical="center" wrapText="1"/>
    </xf>
    <xf numFmtId="0" fontId="12" fillId="0" borderId="14" xfId="0" applyFont="1" applyBorder="1" applyAlignment="1" applyProtection="1">
      <alignment horizontal="left" vertical="center" wrapText="1"/>
      <protection locked="0"/>
    </xf>
    <xf numFmtId="0" fontId="4" fillId="2" borderId="15" xfId="1" applyFont="1" applyFill="1" applyBorder="1" applyAlignment="1">
      <alignment horizontal="center" vertical="center" wrapText="1"/>
    </xf>
    <xf numFmtId="0" fontId="4" fillId="2" borderId="13" xfId="1" applyFont="1" applyFill="1" applyBorder="1" applyAlignment="1">
      <alignment horizontal="center" vertical="center" wrapText="1"/>
    </xf>
    <xf numFmtId="0" fontId="9" fillId="0" borderId="16" xfId="0" applyFont="1" applyBorder="1" applyAlignment="1">
      <alignment vertical="center" wrapText="1"/>
    </xf>
    <xf numFmtId="0" fontId="4" fillId="2" borderId="17" xfId="1" applyFont="1" applyFill="1" applyBorder="1" applyAlignment="1">
      <alignment horizontal="center" vertical="center" wrapText="1"/>
    </xf>
    <xf numFmtId="0" fontId="9" fillId="0" borderId="16" xfId="0" applyFont="1" applyBorder="1" applyAlignment="1">
      <alignment horizontal="left" vertical="center" wrapText="1" indent="1"/>
    </xf>
    <xf numFmtId="0" fontId="9" fillId="0" borderId="16" xfId="0" applyFont="1" applyBorder="1" applyAlignment="1">
      <alignment horizontal="left" vertical="center" wrapText="1" indent="2"/>
    </xf>
    <xf numFmtId="0" fontId="12" fillId="0" borderId="16" xfId="0" applyFont="1" applyBorder="1" applyAlignment="1">
      <alignment horizontal="left" vertical="center" wrapText="1"/>
    </xf>
    <xf numFmtId="0" fontId="12" fillId="0" borderId="18" xfId="0" applyFont="1" applyBorder="1" applyAlignment="1" applyProtection="1">
      <alignment horizontal="left" vertical="center" wrapText="1"/>
      <protection locked="0"/>
    </xf>
    <xf numFmtId="0" fontId="12" fillId="0" borderId="16" xfId="0" applyFont="1" applyBorder="1" applyAlignment="1">
      <alignment horizontal="center" vertical="center" wrapText="1"/>
    </xf>
    <xf numFmtId="0" fontId="6" fillId="24" borderId="20" xfId="0" applyFont="1" applyFill="1" applyBorder="1" applyAlignment="1">
      <alignment horizontal="center" vertical="center" wrapText="1"/>
    </xf>
    <xf numFmtId="0" fontId="6" fillId="24" borderId="21" xfId="0" applyFont="1" applyFill="1" applyBorder="1" applyAlignment="1">
      <alignment horizontal="center" vertical="center" wrapText="1"/>
    </xf>
    <xf numFmtId="0" fontId="15" fillId="24" borderId="21" xfId="0" applyFont="1" applyFill="1" applyBorder="1" applyAlignment="1">
      <alignment horizontal="left" vertical="center" wrapText="1"/>
    </xf>
    <xf numFmtId="0" fontId="15" fillId="24" borderId="22" xfId="0" applyFont="1" applyFill="1" applyBorder="1" applyAlignment="1">
      <alignment horizontal="center" vertical="center" wrapText="1"/>
    </xf>
    <xf numFmtId="0" fontId="16" fillId="0" borderId="23" xfId="0" applyFont="1" applyBorder="1" applyAlignment="1">
      <alignment horizontal="center"/>
    </xf>
    <xf numFmtId="0" fontId="17" fillId="0" borderId="24" xfId="0" applyFont="1" applyBorder="1" applyAlignment="1">
      <alignment horizontal="center"/>
    </xf>
    <xf numFmtId="0" fontId="18" fillId="0" borderId="25" xfId="0" applyFont="1" applyBorder="1" applyAlignment="1">
      <alignment horizontal="center"/>
    </xf>
    <xf numFmtId="0" fontId="19" fillId="0" borderId="26" xfId="0" applyFont="1" applyBorder="1" applyAlignment="1">
      <alignment horizontal="center"/>
    </xf>
    <xf numFmtId="0" fontId="20" fillId="0" borderId="27" xfId="0" applyFont="1" applyBorder="1" applyAlignment="1">
      <alignment horizontal="center"/>
    </xf>
    <xf numFmtId="0" fontId="21" fillId="0" borderId="28" xfId="0" applyFont="1" applyBorder="1" applyAlignment="1">
      <alignment horizontal="center"/>
    </xf>
    <xf numFmtId="0" fontId="22" fillId="0" borderId="29" xfId="0" applyFont="1" applyBorder="1" applyAlignment="1">
      <alignment horizontal="center" vertical="center"/>
    </xf>
    <xf numFmtId="0" fontId="23" fillId="0" borderId="30" xfId="0" applyFont="1" applyBorder="1" applyAlignment="1">
      <alignment horizontal="center" vertical="center"/>
    </xf>
    <xf numFmtId="0" fontId="24" fillId="0" borderId="31" xfId="0" applyFont="1" applyBorder="1" applyAlignment="1">
      <alignment horizontal="center" vertical="center"/>
    </xf>
    <xf numFmtId="0" fontId="3" fillId="13" borderId="0" xfId="0" applyFont="1" applyFill="1" applyAlignment="1">
      <alignment horizontal="left" vertical="center" wrapText="1"/>
    </xf>
    <xf numFmtId="0" fontId="25" fillId="0" borderId="32" xfId="0" applyFont="1" applyBorder="1" applyAlignment="1">
      <alignment horizontal="center"/>
    </xf>
    <xf numFmtId="0" fontId="27" fillId="0" borderId="33" xfId="0" applyFont="1" applyBorder="1" applyAlignment="1">
      <alignment horizontal="center" vertical="center"/>
    </xf>
    <xf numFmtId="0" fontId="28" fillId="0" borderId="34" xfId="0" applyFont="1" applyBorder="1" applyAlignment="1">
      <alignment horizontal="center" vertical="center"/>
    </xf>
    <xf numFmtId="0" fontId="30" fillId="0" borderId="35" xfId="0" applyFont="1" applyBorder="1" applyAlignment="1">
      <alignment horizontal="center" vertical="center"/>
    </xf>
    <xf numFmtId="0" fontId="29" fillId="0" borderId="36" xfId="0" applyFont="1" applyBorder="1" applyAlignment="1">
      <alignment horizontal="center" vertical="center"/>
    </xf>
    <xf numFmtId="0" fontId="31" fillId="0" borderId="37" xfId="0" applyFont="1" applyBorder="1" applyAlignment="1">
      <alignment horizontal="center" vertical="center"/>
    </xf>
    <xf numFmtId="0" fontId="9" fillId="15" borderId="4" xfId="0" applyFont="1" applyFill="1" applyBorder="1" applyAlignment="1">
      <alignment horizontal="center" vertical="center" wrapText="1"/>
    </xf>
    <xf numFmtId="0" fontId="3" fillId="25" borderId="0" xfId="0" applyFont="1" applyFill="1" applyAlignment="1">
      <alignment wrapText="1"/>
    </xf>
    <xf numFmtId="165" fontId="35" fillId="25" borderId="0" xfId="2" applyNumberFormat="1" applyFont="1" applyFill="1" applyAlignment="1">
      <alignment horizontal="center" wrapText="1"/>
    </xf>
    <xf numFmtId="0" fontId="3" fillId="26" borderId="0" xfId="0" applyFont="1" applyFill="1" applyAlignment="1">
      <alignment wrapText="1"/>
    </xf>
    <xf numFmtId="165" fontId="35" fillId="26" borderId="0" xfId="2" applyNumberFormat="1" applyFont="1" applyFill="1" applyAlignment="1">
      <alignment horizontal="center" wrapText="1"/>
    </xf>
    <xf numFmtId="0" fontId="4" fillId="27" borderId="17" xfId="1" applyFont="1" applyFill="1" applyBorder="1" applyAlignment="1">
      <alignment horizontal="center" vertical="center" wrapText="1"/>
    </xf>
    <xf numFmtId="0" fontId="4" fillId="27" borderId="12" xfId="1" applyFont="1" applyFill="1" applyBorder="1" applyAlignment="1">
      <alignment horizontal="center" vertical="center" wrapText="1"/>
    </xf>
    <xf numFmtId="0" fontId="4" fillId="27" borderId="2" xfId="1" applyFont="1" applyFill="1" applyBorder="1" applyAlignment="1">
      <alignment horizontal="center" vertical="center" wrapText="1"/>
    </xf>
    <xf numFmtId="0" fontId="4" fillId="27" borderId="11" xfId="1" applyFont="1" applyFill="1" applyBorder="1" applyAlignment="1">
      <alignment horizontal="center" vertical="center" wrapText="1"/>
    </xf>
    <xf numFmtId="0" fontId="3" fillId="28" borderId="0" xfId="0" applyFont="1" applyFill="1" applyAlignment="1">
      <alignment horizontal="left" vertical="center" wrapText="1"/>
    </xf>
    <xf numFmtId="0" fontId="38" fillId="29" borderId="38" xfId="0" applyFont="1" applyFill="1" applyBorder="1" applyAlignment="1">
      <alignment horizontal="center" vertical="center"/>
    </xf>
    <xf numFmtId="0" fontId="8" fillId="0" borderId="0" xfId="0" applyFont="1"/>
    <xf numFmtId="0" fontId="36" fillId="0" borderId="0" xfId="0" applyFont="1" applyAlignment="1">
      <alignment vertical="top"/>
    </xf>
    <xf numFmtId="0" fontId="39" fillId="0" borderId="0" xfId="0" applyFont="1" applyAlignment="1">
      <alignment horizontal="right" vertical="top"/>
    </xf>
    <xf numFmtId="0" fontId="39" fillId="0" borderId="0" xfId="0" applyFont="1" applyAlignment="1">
      <alignment vertical="top"/>
    </xf>
    <xf numFmtId="166" fontId="12" fillId="0" borderId="3" xfId="0" applyNumberFormat="1" applyFont="1" applyBorder="1" applyAlignment="1" applyProtection="1">
      <alignment horizontal="left" vertical="center" wrapText="1"/>
      <protection locked="0"/>
    </xf>
    <xf numFmtId="167" fontId="12" fillId="0" borderId="3" xfId="0" applyNumberFormat="1" applyFont="1" applyBorder="1" applyAlignment="1" applyProtection="1">
      <alignment horizontal="left" vertical="center" wrapText="1"/>
      <protection locked="0"/>
    </xf>
    <xf numFmtId="0" fontId="4" fillId="9" borderId="5" xfId="0" applyFont="1" applyFill="1" applyBorder="1" applyAlignment="1">
      <alignment horizontal="left" vertical="center" wrapText="1"/>
    </xf>
    <xf numFmtId="0" fontId="12" fillId="0" borderId="5" xfId="0" applyFont="1" applyBorder="1" applyAlignment="1" applyProtection="1">
      <alignment horizontal="center" vertical="center" wrapText="1"/>
      <protection locked="0"/>
    </xf>
    <xf numFmtId="0" fontId="12" fillId="0" borderId="41" xfId="0" applyFont="1" applyBorder="1" applyAlignment="1">
      <alignment horizontal="left" vertical="center" wrapText="1"/>
    </xf>
    <xf numFmtId="0" fontId="12" fillId="0" borderId="41" xfId="0" applyFont="1" applyBorder="1" applyAlignment="1" applyProtection="1">
      <alignment horizontal="center" vertical="center" wrapText="1"/>
      <protection locked="0"/>
    </xf>
    <xf numFmtId="0" fontId="40" fillId="21" borderId="0" xfId="0" applyFont="1" applyFill="1" applyAlignment="1">
      <alignment horizontal="left" vertical="center" wrapText="1"/>
    </xf>
    <xf numFmtId="0" fontId="41" fillId="21" borderId="0" xfId="0" applyFont="1" applyFill="1" applyAlignment="1">
      <alignment horizontal="center" wrapText="1"/>
    </xf>
    <xf numFmtId="0" fontId="41" fillId="21" borderId="0" xfId="0" applyFont="1" applyFill="1" applyAlignment="1">
      <alignment horizontal="center"/>
    </xf>
    <xf numFmtId="0" fontId="42" fillId="0" borderId="3" xfId="0" applyFont="1" applyBorder="1" applyAlignment="1" applyProtection="1">
      <alignment horizontal="left" vertical="center" wrapText="1"/>
      <protection locked="0"/>
    </xf>
    <xf numFmtId="14" fontId="12" fillId="0" borderId="3" xfId="0" applyNumberFormat="1" applyFont="1" applyBorder="1" applyAlignment="1" applyProtection="1">
      <alignment horizontal="center" vertical="center" wrapText="1"/>
      <protection locked="0"/>
    </xf>
    <xf numFmtId="17" fontId="12" fillId="0" borderId="3" xfId="0" applyNumberFormat="1" applyFont="1" applyBorder="1" applyAlignment="1" applyProtection="1">
      <alignment horizontal="center" vertical="center" wrapText="1"/>
      <protection locked="0"/>
    </xf>
    <xf numFmtId="0" fontId="43" fillId="0" borderId="1" xfId="0" applyFont="1" applyBorder="1" applyAlignment="1" applyProtection="1">
      <alignment horizontal="center" vertical="center"/>
      <protection locked="0"/>
    </xf>
    <xf numFmtId="0" fontId="44" fillId="0" borderId="42" xfId="0" applyFont="1" applyBorder="1" applyAlignment="1" applyProtection="1">
      <alignment horizontal="center" vertical="center" wrapText="1"/>
      <protection locked="0"/>
    </xf>
    <xf numFmtId="0" fontId="44" fillId="0" borderId="43" xfId="0" applyFont="1" applyBorder="1" applyAlignment="1" applyProtection="1">
      <alignment horizontal="center" vertical="center" wrapText="1"/>
      <protection locked="0"/>
    </xf>
    <xf numFmtId="9" fontId="12" fillId="0" borderId="3" xfId="0" quotePrefix="1" applyNumberFormat="1" applyFont="1" applyBorder="1" applyAlignment="1" applyProtection="1">
      <alignment horizontal="center" vertical="center" wrapText="1"/>
      <protection locked="0"/>
    </xf>
    <xf numFmtId="0" fontId="37" fillId="0" borderId="3" xfId="4" applyBorder="1" applyAlignment="1" applyProtection="1">
      <alignment horizontal="left" vertical="center" wrapText="1"/>
      <protection locked="0"/>
    </xf>
    <xf numFmtId="0" fontId="45" fillId="0" borderId="0" xfId="0" applyFont="1"/>
    <xf numFmtId="0" fontId="47" fillId="0" borderId="0" xfId="0" applyFont="1"/>
    <xf numFmtId="0" fontId="12" fillId="0" borderId="44" xfId="0" applyFont="1" applyBorder="1" applyAlignment="1" applyProtection="1">
      <alignment horizontal="center" vertical="center" wrapText="1"/>
      <protection locked="0"/>
    </xf>
    <xf numFmtId="0" fontId="4" fillId="27" borderId="45" xfId="1" applyFont="1" applyFill="1" applyBorder="1" applyAlignment="1">
      <alignment horizontal="center" vertical="center" wrapText="1"/>
    </xf>
    <xf numFmtId="0" fontId="12" fillId="0" borderId="44" xfId="0" applyFont="1" applyBorder="1" applyAlignment="1" applyProtection="1">
      <alignment horizontal="left" vertical="center" wrapText="1"/>
      <protection locked="0"/>
    </xf>
    <xf numFmtId="0" fontId="15" fillId="27" borderId="46" xfId="1" applyFont="1" applyFill="1" applyBorder="1" applyAlignment="1">
      <alignment horizontal="center" vertical="center" wrapText="1"/>
    </xf>
    <xf numFmtId="0" fontId="9" fillId="0" borderId="2" xfId="0" applyFont="1" applyBorder="1" applyAlignment="1">
      <alignment vertical="center"/>
    </xf>
    <xf numFmtId="0" fontId="15" fillId="27" borderId="47" xfId="1" applyFont="1" applyFill="1" applyBorder="1" applyAlignment="1">
      <alignment horizontal="center" vertical="center" wrapText="1"/>
    </xf>
    <xf numFmtId="0" fontId="9" fillId="0" borderId="1" xfId="0" applyFont="1" applyBorder="1" applyAlignment="1">
      <alignment vertical="center"/>
    </xf>
    <xf numFmtId="0" fontId="48" fillId="0" borderId="0" xfId="0" applyFont="1" applyAlignment="1">
      <alignment horizontal="center" vertical="center"/>
    </xf>
    <xf numFmtId="0" fontId="48" fillId="0" borderId="0" xfId="0" applyFont="1"/>
    <xf numFmtId="0" fontId="49" fillId="0" borderId="0" xfId="0" applyFont="1" applyAlignment="1">
      <alignment horizontal="center" vertical="center"/>
    </xf>
    <xf numFmtId="0" fontId="12" fillId="0" borderId="49" xfId="0" applyFont="1" applyBorder="1" applyAlignment="1" applyProtection="1">
      <alignment horizontal="center" vertical="center" wrapText="1"/>
      <protection locked="0"/>
    </xf>
    <xf numFmtId="0" fontId="12" fillId="0" borderId="50" xfId="0" applyFont="1" applyBorder="1" applyAlignment="1" applyProtection="1">
      <alignment horizontal="center" vertical="center" wrapText="1"/>
      <protection locked="0"/>
    </xf>
    <xf numFmtId="0" fontId="12" fillId="0" borderId="51" xfId="0" applyFont="1" applyBorder="1" applyAlignment="1" applyProtection="1">
      <alignment horizontal="center" vertical="center" wrapText="1"/>
      <protection locked="0"/>
    </xf>
    <xf numFmtId="0" fontId="13" fillId="30" borderId="3" xfId="0" applyFont="1" applyFill="1" applyBorder="1" applyAlignment="1" applyProtection="1">
      <alignment horizontal="center" vertical="center" wrapText="1"/>
      <protection locked="0"/>
    </xf>
    <xf numFmtId="0" fontId="50" fillId="0" borderId="0" xfId="0" applyFont="1"/>
    <xf numFmtId="4" fontId="12" fillId="0" borderId="3" xfId="0" applyNumberFormat="1" applyFont="1" applyBorder="1" applyAlignment="1" applyProtection="1">
      <alignment horizontal="left" vertical="center" wrapText="1"/>
      <protection locked="0"/>
    </xf>
    <xf numFmtId="9" fontId="7" fillId="0" borderId="0" xfId="0" applyNumberFormat="1" applyFont="1" applyAlignment="1">
      <alignment vertical="center"/>
    </xf>
    <xf numFmtId="0" fontId="49" fillId="0" borderId="0" xfId="0" applyFont="1"/>
    <xf numFmtId="0" fontId="13" fillId="0" borderId="3" xfId="0" applyFont="1" applyBorder="1" applyAlignment="1" applyProtection="1">
      <alignment horizontal="left" vertical="center" wrapText="1"/>
      <protection locked="0"/>
    </xf>
    <xf numFmtId="0" fontId="48" fillId="0" borderId="0" xfId="0" applyFont="1" applyAlignment="1">
      <alignment horizontal="center"/>
    </xf>
    <xf numFmtId="9" fontId="13" fillId="0" borderId="3" xfId="0" applyNumberFormat="1" applyFont="1" applyBorder="1" applyAlignment="1" applyProtection="1">
      <alignment horizontal="center" vertical="center" wrapText="1"/>
      <protection locked="0"/>
    </xf>
    <xf numFmtId="0" fontId="12" fillId="31" borderId="3" xfId="0" applyFont="1" applyFill="1" applyBorder="1" applyAlignment="1" applyProtection="1">
      <alignment horizontal="center" vertical="center" wrapText="1"/>
      <protection locked="0"/>
    </xf>
    <xf numFmtId="0" fontId="51" fillId="0" borderId="0" xfId="0" applyFont="1" applyAlignment="1">
      <alignment horizontal="center" vertical="center"/>
    </xf>
    <xf numFmtId="9" fontId="12" fillId="31" borderId="3" xfId="0" applyNumberFormat="1" applyFont="1" applyFill="1" applyBorder="1" applyAlignment="1" applyProtection="1">
      <alignment horizontal="center" vertical="center" wrapText="1"/>
      <protection locked="0"/>
    </xf>
    <xf numFmtId="0" fontId="12" fillId="31" borderId="3" xfId="0" applyFont="1" applyFill="1" applyBorder="1" applyAlignment="1" applyProtection="1">
      <alignment horizontal="left" vertical="center" wrapText="1"/>
      <protection locked="0"/>
    </xf>
    <xf numFmtId="0" fontId="39" fillId="0" borderId="0" xfId="0" applyFont="1" applyAlignment="1">
      <alignment vertical="center"/>
    </xf>
    <xf numFmtId="0" fontId="12" fillId="31" borderId="3" xfId="2" applyNumberFormat="1" applyFont="1" applyFill="1" applyBorder="1" applyAlignment="1" applyProtection="1">
      <alignment horizontal="center" vertical="center" wrapText="1"/>
      <protection locked="0"/>
    </xf>
    <xf numFmtId="0" fontId="9" fillId="32" borderId="16" xfId="0" applyFont="1" applyFill="1" applyBorder="1" applyAlignment="1">
      <alignment vertical="center" wrapText="1"/>
    </xf>
    <xf numFmtId="0" fontId="12" fillId="33" borderId="44" xfId="0" applyFont="1" applyFill="1" applyBorder="1" applyAlignment="1" applyProtection="1">
      <alignment horizontal="center" vertical="center" wrapText="1"/>
      <protection locked="0"/>
    </xf>
    <xf numFmtId="0" fontId="12" fillId="28" borderId="44" xfId="0" applyFont="1" applyFill="1" applyBorder="1" applyAlignment="1" applyProtection="1">
      <alignment horizontal="center" vertical="center" wrapText="1"/>
      <protection locked="0"/>
    </xf>
    <xf numFmtId="0" fontId="12" fillId="29" borderId="3" xfId="0" applyFont="1" applyFill="1" applyBorder="1" applyAlignment="1" applyProtection="1">
      <alignment horizontal="left" vertical="center" wrapText="1"/>
      <protection locked="0"/>
    </xf>
    <xf numFmtId="0" fontId="12" fillId="32" borderId="3" xfId="0" applyFont="1" applyFill="1" applyBorder="1" applyAlignment="1" applyProtection="1">
      <alignment horizontal="left" vertical="center" wrapText="1"/>
      <protection locked="0"/>
    </xf>
    <xf numFmtId="0" fontId="12" fillId="32" borderId="44" xfId="0" applyFont="1" applyFill="1" applyBorder="1" applyAlignment="1" applyProtection="1">
      <alignment horizontal="center" vertical="center" wrapText="1"/>
      <protection locked="0"/>
    </xf>
    <xf numFmtId="0" fontId="54" fillId="0" borderId="3" xfId="0" applyFont="1" applyBorder="1" applyAlignment="1" applyProtection="1">
      <alignment horizontal="left" vertical="center" wrapText="1"/>
      <protection locked="0"/>
    </xf>
    <xf numFmtId="0" fontId="54" fillId="0" borderId="44" xfId="0" applyFont="1" applyBorder="1" applyAlignment="1" applyProtection="1">
      <alignment horizontal="center" vertical="center" wrapText="1"/>
      <protection locked="0"/>
    </xf>
    <xf numFmtId="0" fontId="9" fillId="29" borderId="16" xfId="0" applyFont="1" applyFill="1" applyBorder="1" applyAlignment="1">
      <alignment vertical="center" wrapText="1"/>
    </xf>
    <xf numFmtId="0" fontId="12" fillId="29" borderId="3" xfId="0" applyFont="1" applyFill="1" applyBorder="1" applyAlignment="1">
      <alignment horizontal="center" vertical="center" wrapText="1"/>
    </xf>
    <xf numFmtId="0" fontId="12" fillId="29" borderId="44" xfId="0" applyFont="1" applyFill="1" applyBorder="1" applyAlignment="1" applyProtection="1">
      <alignment horizontal="center" vertical="center" wrapText="1"/>
      <protection locked="0"/>
    </xf>
    <xf numFmtId="0" fontId="0" fillId="29" borderId="0" xfId="0" applyFill="1"/>
    <xf numFmtId="0" fontId="55" fillId="0" borderId="3" xfId="0" applyFont="1" applyBorder="1" applyAlignment="1" applyProtection="1">
      <alignment horizontal="left" vertical="center" wrapText="1"/>
      <protection locked="0"/>
    </xf>
    <xf numFmtId="0" fontId="12" fillId="32" borderId="44" xfId="0" applyFont="1" applyFill="1" applyBorder="1" applyAlignment="1" applyProtection="1">
      <alignment horizontal="left" vertical="center" wrapText="1"/>
      <protection locked="0"/>
    </xf>
    <xf numFmtId="0" fontId="12" fillId="32" borderId="48" xfId="0" applyFont="1" applyFill="1" applyBorder="1" applyAlignment="1" applyProtection="1">
      <alignment horizontal="left" vertical="center" wrapText="1"/>
      <protection locked="0"/>
    </xf>
    <xf numFmtId="0" fontId="9" fillId="29" borderId="2" xfId="0" applyFont="1" applyFill="1" applyBorder="1" applyAlignment="1">
      <alignment vertical="center"/>
    </xf>
    <xf numFmtId="0" fontId="55" fillId="0" borderId="14" xfId="0" applyFont="1" applyBorder="1" applyAlignment="1" applyProtection="1">
      <alignment horizontal="left" vertical="center" wrapText="1"/>
      <protection locked="0"/>
    </xf>
    <xf numFmtId="0" fontId="12" fillId="32" borderId="3" xfId="0" applyFont="1" applyFill="1" applyBorder="1" applyAlignment="1">
      <alignment horizontal="left" vertical="center" wrapText="1"/>
    </xf>
    <xf numFmtId="0" fontId="12" fillId="32" borderId="3" xfId="0" applyFont="1" applyFill="1" applyBorder="1" applyAlignment="1" applyProtection="1">
      <alignment horizontal="center" vertical="center" wrapText="1"/>
      <protection locked="0"/>
    </xf>
    <xf numFmtId="3" fontId="12" fillId="32" borderId="3" xfId="0" applyNumberFormat="1" applyFont="1" applyFill="1" applyBorder="1" applyAlignment="1" applyProtection="1">
      <alignment horizontal="center" vertical="center" wrapText="1"/>
      <protection locked="0"/>
    </xf>
    <xf numFmtId="0" fontId="55" fillId="0" borderId="3" xfId="0" applyFont="1" applyBorder="1" applyAlignment="1" applyProtection="1">
      <alignment horizontal="center" vertical="center" wrapText="1"/>
      <protection locked="0"/>
    </xf>
    <xf numFmtId="0" fontId="12" fillId="34" borderId="3" xfId="0" applyFont="1" applyFill="1" applyBorder="1" applyAlignment="1" applyProtection="1">
      <alignment horizontal="center" vertical="center" wrapText="1"/>
      <protection locked="0"/>
    </xf>
    <xf numFmtId="9" fontId="12" fillId="34" borderId="3" xfId="0" applyNumberFormat="1" applyFont="1" applyFill="1" applyBorder="1" applyAlignment="1" applyProtection="1">
      <alignment horizontal="center" vertical="center" wrapText="1"/>
      <protection locked="0"/>
    </xf>
    <xf numFmtId="0" fontId="13" fillId="37" borderId="3" xfId="0" applyFont="1" applyFill="1" applyBorder="1" applyAlignment="1" applyProtection="1">
      <alignment horizontal="center" vertical="center" wrapText="1"/>
      <protection locked="0"/>
    </xf>
    <xf numFmtId="0" fontId="54" fillId="0" borderId="3" xfId="0" applyFont="1" applyBorder="1" applyAlignment="1" applyProtection="1">
      <alignment horizontal="center" vertical="center" wrapText="1"/>
      <protection locked="0"/>
    </xf>
    <xf numFmtId="0" fontId="12" fillId="37" borderId="3" xfId="0" applyFont="1" applyFill="1" applyBorder="1" applyAlignment="1" applyProtection="1">
      <alignment horizontal="center" vertical="center" wrapText="1"/>
      <protection locked="0"/>
    </xf>
    <xf numFmtId="9" fontId="55" fillId="0" borderId="3" xfId="0" applyNumberFormat="1" applyFont="1" applyBorder="1" applyAlignment="1" applyProtection="1">
      <alignment horizontal="center" vertical="center" wrapText="1"/>
      <protection locked="0"/>
    </xf>
    <xf numFmtId="0" fontId="12" fillId="36" borderId="44" xfId="0" applyFont="1" applyFill="1" applyBorder="1" applyAlignment="1" applyProtection="1">
      <alignment horizontal="left" vertical="center" wrapText="1"/>
      <protection locked="0"/>
    </xf>
    <xf numFmtId="0" fontId="12" fillId="9" borderId="44" xfId="0" applyFont="1" applyFill="1" applyBorder="1" applyAlignment="1" applyProtection="1">
      <alignment horizontal="left" vertical="center" wrapText="1"/>
      <protection locked="0"/>
    </xf>
    <xf numFmtId="0" fontId="53" fillId="9" borderId="44" xfId="0" applyFont="1" applyFill="1" applyBorder="1" applyAlignment="1" applyProtection="1">
      <alignment horizontal="left" vertical="center" wrapText="1"/>
      <protection locked="0"/>
    </xf>
    <xf numFmtId="0" fontId="59" fillId="0" borderId="3" xfId="0" applyFont="1" applyBorder="1" applyAlignment="1" applyProtection="1">
      <alignment horizontal="center" vertical="center" wrapText="1"/>
      <protection locked="0"/>
    </xf>
    <xf numFmtId="0" fontId="53" fillId="0" borderId="3" xfId="0" applyFont="1" applyBorder="1" applyAlignment="1" applyProtection="1">
      <alignment vertical="top" wrapText="1"/>
      <protection locked="0"/>
    </xf>
    <xf numFmtId="164" fontId="55" fillId="0" borderId="3" xfId="0" applyNumberFormat="1" applyFont="1" applyBorder="1" applyAlignment="1" applyProtection="1">
      <alignment horizontal="left" vertical="center" wrapText="1"/>
      <protection locked="0"/>
    </xf>
    <xf numFmtId="0" fontId="12" fillId="30" borderId="3" xfId="0" applyFont="1" applyFill="1" applyBorder="1" applyAlignment="1" applyProtection="1">
      <alignment horizontal="center" vertical="center" wrapText="1"/>
      <protection locked="0"/>
    </xf>
    <xf numFmtId="0" fontId="12" fillId="30" borderId="3" xfId="0" applyFont="1" applyFill="1" applyBorder="1" applyAlignment="1" applyProtection="1">
      <alignment horizontal="left" vertical="center" wrapText="1"/>
      <protection locked="0"/>
    </xf>
    <xf numFmtId="0" fontId="0" fillId="32" borderId="0" xfId="0" applyFill="1" applyAlignment="1">
      <alignment wrapText="1"/>
    </xf>
    <xf numFmtId="0" fontId="12" fillId="30" borderId="44" xfId="0" applyFont="1" applyFill="1" applyBorder="1" applyAlignment="1" applyProtection="1">
      <alignment horizontal="center" vertical="center" wrapText="1"/>
      <protection locked="0"/>
    </xf>
    <xf numFmtId="0" fontId="9" fillId="39" borderId="16" xfId="0" applyFont="1" applyFill="1" applyBorder="1" applyAlignment="1">
      <alignment vertical="center" wrapText="1"/>
    </xf>
    <xf numFmtId="0" fontId="12" fillId="40" borderId="3" xfId="0" applyFont="1" applyFill="1" applyBorder="1" applyAlignment="1" applyProtection="1">
      <alignment horizontal="left" vertical="center" wrapText="1"/>
      <protection locked="0"/>
    </xf>
    <xf numFmtId="0" fontId="12" fillId="40" borderId="44" xfId="0" applyFont="1" applyFill="1" applyBorder="1" applyAlignment="1" applyProtection="1">
      <alignment horizontal="center" vertical="center" wrapText="1"/>
      <protection locked="0"/>
    </xf>
    <xf numFmtId="0" fontId="9" fillId="40" borderId="16" xfId="0" applyFont="1" applyFill="1" applyBorder="1" applyAlignment="1">
      <alignment vertical="center" wrapText="1"/>
    </xf>
    <xf numFmtId="0" fontId="12" fillId="40" borderId="3" xfId="0" applyFont="1" applyFill="1" applyBorder="1" applyAlignment="1">
      <alignment horizontal="center" vertical="center" wrapText="1"/>
    </xf>
    <xf numFmtId="0" fontId="0" fillId="40" borderId="0" xfId="0" applyFill="1"/>
    <xf numFmtId="0" fontId="60" fillId="0" borderId="3" xfId="0" applyFont="1" applyBorder="1" applyAlignment="1" applyProtection="1">
      <alignment horizontal="left" vertical="center" wrapText="1"/>
      <protection locked="0"/>
    </xf>
    <xf numFmtId="0" fontId="54" fillId="35" borderId="3" xfId="0" applyFont="1" applyFill="1" applyBorder="1" applyAlignment="1" applyProtection="1">
      <alignment horizontal="left" vertical="center" wrapText="1"/>
      <protection locked="0"/>
    </xf>
    <xf numFmtId="0" fontId="53" fillId="35" borderId="3" xfId="0" applyFont="1" applyFill="1" applyBorder="1" applyAlignment="1" applyProtection="1">
      <alignment horizontal="left" vertical="center" wrapText="1"/>
      <protection locked="0"/>
    </xf>
    <xf numFmtId="0" fontId="55" fillId="35" borderId="3" xfId="0" applyFont="1" applyFill="1" applyBorder="1" applyAlignment="1" applyProtection="1">
      <alignment horizontal="left" vertical="center" wrapText="1"/>
      <protection locked="0"/>
    </xf>
    <xf numFmtId="0" fontId="55" fillId="35" borderId="18" xfId="0" applyFont="1" applyFill="1" applyBorder="1" applyAlignment="1" applyProtection="1">
      <alignment horizontal="left" vertical="center" wrapText="1"/>
      <protection locked="0"/>
    </xf>
    <xf numFmtId="0" fontId="53" fillId="35" borderId="18" xfId="0" applyFont="1" applyFill="1" applyBorder="1" applyAlignment="1" applyProtection="1">
      <alignment horizontal="left" vertical="center" wrapText="1"/>
      <protection locked="0"/>
    </xf>
    <xf numFmtId="0" fontId="64" fillId="35" borderId="3" xfId="0" applyFont="1" applyFill="1" applyBorder="1" applyAlignment="1" applyProtection="1">
      <alignment horizontal="left" vertical="center" wrapText="1"/>
      <protection locked="0"/>
    </xf>
    <xf numFmtId="0" fontId="61" fillId="35" borderId="3" xfId="0" applyFont="1" applyFill="1" applyBorder="1" applyAlignment="1" applyProtection="1">
      <alignment horizontal="left" vertical="center" wrapText="1"/>
      <protection locked="0"/>
    </xf>
    <xf numFmtId="0" fontId="67" fillId="35" borderId="0" xfId="0" applyFont="1" applyFill="1" applyAlignment="1">
      <alignment wrapText="1"/>
    </xf>
    <xf numFmtId="0" fontId="69" fillId="35" borderId="0" xfId="0" applyFont="1" applyFill="1" applyAlignment="1">
      <alignment wrapText="1"/>
    </xf>
    <xf numFmtId="0" fontId="53" fillId="38" borderId="3" xfId="0" applyFont="1" applyFill="1" applyBorder="1" applyAlignment="1" applyProtection="1">
      <alignment horizontal="center" vertical="center" wrapText="1"/>
      <protection locked="0"/>
    </xf>
    <xf numFmtId="0" fontId="55" fillId="38" borderId="3" xfId="0" applyFont="1" applyFill="1" applyBorder="1" applyAlignment="1" applyProtection="1">
      <alignment horizontal="center" vertical="center" wrapText="1"/>
      <protection locked="0"/>
    </xf>
    <xf numFmtId="0" fontId="54" fillId="38" borderId="3" xfId="0" applyFont="1" applyFill="1" applyBorder="1" applyAlignment="1" applyProtection="1">
      <alignment horizontal="left" vertical="center" wrapText="1"/>
      <protection locked="0"/>
    </xf>
    <xf numFmtId="0" fontId="59" fillId="38" borderId="3" xfId="0" applyFont="1" applyFill="1" applyBorder="1" applyAlignment="1" applyProtection="1">
      <alignment horizontal="center" vertical="center" wrapText="1"/>
      <protection locked="0"/>
    </xf>
    <xf numFmtId="0" fontId="55" fillId="38" borderId="3" xfId="0" applyFont="1" applyFill="1" applyBorder="1" applyAlignment="1" applyProtection="1">
      <alignment horizontal="left" vertical="center" wrapText="1"/>
      <protection locked="0"/>
    </xf>
    <xf numFmtId="0" fontId="12" fillId="40" borderId="3" xfId="0" applyFont="1" applyFill="1" applyBorder="1" applyAlignment="1">
      <alignment horizontal="left" vertical="center" wrapText="1"/>
    </xf>
    <xf numFmtId="3" fontId="12" fillId="40" borderId="3" xfId="0" applyNumberFormat="1" applyFont="1" applyFill="1" applyBorder="1" applyAlignment="1" applyProtection="1">
      <alignment horizontal="center" vertical="center" wrapText="1"/>
      <protection locked="0"/>
    </xf>
    <xf numFmtId="0" fontId="70" fillId="35" borderId="3" xfId="0" applyFont="1" applyFill="1" applyBorder="1" applyAlignment="1" applyProtection="1">
      <alignment horizontal="center" vertical="center" wrapText="1"/>
      <protection locked="0"/>
    </xf>
    <xf numFmtId="0" fontId="71" fillId="0" borderId="0" xfId="0" applyFont="1"/>
    <xf numFmtId="0" fontId="72" fillId="0" borderId="0" xfId="0" applyFont="1"/>
    <xf numFmtId="0" fontId="73" fillId="41" borderId="1" xfId="0" applyFont="1" applyFill="1" applyBorder="1" applyAlignment="1">
      <alignment horizontal="center" vertical="top"/>
    </xf>
    <xf numFmtId="0" fontId="74" fillId="42" borderId="1" xfId="0" applyFont="1" applyFill="1" applyBorder="1" applyAlignment="1">
      <alignment horizontal="center" vertical="center" wrapText="1"/>
    </xf>
    <xf numFmtId="49" fontId="74" fillId="42" borderId="1" xfId="0" applyNumberFormat="1" applyFont="1" applyFill="1" applyBorder="1" applyAlignment="1">
      <alignment horizontal="center" vertical="center" wrapText="1"/>
    </xf>
    <xf numFmtId="49" fontId="0" fillId="0" borderId="1" xfId="0" applyNumberFormat="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9" fontId="0" fillId="0" borderId="1" xfId="0" applyNumberFormat="1" applyBorder="1" applyAlignment="1">
      <alignment horizontal="center" vertical="center" wrapText="1"/>
    </xf>
    <xf numFmtId="49" fontId="0" fillId="32" borderId="1" xfId="0" applyNumberFormat="1" applyFill="1" applyBorder="1" applyAlignment="1">
      <alignment vertical="center" wrapText="1"/>
    </xf>
    <xf numFmtId="0" fontId="0" fillId="32" borderId="1" xfId="0" applyFill="1" applyBorder="1" applyAlignment="1">
      <alignment vertical="center" wrapText="1"/>
    </xf>
    <xf numFmtId="0" fontId="0" fillId="32" borderId="1" xfId="0" applyFill="1" applyBorder="1" applyAlignment="1">
      <alignment horizontal="center" vertical="center" wrapText="1"/>
    </xf>
    <xf numFmtId="9" fontId="0" fillId="32" borderId="1" xfId="0" applyNumberFormat="1" applyFill="1" applyBorder="1" applyAlignment="1">
      <alignment horizontal="center" vertical="center" wrapText="1"/>
    </xf>
    <xf numFmtId="0" fontId="76" fillId="41" borderId="53" xfId="0" applyFont="1" applyFill="1" applyBorder="1" applyAlignment="1">
      <alignment horizontal="left" vertical="center" wrapText="1" readingOrder="1"/>
    </xf>
    <xf numFmtId="0" fontId="76" fillId="41" borderId="56" xfId="0" applyFont="1" applyFill="1" applyBorder="1" applyAlignment="1">
      <alignment horizontal="left" vertical="center" wrapText="1" readingOrder="1"/>
    </xf>
    <xf numFmtId="0" fontId="0" fillId="40" borderId="0" xfId="0" applyFill="1" applyAlignment="1">
      <alignment horizontal="center"/>
    </xf>
    <xf numFmtId="0" fontId="76" fillId="45" borderId="56" xfId="0" applyFont="1" applyFill="1" applyBorder="1" applyAlignment="1">
      <alignment horizontal="left" vertical="center" wrapText="1" readingOrder="1"/>
    </xf>
    <xf numFmtId="49" fontId="76" fillId="41" borderId="56" xfId="0" applyNumberFormat="1" applyFont="1" applyFill="1" applyBorder="1" applyAlignment="1">
      <alignment horizontal="left" vertical="center" wrapText="1" readingOrder="1"/>
    </xf>
    <xf numFmtId="0" fontId="74" fillId="42" borderId="1" xfId="0" applyFont="1" applyFill="1" applyBorder="1" applyAlignment="1">
      <alignment horizontal="left" vertical="center" wrapText="1"/>
    </xf>
    <xf numFmtId="0" fontId="9" fillId="0" borderId="0" xfId="0" applyFont="1" applyAlignment="1">
      <alignment horizontal="left"/>
    </xf>
    <xf numFmtId="0" fontId="4" fillId="41" borderId="11" xfId="0" applyFont="1" applyFill="1" applyBorder="1" applyAlignment="1">
      <alignment horizontal="left" vertical="center" wrapText="1"/>
    </xf>
    <xf numFmtId="0" fontId="79" fillId="41" borderId="1" xfId="0" applyFont="1" applyFill="1" applyBorder="1" applyAlignment="1">
      <alignment horizontal="center" vertical="top"/>
    </xf>
    <xf numFmtId="0" fontId="79" fillId="42" borderId="1" xfId="0" applyFont="1" applyFill="1" applyBorder="1" applyAlignment="1">
      <alignment horizontal="center" vertical="top"/>
    </xf>
    <xf numFmtId="0" fontId="73" fillId="41" borderId="15" xfId="0" applyFont="1" applyFill="1" applyBorder="1" applyAlignment="1">
      <alignment horizontal="center" vertical="top"/>
    </xf>
    <xf numFmtId="49" fontId="76" fillId="41" borderId="59" xfId="0" applyNumberFormat="1" applyFont="1" applyFill="1" applyBorder="1" applyAlignment="1">
      <alignment horizontal="left" vertical="center" wrapText="1" readingOrder="1"/>
    </xf>
    <xf numFmtId="49" fontId="76" fillId="44" borderId="59" xfId="0" applyNumberFormat="1" applyFont="1" applyFill="1" applyBorder="1" applyAlignment="1">
      <alignment horizontal="left" vertical="center" wrapText="1" readingOrder="1"/>
    </xf>
    <xf numFmtId="0" fontId="80" fillId="42" borderId="0" xfId="0" applyFont="1" applyFill="1" applyAlignment="1">
      <alignment horizontal="center" vertical="center" wrapText="1"/>
    </xf>
    <xf numFmtId="49" fontId="80" fillId="42" borderId="0" xfId="0" applyNumberFormat="1" applyFont="1" applyFill="1" applyAlignment="1">
      <alignment horizontal="center" vertical="center" wrapText="1"/>
    </xf>
    <xf numFmtId="49" fontId="80" fillId="42" borderId="0" xfId="0" applyNumberFormat="1" applyFont="1" applyFill="1" applyAlignment="1">
      <alignment horizontal="left" vertical="center" wrapText="1"/>
    </xf>
    <xf numFmtId="0" fontId="76" fillId="40" borderId="0" xfId="0" applyFont="1" applyFill="1"/>
    <xf numFmtId="0" fontId="3" fillId="42" borderId="1" xfId="0" applyFont="1" applyFill="1" applyBorder="1" applyAlignment="1">
      <alignment horizontal="center" vertical="center" wrapText="1"/>
    </xf>
    <xf numFmtId="0" fontId="9" fillId="0" borderId="0" xfId="0" applyFont="1" applyAlignment="1">
      <alignment horizontal="center"/>
    </xf>
    <xf numFmtId="0" fontId="79" fillId="15" borderId="1" xfId="0" applyFont="1" applyFill="1" applyBorder="1" applyAlignment="1">
      <alignment vertical="center" wrapText="1"/>
    </xf>
    <xf numFmtId="0" fontId="79" fillId="41" borderId="1" xfId="0" applyFont="1" applyFill="1" applyBorder="1"/>
    <xf numFmtId="0" fontId="81" fillId="0" borderId="0" xfId="0" applyFont="1" applyAlignment="1">
      <alignment horizontal="center"/>
    </xf>
    <xf numFmtId="0" fontId="82" fillId="42" borderId="1" xfId="0" applyFont="1" applyFill="1" applyBorder="1" applyAlignment="1">
      <alignment horizontal="center" vertical="center" wrapText="1"/>
    </xf>
    <xf numFmtId="0" fontId="83" fillId="41" borderId="1" xfId="0" applyFont="1" applyFill="1" applyBorder="1" applyAlignment="1">
      <alignment vertical="center" wrapText="1"/>
    </xf>
    <xf numFmtId="0" fontId="83" fillId="15" borderId="1" xfId="0" applyFont="1" applyFill="1" applyBorder="1" applyAlignment="1">
      <alignment vertical="center" wrapText="1"/>
    </xf>
    <xf numFmtId="0" fontId="79" fillId="15" borderId="1" xfId="0" applyFont="1" applyFill="1" applyBorder="1" applyAlignment="1">
      <alignment horizontal="center" vertical="center" wrapText="1"/>
    </xf>
    <xf numFmtId="9" fontId="79" fillId="41" borderId="1" xfId="0" applyNumberFormat="1" applyFont="1" applyFill="1" applyBorder="1" applyAlignment="1">
      <alignment horizontal="center" vertical="center" wrapText="1"/>
    </xf>
    <xf numFmtId="49" fontId="76" fillId="32" borderId="59" xfId="0" applyNumberFormat="1" applyFont="1" applyFill="1" applyBorder="1" applyAlignment="1">
      <alignment horizontal="left" vertical="center" wrapText="1" readingOrder="1"/>
    </xf>
    <xf numFmtId="49" fontId="76" fillId="32" borderId="56" xfId="0" applyNumberFormat="1" applyFont="1" applyFill="1" applyBorder="1" applyAlignment="1">
      <alignment horizontal="left" vertical="center" wrapText="1" readingOrder="1"/>
    </xf>
    <xf numFmtId="0" fontId="73" fillId="41" borderId="66" xfId="0" applyFont="1" applyFill="1" applyBorder="1" applyAlignment="1">
      <alignment horizontal="center" vertical="top"/>
    </xf>
    <xf numFmtId="0" fontId="34" fillId="4" borderId="19" xfId="0" applyFont="1" applyFill="1" applyBorder="1" applyAlignment="1">
      <alignment horizontal="center" vertical="center" wrapText="1"/>
    </xf>
    <xf numFmtId="0" fontId="36" fillId="0" borderId="0" xfId="0" applyFont="1" applyAlignment="1">
      <alignment horizontal="center" vertical="top"/>
    </xf>
    <xf numFmtId="9" fontId="9" fillId="0" borderId="39" xfId="2" applyFont="1" applyBorder="1" applyAlignment="1">
      <alignment horizontal="center" vertical="center"/>
    </xf>
    <xf numFmtId="9" fontId="9" fillId="0" borderId="11" xfId="2" applyFont="1" applyBorder="1" applyAlignment="1">
      <alignment horizontal="center" vertical="center"/>
    </xf>
    <xf numFmtId="9" fontId="9" fillId="0" borderId="40" xfId="2" applyFont="1" applyBorder="1" applyAlignment="1">
      <alignment horizontal="center" vertical="center"/>
    </xf>
    <xf numFmtId="0" fontId="0" fillId="0" borderId="67" xfId="0" applyBorder="1" applyAlignment="1">
      <alignment horizontal="center" vertical="center"/>
    </xf>
    <xf numFmtId="0" fontId="0" fillId="0" borderId="68" xfId="0" applyBorder="1" applyAlignment="1">
      <alignment horizontal="center" vertical="center"/>
    </xf>
    <xf numFmtId="0" fontId="37" fillId="0" borderId="0" xfId="3" applyAlignment="1">
      <alignment horizontal="left"/>
    </xf>
    <xf numFmtId="0" fontId="12" fillId="32" borderId="47" xfId="0" applyFont="1" applyFill="1" applyBorder="1" applyAlignment="1" applyProtection="1">
      <alignment horizontal="left" vertical="center" wrapText="1"/>
      <protection locked="0"/>
    </xf>
    <xf numFmtId="0" fontId="12" fillId="0" borderId="2" xfId="0" applyFont="1" applyBorder="1" applyAlignment="1" applyProtection="1">
      <alignment horizontal="left" vertical="center" wrapText="1"/>
      <protection locked="0"/>
    </xf>
    <xf numFmtId="0" fontId="73" fillId="42" borderId="52" xfId="0" applyFont="1" applyFill="1" applyBorder="1" applyAlignment="1">
      <alignment horizontal="center" vertical="center"/>
    </xf>
    <xf numFmtId="0" fontId="73" fillId="42" borderId="55" xfId="0" applyFont="1" applyFill="1" applyBorder="1" applyAlignment="1">
      <alignment horizontal="center" vertical="center"/>
    </xf>
    <xf numFmtId="0" fontId="77" fillId="43" borderId="56" xfId="0" applyFont="1" applyFill="1" applyBorder="1" applyAlignment="1">
      <alignment horizontal="left" vertical="center" wrapText="1" readingOrder="1"/>
    </xf>
    <xf numFmtId="0" fontId="77" fillId="43" borderId="53" xfId="0" applyFont="1" applyFill="1" applyBorder="1" applyAlignment="1">
      <alignment horizontal="left" vertical="center" wrapText="1" readingOrder="1"/>
    </xf>
    <xf numFmtId="0" fontId="76" fillId="43" borderId="56" xfId="0" applyFont="1" applyFill="1" applyBorder="1" applyAlignment="1">
      <alignment horizontal="left" vertical="center" wrapText="1" readingOrder="1"/>
    </xf>
    <xf numFmtId="0" fontId="76" fillId="43" borderId="53" xfId="0" applyFont="1" applyFill="1" applyBorder="1" applyAlignment="1">
      <alignment horizontal="left" vertical="center" wrapText="1" readingOrder="1"/>
    </xf>
    <xf numFmtId="0" fontId="76" fillId="45" borderId="56" xfId="0" applyFont="1" applyFill="1" applyBorder="1" applyAlignment="1">
      <alignment horizontal="center" vertical="center" wrapText="1" readingOrder="1"/>
    </xf>
    <xf numFmtId="0" fontId="76" fillId="45" borderId="53" xfId="0" applyFont="1" applyFill="1" applyBorder="1" applyAlignment="1">
      <alignment horizontal="center" vertical="center" wrapText="1" readingOrder="1"/>
    </xf>
    <xf numFmtId="9" fontId="76" fillId="45" borderId="56" xfId="0" applyNumberFormat="1" applyFont="1" applyFill="1" applyBorder="1" applyAlignment="1">
      <alignment horizontal="center" vertical="center" wrapText="1" readingOrder="1"/>
    </xf>
    <xf numFmtId="9" fontId="76" fillId="44" borderId="59" xfId="0" applyNumberFormat="1" applyFont="1" applyFill="1" applyBorder="1" applyAlignment="1">
      <alignment horizontal="center" vertical="center" wrapText="1" readingOrder="1"/>
    </xf>
    <xf numFmtId="0" fontId="76" fillId="44" borderId="54" xfId="0" applyFont="1" applyFill="1" applyBorder="1" applyAlignment="1">
      <alignment horizontal="center" vertical="center" wrapText="1" readingOrder="1"/>
    </xf>
    <xf numFmtId="0" fontId="74" fillId="41" borderId="66" xfId="0" applyFont="1" applyFill="1" applyBorder="1" applyAlignment="1">
      <alignment horizontal="center" vertical="center" wrapText="1"/>
    </xf>
    <xf numFmtId="0" fontId="74" fillId="41" borderId="0" xfId="0" applyFont="1" applyFill="1" applyAlignment="1">
      <alignment horizontal="center" vertical="center" wrapText="1"/>
    </xf>
    <xf numFmtId="0" fontId="79" fillId="42" borderId="15" xfId="0" applyFont="1" applyFill="1" applyBorder="1" applyAlignment="1">
      <alignment horizontal="center" vertical="top"/>
    </xf>
    <xf numFmtId="0" fontId="79" fillId="42" borderId="13" xfId="0" applyFont="1" applyFill="1" applyBorder="1" applyAlignment="1">
      <alignment horizontal="center" vertical="top"/>
    </xf>
    <xf numFmtId="0" fontId="4" fillId="41" borderId="11" xfId="0" applyFont="1" applyFill="1"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9" fontId="0" fillId="0" borderId="1" xfId="0" applyNumberFormat="1" applyBorder="1" applyAlignment="1">
      <alignment horizontal="center" vertical="center" wrapText="1"/>
    </xf>
    <xf numFmtId="0" fontId="79" fillId="42" borderId="52" xfId="0" applyFont="1" applyFill="1" applyBorder="1" applyAlignment="1">
      <alignment horizontal="center" vertical="center"/>
    </xf>
    <xf numFmtId="0" fontId="79" fillId="42" borderId="55" xfId="0" applyFont="1" applyFill="1" applyBorder="1" applyAlignment="1">
      <alignment horizontal="center" vertical="center"/>
    </xf>
    <xf numFmtId="0" fontId="79" fillId="42" borderId="57" xfId="0" applyFont="1" applyFill="1" applyBorder="1" applyAlignment="1">
      <alignment horizontal="center" vertical="center"/>
    </xf>
    <xf numFmtId="0" fontId="75" fillId="41" borderId="53" xfId="0" applyFont="1" applyFill="1" applyBorder="1" applyAlignment="1">
      <alignment horizontal="left" vertical="center" wrapText="1"/>
    </xf>
    <xf numFmtId="0" fontId="76" fillId="41" borderId="53" xfId="0" applyFont="1" applyFill="1" applyBorder="1" applyAlignment="1">
      <alignment horizontal="left" vertical="center" wrapText="1" readingOrder="1"/>
    </xf>
    <xf numFmtId="0" fontId="76" fillId="41" borderId="53" xfId="0" applyFont="1" applyFill="1" applyBorder="1" applyAlignment="1">
      <alignment horizontal="center" vertical="center" wrapText="1" readingOrder="1"/>
    </xf>
    <xf numFmtId="9" fontId="76" fillId="41" borderId="54" xfId="0" applyNumberFormat="1" applyFont="1" applyFill="1" applyBorder="1" applyAlignment="1">
      <alignment horizontal="center" vertical="center" wrapText="1" readingOrder="1"/>
    </xf>
    <xf numFmtId="0" fontId="76" fillId="41" borderId="54" xfId="0" applyFont="1" applyFill="1" applyBorder="1" applyAlignment="1">
      <alignment horizontal="center" vertical="center" wrapText="1" readingOrder="1"/>
    </xf>
    <xf numFmtId="9" fontId="76" fillId="41" borderId="59" xfId="0" applyNumberFormat="1" applyFont="1" applyFill="1" applyBorder="1" applyAlignment="1">
      <alignment horizontal="center" vertical="center" wrapText="1" readingOrder="1"/>
    </xf>
    <xf numFmtId="0" fontId="77" fillId="43" borderId="56" xfId="0" applyFont="1" applyFill="1" applyBorder="1" applyAlignment="1">
      <alignment horizontal="left" vertical="center" wrapText="1"/>
    </xf>
    <xf numFmtId="0" fontId="77" fillId="43" borderId="53" xfId="0" applyFont="1" applyFill="1" applyBorder="1" applyAlignment="1">
      <alignment horizontal="left" vertical="center" wrapText="1"/>
    </xf>
    <xf numFmtId="0" fontId="76" fillId="44" borderId="56" xfId="0" applyFont="1" applyFill="1" applyBorder="1" applyAlignment="1">
      <alignment horizontal="center" vertical="center" wrapText="1" readingOrder="1"/>
    </xf>
    <xf numFmtId="0" fontId="76" fillId="44" borderId="53" xfId="0" applyFont="1" applyFill="1" applyBorder="1" applyAlignment="1">
      <alignment horizontal="center" vertical="center" wrapText="1" readingOrder="1"/>
    </xf>
    <xf numFmtId="0" fontId="76" fillId="41" borderId="59" xfId="0" applyFont="1" applyFill="1" applyBorder="1" applyAlignment="1">
      <alignment horizontal="center" vertical="center" wrapText="1" readingOrder="1"/>
    </xf>
    <xf numFmtId="0" fontId="76" fillId="41" borderId="56" xfId="0" applyFont="1" applyFill="1" applyBorder="1" applyAlignment="1">
      <alignment horizontal="center" vertical="center" wrapText="1" readingOrder="1"/>
    </xf>
    <xf numFmtId="0" fontId="79" fillId="42" borderId="1" xfId="0" applyFont="1" applyFill="1" applyBorder="1" applyAlignment="1">
      <alignment horizontal="center" vertical="center"/>
    </xf>
    <xf numFmtId="0" fontId="77" fillId="41" borderId="60" xfId="0" applyFont="1" applyFill="1" applyBorder="1" applyAlignment="1">
      <alignment horizontal="left" vertical="center" wrapText="1"/>
    </xf>
    <xf numFmtId="0" fontId="77" fillId="41" borderId="61" xfId="0" applyFont="1" applyFill="1" applyBorder="1" applyAlignment="1">
      <alignment horizontal="left" vertical="center" wrapText="1"/>
    </xf>
    <xf numFmtId="0" fontId="76" fillId="41" borderId="56" xfId="0" applyFont="1" applyFill="1" applyBorder="1" applyAlignment="1">
      <alignment horizontal="left" vertical="center" wrapText="1" readingOrder="1"/>
    </xf>
    <xf numFmtId="9" fontId="76" fillId="41" borderId="56" xfId="0" applyNumberFormat="1" applyFont="1" applyFill="1" applyBorder="1" applyAlignment="1">
      <alignment horizontal="center" vertical="center" wrapText="1" readingOrder="1"/>
    </xf>
    <xf numFmtId="0" fontId="77" fillId="43" borderId="60" xfId="0" applyFont="1" applyFill="1" applyBorder="1" applyAlignment="1">
      <alignment horizontal="left" vertical="center" wrapText="1"/>
    </xf>
    <xf numFmtId="0" fontId="77" fillId="43" borderId="61" xfId="0" applyFont="1" applyFill="1" applyBorder="1" applyAlignment="1">
      <alignment horizontal="left" vertical="center" wrapText="1"/>
    </xf>
    <xf numFmtId="0" fontId="75" fillId="41" borderId="60" xfId="0" applyFont="1" applyFill="1" applyBorder="1" applyAlignment="1">
      <alignment horizontal="left" vertical="center" wrapText="1"/>
    </xf>
    <xf numFmtId="0" fontId="75" fillId="41" borderId="61" xfId="0" applyFont="1" applyFill="1" applyBorder="1" applyAlignment="1">
      <alignment horizontal="left" vertical="center" wrapText="1"/>
    </xf>
    <xf numFmtId="0" fontId="75" fillId="41" borderId="62" xfId="0" applyFont="1" applyFill="1" applyBorder="1" applyAlignment="1">
      <alignment horizontal="left" vertical="center" wrapText="1"/>
    </xf>
    <xf numFmtId="0" fontId="76" fillId="41" borderId="59" xfId="0" applyFont="1" applyFill="1" applyBorder="1" applyAlignment="1">
      <alignment horizontal="left" vertical="center" wrapText="1" readingOrder="1"/>
    </xf>
    <xf numFmtId="0" fontId="76" fillId="41" borderId="54" xfId="0" applyFont="1" applyFill="1" applyBorder="1" applyAlignment="1">
      <alignment horizontal="left" vertical="center" wrapText="1" readingOrder="1"/>
    </xf>
    <xf numFmtId="0" fontId="76" fillId="41" borderId="63" xfId="0" applyFont="1" applyFill="1" applyBorder="1" applyAlignment="1">
      <alignment horizontal="left" vertical="center" wrapText="1" readingOrder="1"/>
    </xf>
    <xf numFmtId="0" fontId="76" fillId="41" borderId="58" xfId="0" applyFont="1" applyFill="1" applyBorder="1" applyAlignment="1">
      <alignment horizontal="center" vertical="center" wrapText="1" readingOrder="1"/>
    </xf>
    <xf numFmtId="0" fontId="77" fillId="41" borderId="56" xfId="0" applyFont="1" applyFill="1" applyBorder="1" applyAlignment="1">
      <alignment horizontal="left" vertical="center" wrapText="1"/>
    </xf>
    <xf numFmtId="0" fontId="77" fillId="41" borderId="53" xfId="0" applyFont="1" applyFill="1" applyBorder="1" applyAlignment="1">
      <alignment horizontal="left" vertical="center" wrapText="1"/>
    </xf>
    <xf numFmtId="0" fontId="76" fillId="44" borderId="59" xfId="0" applyFont="1" applyFill="1" applyBorder="1" applyAlignment="1">
      <alignment horizontal="center" vertical="center" wrapText="1" readingOrder="1"/>
    </xf>
    <xf numFmtId="0" fontId="76" fillId="41" borderId="63" xfId="0" applyFont="1" applyFill="1" applyBorder="1" applyAlignment="1">
      <alignment horizontal="center" vertical="center" wrapText="1" readingOrder="1"/>
    </xf>
    <xf numFmtId="0" fontId="79" fillId="15" borderId="1" xfId="0" applyFont="1" applyFill="1" applyBorder="1" applyAlignment="1">
      <alignment vertical="center" wrapText="1"/>
    </xf>
    <xf numFmtId="0" fontId="4" fillId="15" borderId="15" xfId="0" applyFont="1" applyFill="1" applyBorder="1" applyAlignment="1">
      <alignment horizontal="left" vertical="center" wrapText="1"/>
    </xf>
    <xf numFmtId="0" fontId="4" fillId="15" borderId="2" xfId="0" applyFont="1" applyFill="1" applyBorder="1" applyAlignment="1">
      <alignment horizontal="left" vertical="center" wrapText="1"/>
    </xf>
    <xf numFmtId="0" fontId="4" fillId="15" borderId="13" xfId="0" applyFont="1" applyFill="1" applyBorder="1" applyAlignment="1">
      <alignment horizontal="left" vertical="center" wrapText="1"/>
    </xf>
    <xf numFmtId="0" fontId="84" fillId="15" borderId="15" xfId="0" applyFont="1" applyFill="1" applyBorder="1" applyAlignment="1">
      <alignment horizontal="center" vertical="center" wrapText="1"/>
    </xf>
    <xf numFmtId="0" fontId="84" fillId="15" borderId="2" xfId="0" applyFont="1" applyFill="1" applyBorder="1" applyAlignment="1">
      <alignment horizontal="center" vertical="center" wrapText="1"/>
    </xf>
    <xf numFmtId="0" fontId="84" fillId="15" borderId="13" xfId="0" applyFont="1" applyFill="1" applyBorder="1" applyAlignment="1">
      <alignment horizontal="center" vertical="center" wrapText="1"/>
    </xf>
    <xf numFmtId="9" fontId="79" fillId="41" borderId="1" xfId="0" applyNumberFormat="1" applyFont="1" applyFill="1" applyBorder="1" applyAlignment="1">
      <alignment horizontal="center" vertical="center" wrapText="1"/>
    </xf>
    <xf numFmtId="0" fontId="79" fillId="15" borderId="1" xfId="0" applyFont="1" applyFill="1" applyBorder="1" applyAlignment="1">
      <alignment horizontal="center" vertical="center" wrapText="1"/>
    </xf>
    <xf numFmtId="0" fontId="79" fillId="41" borderId="1" xfId="0" applyFont="1" applyFill="1" applyBorder="1" applyAlignment="1">
      <alignment vertical="center" wrapText="1"/>
    </xf>
    <xf numFmtId="9" fontId="79" fillId="42" borderId="1" xfId="0" applyNumberFormat="1" applyFont="1" applyFill="1" applyBorder="1" applyAlignment="1">
      <alignment horizontal="center" vertical="center" wrapText="1"/>
    </xf>
    <xf numFmtId="0" fontId="79" fillId="41" borderId="1" xfId="0" applyFont="1" applyFill="1" applyBorder="1" applyAlignment="1">
      <alignment horizontal="center" vertical="center" wrapText="1"/>
    </xf>
    <xf numFmtId="0" fontId="83" fillId="41" borderId="1" xfId="0" applyFont="1" applyFill="1" applyBorder="1" applyAlignment="1">
      <alignment horizontal="center" vertical="center" wrapText="1"/>
    </xf>
    <xf numFmtId="0" fontId="4" fillId="32" borderId="1" xfId="0" applyFont="1" applyFill="1" applyBorder="1" applyAlignment="1">
      <alignment vertical="center" wrapText="1"/>
    </xf>
    <xf numFmtId="0" fontId="84" fillId="15" borderId="1" xfId="0" applyFont="1" applyFill="1" applyBorder="1" applyAlignment="1">
      <alignment horizontal="center" vertical="center" wrapText="1"/>
    </xf>
    <xf numFmtId="0" fontId="84" fillId="41" borderId="1" xfId="0" applyFont="1" applyFill="1" applyBorder="1" applyAlignment="1">
      <alignment horizontal="center" vertical="center" wrapText="1"/>
    </xf>
    <xf numFmtId="0" fontId="83" fillId="15" borderId="1" xfId="0" applyFont="1" applyFill="1" applyBorder="1" applyAlignment="1">
      <alignment horizontal="center" vertical="center" wrapText="1"/>
    </xf>
    <xf numFmtId="0" fontId="4" fillId="15" borderId="1" xfId="0" applyFont="1" applyFill="1" applyBorder="1" applyAlignment="1">
      <alignment vertical="center" wrapText="1"/>
    </xf>
    <xf numFmtId="9" fontId="79" fillId="15" borderId="1" xfId="0" applyNumberFormat="1" applyFont="1" applyFill="1" applyBorder="1" applyAlignment="1">
      <alignment horizontal="center" vertical="center" wrapText="1"/>
    </xf>
    <xf numFmtId="0" fontId="4" fillId="41" borderId="1" xfId="0" applyFont="1" applyFill="1" applyBorder="1" applyAlignment="1">
      <alignment vertical="center" wrapText="1"/>
    </xf>
    <xf numFmtId="0" fontId="73" fillId="42" borderId="53" xfId="0" applyFont="1" applyFill="1" applyBorder="1" applyAlignment="1">
      <alignment horizontal="center" vertical="center"/>
    </xf>
    <xf numFmtId="0" fontId="76" fillId="32" borderId="56" xfId="0" applyFont="1" applyFill="1" applyBorder="1" applyAlignment="1">
      <alignment horizontal="center" vertical="center" wrapText="1" readingOrder="1"/>
    </xf>
    <xf numFmtId="0" fontId="76" fillId="32" borderId="53" xfId="0" applyFont="1" applyFill="1" applyBorder="1" applyAlignment="1">
      <alignment horizontal="center" vertical="center" wrapText="1" readingOrder="1"/>
    </xf>
    <xf numFmtId="0" fontId="89" fillId="41" borderId="60" xfId="0" applyFont="1" applyFill="1" applyBorder="1" applyAlignment="1">
      <alignment horizontal="left" vertical="center" wrapText="1"/>
    </xf>
    <xf numFmtId="0" fontId="89" fillId="41" borderId="61" xfId="0" applyFont="1" applyFill="1" applyBorder="1" applyAlignment="1">
      <alignment horizontal="left" vertical="center" wrapText="1"/>
    </xf>
    <xf numFmtId="0" fontId="88" fillId="42" borderId="53" xfId="0" applyFont="1" applyFill="1" applyBorder="1" applyAlignment="1">
      <alignment horizontal="center" vertical="center"/>
    </xf>
    <xf numFmtId="0" fontId="89" fillId="43" borderId="56" xfId="0" applyFont="1" applyFill="1" applyBorder="1" applyAlignment="1">
      <alignment horizontal="left" vertical="center" wrapText="1" readingOrder="1"/>
    </xf>
    <xf numFmtId="0" fontId="89" fillId="43" borderId="53" xfId="0" applyFont="1" applyFill="1" applyBorder="1" applyAlignment="1">
      <alignment horizontal="left" vertical="center" wrapText="1" readingOrder="1"/>
    </xf>
    <xf numFmtId="0" fontId="87" fillId="41" borderId="64" xfId="0" applyFont="1" applyFill="1" applyBorder="1" applyAlignment="1">
      <alignment horizontal="center" vertical="center" wrapText="1"/>
    </xf>
    <xf numFmtId="0" fontId="85" fillId="41" borderId="65" xfId="0" applyFont="1" applyFill="1" applyBorder="1" applyAlignment="1">
      <alignment horizontal="center" vertical="center" wrapText="1"/>
    </xf>
    <xf numFmtId="49" fontId="76" fillId="41" borderId="59" xfId="0" applyNumberFormat="1" applyFont="1" applyFill="1" applyBorder="1" applyAlignment="1">
      <alignment horizontal="left" vertical="center" wrapText="1" readingOrder="1"/>
    </xf>
    <xf numFmtId="49" fontId="76" fillId="41" borderId="54" xfId="0" applyNumberFormat="1" applyFont="1" applyFill="1" applyBorder="1" applyAlignment="1">
      <alignment horizontal="left" vertical="center" wrapText="1" readingOrder="1"/>
    </xf>
    <xf numFmtId="0" fontId="73" fillId="42" borderId="57" xfId="0" applyFont="1" applyFill="1" applyBorder="1" applyAlignment="1">
      <alignment horizontal="center" vertical="center"/>
    </xf>
    <xf numFmtId="0" fontId="76" fillId="43" borderId="58" xfId="0" applyFont="1" applyFill="1" applyBorder="1" applyAlignment="1">
      <alignment horizontal="left" vertical="center" wrapText="1" readingOrder="1"/>
    </xf>
    <xf numFmtId="0" fontId="76" fillId="46" borderId="56" xfId="0" applyFont="1" applyFill="1" applyBorder="1" applyAlignment="1">
      <alignment horizontal="center" vertical="center" wrapText="1" readingOrder="1"/>
    </xf>
    <xf numFmtId="0" fontId="76" fillId="46" borderId="53" xfId="0" applyFont="1" applyFill="1" applyBorder="1" applyAlignment="1">
      <alignment horizontal="center" vertical="center" wrapText="1" readingOrder="1"/>
    </xf>
    <xf numFmtId="0" fontId="75" fillId="41" borderId="56" xfId="0" applyFont="1" applyFill="1" applyBorder="1" applyAlignment="1">
      <alignment horizontal="left" vertical="center" wrapText="1" readingOrder="1"/>
    </xf>
    <xf numFmtId="0" fontId="75" fillId="41" borderId="53" xfId="0" applyFont="1" applyFill="1" applyBorder="1" applyAlignment="1">
      <alignment horizontal="left" vertical="center" wrapText="1" readingOrder="1"/>
    </xf>
    <xf numFmtId="0" fontId="89" fillId="41" borderId="56" xfId="0" applyFont="1" applyFill="1" applyBorder="1" applyAlignment="1">
      <alignment horizontal="left" vertical="center" wrapText="1" readingOrder="1"/>
    </xf>
    <xf numFmtId="0" fontId="89" fillId="41" borderId="53" xfId="0" applyFont="1" applyFill="1" applyBorder="1" applyAlignment="1">
      <alignment horizontal="left" vertical="center" wrapText="1" readingOrder="1"/>
    </xf>
    <xf numFmtId="0" fontId="0" fillId="0" borderId="0" xfId="0" applyAlignment="1">
      <alignment horizontal="center" vertical="center"/>
    </xf>
    <xf numFmtId="0" fontId="48" fillId="0" borderId="0" xfId="0" applyFont="1" applyAlignment="1">
      <alignment horizontal="center" vertical="center"/>
    </xf>
    <xf numFmtId="0" fontId="51" fillId="0" borderId="0" xfId="0" applyFont="1" applyAlignment="1">
      <alignment horizontal="center" vertical="center"/>
    </xf>
    <xf numFmtId="0" fontId="49" fillId="0" borderId="0" xfId="0" applyFont="1" applyAlignment="1">
      <alignment horizontal="center" vertical="center"/>
    </xf>
    <xf numFmtId="0" fontId="12" fillId="0" borderId="8" xfId="0" applyFont="1" applyBorder="1" applyAlignment="1" applyProtection="1">
      <alignment horizontal="left" vertical="center" wrapText="1"/>
      <protection locked="0"/>
    </xf>
    <xf numFmtId="0" fontId="12" fillId="0" borderId="9" xfId="0" applyFont="1" applyBorder="1" applyAlignment="1" applyProtection="1">
      <alignment horizontal="left" vertical="center" wrapText="1"/>
      <protection locked="0"/>
    </xf>
    <xf numFmtId="0" fontId="12" fillId="0" borderId="5" xfId="0" applyFont="1" applyBorder="1" applyAlignment="1" applyProtection="1">
      <alignment horizontal="left" vertical="center" wrapText="1"/>
      <protection locked="0"/>
    </xf>
  </cellXfs>
  <cellStyles count="5">
    <cellStyle name="%" xfId="1" xr:uid="{00000000-0005-0000-0000-000000000000}"/>
    <cellStyle name="Hyperlink" xfId="4" xr:uid="{00000000-0005-0000-0000-000001000000}"/>
    <cellStyle name="Lien hypertexte" xfId="3" builtinId="8"/>
    <cellStyle name="Normal" xfId="0" builtinId="0"/>
    <cellStyle name="Pourcentage" xfId="2" builtinId="5"/>
  </cellStyles>
  <dxfs count="819">
    <dxf>
      <fill>
        <patternFill>
          <bgColor rgb="FFF7EEED"/>
        </patternFill>
      </fill>
    </dxf>
    <dxf>
      <fill>
        <patternFill>
          <bgColor theme="0" tint="-0.24994659260841701"/>
        </patternFill>
      </fill>
    </dxf>
    <dxf>
      <fill>
        <patternFill>
          <bgColor rgb="FFF7EEED"/>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theme="0" tint="-0.24994659260841701"/>
        </patternFill>
      </fill>
    </dxf>
    <dxf>
      <fill>
        <patternFill>
          <bgColor rgb="FFF7EEED"/>
        </patternFill>
      </fill>
    </dxf>
    <dxf>
      <fill>
        <patternFill>
          <bgColor rgb="FFF7EEED"/>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theme="0" tint="-0.24994659260841701"/>
        </patternFill>
      </fill>
    </dxf>
    <dxf>
      <fill>
        <patternFill>
          <bgColor rgb="FFF7EEED"/>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7EEED"/>
        </patternFill>
      </fill>
    </dxf>
    <dxf>
      <fill>
        <patternFill>
          <bgColor theme="0" tint="-0.24994659260841701"/>
        </patternFill>
      </fill>
    </dxf>
    <dxf>
      <fill>
        <patternFill>
          <bgColor theme="0" tint="-0.24994659260841701"/>
        </patternFill>
      </fill>
    </dxf>
    <dxf>
      <fill>
        <patternFill>
          <bgColor rgb="FFF7EEED"/>
        </patternFill>
      </fill>
    </dxf>
    <dxf>
      <fill>
        <patternFill>
          <bgColor theme="0" tint="-0.24994659260841701"/>
        </patternFill>
      </fill>
    </dxf>
    <dxf>
      <fill>
        <patternFill>
          <bgColor theme="0" tint="-0.24994659260841701"/>
        </patternFill>
      </fill>
    </dxf>
    <dxf>
      <fill>
        <patternFill>
          <bgColor rgb="FFF7EEED"/>
        </patternFill>
      </fill>
    </dxf>
    <dxf>
      <fill>
        <patternFill>
          <bgColor theme="0" tint="-0.24994659260841701"/>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rgb="FFF7EEED"/>
        </patternFill>
      </fill>
    </dxf>
    <dxf>
      <fill>
        <patternFill>
          <bgColor theme="0" tint="-0.24994659260841701"/>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4E8E8"/>
        </patternFill>
      </fill>
    </dxf>
    <dxf>
      <fill>
        <patternFill>
          <bgColor rgb="FFF4E8E8"/>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rgb="FFF7EEED"/>
        </patternFill>
      </fill>
    </dxf>
    <dxf>
      <fill>
        <patternFill>
          <bgColor rgb="FFF7EEED"/>
        </patternFill>
      </fill>
    </dxf>
    <dxf>
      <fill>
        <patternFill>
          <bgColor theme="0" tint="-0.24994659260841701"/>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theme="0" tint="-0.24994659260841701"/>
        </patternFill>
      </fill>
    </dxf>
    <dxf>
      <fill>
        <patternFill>
          <bgColor rgb="FFF7EEED"/>
        </patternFill>
      </fill>
    </dxf>
    <dxf>
      <fill>
        <patternFill>
          <bgColor rgb="FFF7EEED"/>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theme="0" tint="-0.24994659260841701"/>
        </patternFill>
      </fill>
    </dxf>
    <dxf>
      <fill>
        <patternFill>
          <bgColor rgb="FFF7EEED"/>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4E8E8"/>
        </patternFill>
      </fill>
    </dxf>
    <dxf>
      <fill>
        <patternFill>
          <bgColor rgb="FFF4E8E8"/>
        </patternFill>
      </fill>
    </dxf>
    <dxf>
      <fill>
        <patternFill>
          <bgColor rgb="FFF4E8E8"/>
        </patternFill>
      </fill>
    </dxf>
    <dxf>
      <fill>
        <patternFill>
          <bgColor rgb="FFF4E8E8"/>
        </patternFill>
      </fill>
    </dxf>
    <dxf>
      <fill>
        <patternFill>
          <bgColor rgb="FFF4E8E8"/>
        </patternFill>
      </fill>
    </dxf>
    <dxf>
      <fill>
        <patternFill>
          <bgColor rgb="FFF4E8E8"/>
        </patternFill>
      </fill>
    </dxf>
    <dxf>
      <fill>
        <patternFill>
          <bgColor rgb="FFF4E8E8"/>
        </patternFill>
      </fill>
    </dxf>
    <dxf>
      <fill>
        <patternFill>
          <bgColor rgb="FFF4E8E8"/>
        </patternFill>
      </fill>
    </dxf>
    <dxf>
      <fill>
        <patternFill>
          <bgColor rgb="FFF4E8E8"/>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7EEED"/>
        </patternFill>
      </fill>
    </dxf>
    <dxf>
      <fill>
        <patternFill>
          <bgColor rgb="FFF4E8E8"/>
        </patternFill>
      </fill>
    </dxf>
    <dxf>
      <fill>
        <patternFill>
          <bgColor rgb="FFF7EEED"/>
        </patternFill>
      </fill>
    </dxf>
    <dxf>
      <fill>
        <patternFill>
          <bgColor rgb="FFF4E8E8"/>
        </patternFill>
      </fill>
    </dxf>
    <dxf>
      <fill>
        <patternFill>
          <bgColor theme="0" tint="-0.24994659260841701"/>
        </patternFill>
      </fill>
    </dxf>
    <dxf>
      <fill>
        <patternFill>
          <bgColor rgb="FFF7EEED"/>
        </patternFill>
      </fill>
    </dxf>
    <dxf>
      <fill>
        <patternFill>
          <bgColor rgb="FFF7EEED"/>
        </patternFill>
      </fill>
    </dxf>
    <dxf>
      <fill>
        <patternFill>
          <bgColor rgb="FFF4E8E8"/>
        </patternFill>
      </fill>
    </dxf>
    <dxf>
      <fill>
        <patternFill>
          <bgColor rgb="FFF7EEED"/>
        </patternFill>
      </fill>
    </dxf>
    <dxf>
      <fill>
        <patternFill>
          <bgColor rgb="FFF4E8E8"/>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14996795556505021"/>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rgb="FFF7EEED"/>
        </patternFill>
      </fill>
    </dxf>
    <dxf>
      <fill>
        <patternFill>
          <bgColor rgb="FFF4E8E8"/>
        </patternFill>
      </fill>
    </dxf>
    <dxf>
      <fill>
        <patternFill>
          <bgColor rgb="FFF7EEED"/>
        </patternFill>
      </fill>
    </dxf>
    <dxf>
      <fill>
        <patternFill>
          <bgColor rgb="FFF4E8E8"/>
        </patternFill>
      </fill>
    </dxf>
    <dxf>
      <fill>
        <patternFill>
          <bgColor theme="0" tint="-0.24994659260841701"/>
        </patternFill>
      </fill>
    </dxf>
    <dxf>
      <fill>
        <patternFill>
          <bgColor rgb="FFF7EEED"/>
        </patternFill>
      </fill>
    </dxf>
    <dxf>
      <fill>
        <patternFill>
          <bgColor rgb="FFF7EEED"/>
        </patternFill>
      </fill>
    </dxf>
    <dxf>
      <fill>
        <patternFill>
          <bgColor rgb="FFF4E8E8"/>
        </patternFill>
      </fill>
    </dxf>
    <dxf>
      <fill>
        <patternFill>
          <bgColor rgb="FFF7EEED"/>
        </patternFill>
      </fill>
    </dxf>
    <dxf>
      <fill>
        <patternFill>
          <bgColor rgb="FFF4E8E8"/>
        </patternFill>
      </fill>
    </dxf>
    <dxf>
      <fill>
        <patternFill>
          <bgColor theme="0" tint="-0.24994659260841701"/>
        </patternFill>
      </fill>
    </dxf>
    <dxf>
      <fill>
        <patternFill>
          <bgColor rgb="FFF7EEED"/>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rgb="FFF7EEED"/>
        </patternFill>
      </fill>
    </dxf>
    <dxf>
      <fill>
        <patternFill>
          <bgColor theme="0" tint="-0.24994659260841701"/>
        </patternFill>
      </fill>
    </dxf>
    <dxf>
      <fill>
        <patternFill>
          <bgColor rgb="FFF4E8E8"/>
        </patternFill>
      </fill>
    </dxf>
    <dxf>
      <fill>
        <patternFill>
          <bgColor rgb="FFF4E8E8"/>
        </patternFill>
      </fill>
    </dxf>
    <dxf>
      <fill>
        <patternFill>
          <bgColor theme="0" tint="-0.24994659260841701"/>
        </patternFill>
      </fill>
    </dxf>
    <dxf>
      <fill>
        <patternFill>
          <bgColor theme="0" tint="-0.24994659260841701"/>
        </patternFill>
      </fill>
    </dxf>
    <dxf>
      <fill>
        <patternFill>
          <bgColor rgb="FFF7EEED"/>
        </patternFill>
      </fill>
    </dxf>
    <dxf>
      <fill>
        <patternFill>
          <bgColor rgb="FFF4E8E8"/>
        </patternFill>
      </fill>
    </dxf>
    <dxf>
      <fill>
        <patternFill>
          <bgColor rgb="FFF4E8E8"/>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4E8E8"/>
        </patternFill>
      </fill>
    </dxf>
    <dxf>
      <fill>
        <patternFill>
          <bgColor theme="0" tint="-0.24994659260841701"/>
        </patternFill>
      </fill>
    </dxf>
    <dxf>
      <fill>
        <patternFill>
          <bgColor rgb="FFF4E8E8"/>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7EEED"/>
        </patternFill>
      </fill>
    </dxf>
    <dxf>
      <fill>
        <patternFill>
          <bgColor rgb="FFF4E8E8"/>
        </patternFill>
      </fill>
    </dxf>
    <dxf>
      <fill>
        <patternFill>
          <bgColor theme="0" tint="-0.24994659260841701"/>
        </patternFill>
      </fill>
    </dxf>
    <dxf>
      <fill>
        <patternFill>
          <bgColor rgb="FFF7EEED"/>
        </patternFill>
      </fill>
    </dxf>
    <dxf>
      <fill>
        <patternFill>
          <bgColor rgb="FFF7EEED"/>
        </patternFill>
      </fill>
    </dxf>
    <dxf>
      <fill>
        <patternFill>
          <bgColor rgb="FFF7EEED"/>
        </patternFill>
      </fill>
    </dxf>
    <dxf>
      <fill>
        <patternFill>
          <bgColor theme="0" tint="-0.24994659260841701"/>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theme="0" tint="-0.24994659260841701"/>
        </patternFill>
      </fill>
    </dxf>
    <dxf>
      <fill>
        <patternFill>
          <bgColor rgb="FFF7EEED"/>
        </patternFill>
      </fill>
    </dxf>
    <dxf>
      <fill>
        <patternFill>
          <bgColor rgb="FFF7EEED"/>
        </patternFill>
      </fill>
    </dxf>
    <dxf>
      <fill>
        <patternFill>
          <bgColor rgb="FFF4E8E8"/>
        </patternFill>
      </fill>
    </dxf>
    <dxf>
      <fill>
        <patternFill>
          <bgColor theme="0" tint="-0.24994659260841701"/>
        </patternFill>
      </fill>
    </dxf>
    <dxf>
      <fill>
        <patternFill>
          <bgColor rgb="FFF4E8E8"/>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7EEED"/>
        </patternFill>
      </fill>
    </dxf>
    <dxf>
      <fill>
        <patternFill>
          <bgColor rgb="FFF7EEED"/>
        </patternFill>
      </fill>
    </dxf>
    <dxf>
      <fill>
        <patternFill>
          <bgColor rgb="FFF7EEED"/>
        </patternFill>
      </fill>
    </dxf>
    <dxf>
      <fill>
        <patternFill>
          <bgColor rgb="FFF4E8E8"/>
        </patternFill>
      </fill>
    </dxf>
    <dxf>
      <fill>
        <patternFill>
          <bgColor rgb="FFF7EEED"/>
        </patternFill>
      </fill>
    </dxf>
    <dxf>
      <fill>
        <patternFill>
          <bgColor rgb="FFF4E8E8"/>
        </patternFill>
      </fill>
    </dxf>
    <dxf>
      <fill>
        <patternFill>
          <bgColor theme="0" tint="-0.2499465926084170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4E8E8"/>
        </patternFill>
      </fill>
    </dxf>
    <dxf>
      <fill>
        <patternFill>
          <bgColor theme="0" tint="-0.24994659260841701"/>
        </patternFill>
      </fill>
    </dxf>
    <dxf>
      <fill>
        <patternFill>
          <bgColor theme="0" tint="-0.24994659260841701"/>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theme="0" tint="-0.24994659260841701"/>
        </patternFill>
      </fill>
    </dxf>
    <dxf>
      <fill>
        <patternFill>
          <bgColor rgb="FFF7EEED"/>
        </patternFill>
      </fill>
    </dxf>
    <dxf>
      <fill>
        <patternFill>
          <bgColor rgb="FFF7EEED"/>
        </patternFill>
      </fill>
    </dxf>
    <dxf>
      <fill>
        <patternFill>
          <bgColor rgb="FFF4E8E8"/>
        </patternFill>
      </fill>
    </dxf>
    <dxf>
      <fill>
        <patternFill>
          <bgColor rgb="FFF4E8E8"/>
        </patternFill>
      </fill>
    </dxf>
    <dxf>
      <fill>
        <patternFill>
          <bgColor rgb="FFF4E8E8"/>
        </patternFill>
      </fill>
    </dxf>
    <dxf>
      <fill>
        <patternFill>
          <bgColor rgb="FFF7EEED"/>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7EEED"/>
        </patternFill>
      </fill>
    </dxf>
    <dxf>
      <fill>
        <patternFill>
          <bgColor rgb="FFF7EEED"/>
        </patternFill>
      </fill>
    </dxf>
    <dxf>
      <fill>
        <patternFill>
          <bgColor rgb="FFF4E8E8"/>
        </patternFill>
      </fill>
    </dxf>
    <dxf>
      <fill>
        <patternFill>
          <bgColor rgb="FFF4E8E8"/>
        </patternFill>
      </fill>
    </dxf>
    <dxf>
      <fill>
        <patternFill>
          <bgColor theme="0" tint="-0.24994659260841701"/>
        </patternFill>
      </fill>
    </dxf>
    <dxf>
      <fill>
        <patternFill>
          <bgColor theme="0" tint="-0.24994659260841701"/>
        </patternFill>
      </fill>
    </dxf>
    <dxf>
      <fill>
        <patternFill>
          <bgColor rgb="FFF4E8E8"/>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rgb="FFF7EEED"/>
        </patternFill>
      </fill>
    </dxf>
    <dxf>
      <fill>
        <patternFill>
          <bgColor rgb="FFF7EEED"/>
        </patternFill>
      </fill>
    </dxf>
    <dxf>
      <fill>
        <patternFill>
          <bgColor theme="0" tint="-0.24994659260841701"/>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theme="0" tint="-0.24994659260841701"/>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theme="0" tint="-0.24994659260841701"/>
        </patternFill>
      </fill>
    </dxf>
    <dxf>
      <fill>
        <patternFill>
          <bgColor rgb="FFF4E8E8"/>
        </patternFill>
      </fill>
    </dxf>
    <dxf>
      <fill>
        <patternFill>
          <bgColor rgb="FFF4E8E8"/>
        </patternFill>
      </fill>
    </dxf>
    <dxf>
      <fill>
        <patternFill>
          <bgColor rgb="FFF4E8E8"/>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rgb="FFF4E8E8"/>
        </patternFill>
      </fill>
    </dxf>
    <dxf>
      <fill>
        <patternFill>
          <bgColor rgb="FFF7EEED"/>
        </patternFill>
      </fill>
    </dxf>
    <dxf>
      <fill>
        <patternFill>
          <bgColor rgb="FFF4E8E8"/>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rgb="FFF7EEED"/>
        </patternFill>
      </fill>
    </dxf>
    <dxf>
      <fill>
        <patternFill>
          <bgColor theme="0" tint="-0.14996795556505021"/>
        </patternFill>
      </fill>
    </dxf>
    <dxf>
      <fill>
        <patternFill>
          <bgColor rgb="FFF7EEED"/>
        </patternFill>
      </fill>
    </dxf>
    <dxf>
      <fill>
        <patternFill>
          <bgColor rgb="FFF7EEED"/>
        </patternFill>
      </fill>
    </dxf>
    <dxf>
      <fill>
        <patternFill>
          <bgColor theme="0" tint="-0.24994659260841701"/>
        </patternFill>
      </fill>
    </dxf>
    <dxf>
      <fill>
        <patternFill>
          <bgColor theme="0" tint="-0.14996795556505021"/>
        </patternFill>
      </fill>
    </dxf>
    <dxf>
      <fill>
        <patternFill>
          <bgColor rgb="FFF4E8E8"/>
        </patternFill>
      </fill>
    </dxf>
    <dxf>
      <fill>
        <patternFill>
          <bgColor rgb="FFF4E8E8"/>
        </patternFill>
      </fill>
    </dxf>
    <dxf>
      <fill>
        <patternFill>
          <bgColor rgb="FFF4E8E8"/>
        </patternFill>
      </fill>
    </dxf>
    <dxf>
      <fill>
        <patternFill>
          <bgColor rgb="FFF4E8E8"/>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rgb="FFF4E8E8"/>
        </patternFill>
      </fill>
    </dxf>
    <dxf>
      <fill>
        <patternFill>
          <bgColor rgb="FFF7EEED"/>
        </patternFill>
      </fill>
    </dxf>
    <dxf>
      <fill>
        <patternFill>
          <bgColor rgb="FFF4E8E8"/>
        </patternFill>
      </fill>
    </dxf>
    <dxf>
      <fill>
        <patternFill>
          <bgColor theme="0" tint="-0.24994659260841701"/>
        </patternFill>
      </fill>
    </dxf>
    <dxf>
      <fill>
        <patternFill>
          <bgColor theme="0" tint="-0.24994659260841701"/>
        </patternFill>
      </fill>
    </dxf>
    <dxf>
      <fill>
        <patternFill>
          <bgColor rgb="FFF4E8E8"/>
        </patternFill>
      </fill>
    </dxf>
    <dxf>
      <fill>
        <patternFill>
          <bgColor theme="0" tint="-0.24994659260841701"/>
        </patternFill>
      </fill>
    </dxf>
    <dxf>
      <fill>
        <patternFill>
          <bgColor rgb="FFF4E8E8"/>
        </patternFill>
      </fill>
    </dxf>
    <dxf>
      <fill>
        <patternFill>
          <bgColor rgb="FFF4E8E8"/>
        </patternFill>
      </fill>
    </dxf>
    <dxf>
      <fill>
        <patternFill>
          <bgColor rgb="FFF4E8E8"/>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7EEED"/>
        </patternFill>
      </fill>
    </dxf>
    <dxf>
      <fill>
        <patternFill>
          <bgColor rgb="FFF7EEED"/>
        </patternFill>
      </fill>
    </dxf>
    <dxf>
      <fill>
        <patternFill>
          <bgColor rgb="FFF4E8E8"/>
        </patternFill>
      </fill>
    </dxf>
    <dxf>
      <fill>
        <patternFill>
          <bgColor rgb="FFF7EEED"/>
        </patternFill>
      </fill>
    </dxf>
    <dxf>
      <fill>
        <patternFill>
          <bgColor rgb="FFF4E8E8"/>
        </patternFill>
      </fill>
    </dxf>
    <dxf>
      <fill>
        <patternFill>
          <bgColor theme="0" tint="-0.24994659260841701"/>
        </patternFill>
      </fill>
    </dxf>
    <dxf>
      <fill>
        <patternFill>
          <bgColor theme="0" tint="-0.24994659260841701"/>
        </patternFill>
      </fill>
    </dxf>
    <dxf>
      <fill>
        <patternFill>
          <bgColor rgb="FFF4E8E8"/>
        </patternFill>
      </fill>
    </dxf>
    <dxf>
      <fill>
        <patternFill>
          <bgColor rgb="FFF4E8E8"/>
        </patternFill>
      </fill>
    </dxf>
    <dxf>
      <fill>
        <patternFill>
          <bgColor rgb="FFF4E8E8"/>
        </patternFill>
      </fill>
    </dxf>
    <dxf>
      <fill>
        <patternFill>
          <bgColor rgb="FFF4E8E8"/>
        </patternFill>
      </fill>
    </dxf>
    <dxf>
      <fill>
        <patternFill>
          <bgColor rgb="FFF4E8E8"/>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7EEED"/>
        </patternFill>
      </fill>
    </dxf>
    <dxf>
      <fill>
        <patternFill>
          <bgColor rgb="FFF7EEED"/>
        </patternFill>
      </fill>
    </dxf>
    <dxf>
      <fill>
        <patternFill>
          <bgColor rgb="FFF7EEED"/>
        </patternFill>
      </fill>
    </dxf>
    <dxf>
      <fill>
        <patternFill>
          <bgColor rgb="FFF4E8E8"/>
        </patternFill>
      </fill>
    </dxf>
    <dxf>
      <fill>
        <patternFill>
          <bgColor rgb="FFF7EEED"/>
        </patternFill>
      </fill>
    </dxf>
    <dxf>
      <fill>
        <patternFill>
          <bgColor rgb="FFF4E8E8"/>
        </patternFill>
      </fill>
    </dxf>
    <dxf>
      <fill>
        <patternFill>
          <bgColor theme="0" tint="-0.24994659260841701"/>
        </patternFill>
      </fill>
    </dxf>
    <dxf>
      <fill>
        <patternFill>
          <bgColor theme="0" tint="-0.24994659260841701"/>
        </patternFill>
      </fill>
    </dxf>
    <dxf>
      <fill>
        <patternFill>
          <bgColor rgb="FFF4E8E8"/>
        </patternFill>
      </fill>
    </dxf>
    <dxf>
      <fill>
        <patternFill>
          <bgColor rgb="FFF4E8E8"/>
        </patternFill>
      </fill>
    </dxf>
    <dxf>
      <fill>
        <patternFill>
          <bgColor rgb="FFF4E8E8"/>
        </patternFill>
      </fill>
    </dxf>
    <dxf>
      <fill>
        <patternFill>
          <bgColor rgb="FFF4E8E8"/>
        </patternFill>
      </fill>
    </dxf>
    <dxf>
      <fill>
        <patternFill>
          <bgColor rgb="FFF4E8E8"/>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theme="0" tint="-0.24994659260841701"/>
        </patternFill>
      </fill>
    </dxf>
    <dxf>
      <fill>
        <patternFill>
          <bgColor rgb="FFF4E8E8"/>
        </patternFill>
      </fill>
    </dxf>
    <dxf>
      <fill>
        <patternFill>
          <bgColor rgb="FFF4E8E8"/>
        </patternFill>
      </fill>
    </dxf>
    <dxf>
      <fill>
        <patternFill>
          <bgColor rgb="FFF4E8E8"/>
        </patternFill>
      </fill>
    </dxf>
    <dxf>
      <fill>
        <patternFill>
          <bgColor rgb="FFF4E8E8"/>
        </patternFill>
      </fill>
    </dxf>
    <dxf>
      <fill>
        <patternFill>
          <bgColor rgb="FFF4E8E8"/>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rgb="FFF4E8E8"/>
        </patternFill>
      </fill>
    </dxf>
    <dxf>
      <fill>
        <patternFill>
          <bgColor rgb="FFF7EEED"/>
        </patternFill>
      </fill>
    </dxf>
    <dxf>
      <fill>
        <patternFill>
          <bgColor rgb="FFF4E8E8"/>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4E8E8"/>
        </patternFill>
      </fill>
    </dxf>
    <dxf>
      <fill>
        <patternFill>
          <bgColor theme="0" tint="-0.24994659260841701"/>
        </patternFill>
      </fill>
    </dxf>
    <dxf>
      <fill>
        <patternFill>
          <bgColor rgb="FFF4E8E8"/>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4E8E8"/>
        </patternFill>
      </fill>
    </dxf>
    <dxf>
      <fill>
        <patternFill>
          <bgColor rgb="FFF4E8E8"/>
        </patternFill>
      </fill>
    </dxf>
    <dxf>
      <fill>
        <patternFill>
          <bgColor rgb="FFF4E8E8"/>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7EEED"/>
        </patternFill>
      </fill>
    </dxf>
    <dxf>
      <fill>
        <patternFill>
          <bgColor rgb="FFF7EEED"/>
        </patternFill>
      </fill>
    </dxf>
    <dxf>
      <fill>
        <patternFill>
          <bgColor rgb="FFF7EEED"/>
        </patternFill>
      </fill>
    </dxf>
    <dxf>
      <fill>
        <patternFill>
          <bgColor rgb="FFF4E8E8"/>
        </patternFill>
      </fill>
    </dxf>
    <dxf>
      <fill>
        <patternFill>
          <bgColor rgb="FFF7EEED"/>
        </patternFill>
      </fill>
    </dxf>
    <dxf>
      <fill>
        <patternFill>
          <bgColor rgb="FFF4E8E8"/>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7EEED"/>
        </patternFill>
      </fill>
    </dxf>
    <dxf>
      <fill>
        <patternFill>
          <bgColor rgb="FFF7EEED"/>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rgb="FFF7EEED"/>
        </patternFill>
      </fill>
    </dxf>
    <dxf>
      <fill>
        <patternFill>
          <bgColor rgb="FFF7EEED"/>
        </patternFill>
      </fill>
    </dxf>
    <dxf>
      <fill>
        <patternFill>
          <bgColor theme="0" tint="-0.24994659260841701"/>
        </patternFill>
      </fill>
    </dxf>
    <dxf>
      <fill>
        <patternFill>
          <bgColor rgb="FFF7EEED"/>
        </patternFill>
      </fill>
    </dxf>
    <dxf>
      <fill>
        <patternFill>
          <bgColor rgb="FFF7EEED"/>
        </patternFill>
      </fill>
    </dxf>
    <dxf>
      <fill>
        <patternFill>
          <bgColor theme="0" tint="-0.24994659260841701"/>
        </patternFill>
      </fill>
    </dxf>
    <dxf>
      <fill>
        <patternFill>
          <bgColor rgb="FFF7EEED"/>
        </patternFill>
      </fill>
    </dxf>
    <dxf>
      <fill>
        <patternFill>
          <bgColor rgb="FFF7EEED"/>
        </patternFill>
      </fill>
    </dxf>
    <dxf>
      <fill>
        <patternFill>
          <bgColor theme="0" tint="-0.24994659260841701"/>
        </patternFill>
      </fill>
    </dxf>
    <dxf>
      <fill>
        <patternFill>
          <bgColor rgb="FFF7EEED"/>
        </patternFill>
      </fill>
    </dxf>
    <dxf>
      <fill>
        <patternFill>
          <bgColor rgb="FFF7EEED"/>
        </patternFill>
      </fill>
    </dxf>
    <dxf>
      <fill>
        <patternFill>
          <bgColor theme="0" tint="-0.24994659260841701"/>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theme="0" tint="-0.24994659260841701"/>
        </patternFill>
      </fill>
    </dxf>
    <dxf>
      <fill>
        <patternFill>
          <bgColor rgb="FFF7EEED"/>
        </patternFill>
      </fill>
    </dxf>
    <dxf>
      <fill>
        <patternFill>
          <bgColor rgb="FFF4E8E8"/>
        </patternFill>
      </fill>
    </dxf>
    <dxf>
      <fill>
        <patternFill>
          <bgColor theme="0" tint="-0.24994659260841701"/>
        </patternFill>
      </fill>
    </dxf>
    <dxf>
      <fill>
        <patternFill>
          <bgColor rgb="FFF4E8E8"/>
        </patternFill>
      </fill>
    </dxf>
    <dxf>
      <fill>
        <patternFill>
          <bgColor rgb="FFF4E8E8"/>
        </patternFill>
      </fill>
    </dxf>
    <dxf>
      <fill>
        <patternFill>
          <bgColor theme="0" tint="-0.24994659260841701"/>
        </patternFill>
      </fill>
    </dxf>
    <dxf>
      <fill>
        <patternFill>
          <bgColor rgb="FFF4E8E8"/>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7EEED"/>
        </patternFill>
      </fill>
    </dxf>
    <dxf>
      <fill>
        <patternFill>
          <bgColor theme="0" tint="-0.14996795556505021"/>
        </patternFill>
      </fill>
    </dxf>
    <dxf>
      <fill>
        <patternFill>
          <bgColor rgb="FFF7EEED"/>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7EEED"/>
        </patternFill>
      </fill>
    </dxf>
    <dxf>
      <fill>
        <patternFill>
          <bgColor theme="0" tint="-0.14996795556505021"/>
        </patternFill>
      </fill>
    </dxf>
    <dxf>
      <fill>
        <patternFill>
          <bgColor theme="0" tint="-0.14996795556505021"/>
        </patternFill>
      </fill>
    </dxf>
    <dxf>
      <fill>
        <patternFill>
          <bgColor rgb="FFF7EEED"/>
        </patternFill>
      </fill>
    </dxf>
    <dxf>
      <fill>
        <patternFill>
          <bgColor theme="0" tint="-0.14996795556505021"/>
        </patternFill>
      </fill>
    </dxf>
    <dxf>
      <fill>
        <patternFill>
          <bgColor theme="0" tint="-0.14996795556505021"/>
        </patternFill>
      </fill>
    </dxf>
    <dxf>
      <fill>
        <patternFill>
          <bgColor rgb="FFF7EEED"/>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rgb="FFF4E8E8"/>
        </patternFill>
      </fill>
    </dxf>
    <dxf>
      <fill>
        <patternFill>
          <bgColor rgb="FFF4E8E8"/>
        </patternFill>
      </fill>
    </dxf>
    <dxf>
      <fill>
        <patternFill>
          <bgColor rgb="FFF4E8E8"/>
        </patternFill>
      </fill>
    </dxf>
    <dxf>
      <fill>
        <patternFill>
          <bgColor rgb="FFF4E8E8"/>
        </patternFill>
      </fill>
    </dxf>
    <dxf>
      <fill>
        <patternFill>
          <bgColor rgb="FFF4E8E8"/>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rgb="FFF4E8E8"/>
        </patternFill>
      </fill>
    </dxf>
    <dxf>
      <fill>
        <patternFill>
          <bgColor rgb="FFF7EEED"/>
        </patternFill>
      </fill>
    </dxf>
    <dxf>
      <fill>
        <patternFill>
          <bgColor rgb="FFF4E8E8"/>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7EEED"/>
        </patternFill>
      </fill>
    </dxf>
    <dxf>
      <fill>
        <patternFill>
          <bgColor rgb="FFF7EEED"/>
        </patternFill>
      </fill>
    </dxf>
    <dxf>
      <fill>
        <patternFill>
          <bgColor theme="0" tint="-0.24994659260841701"/>
        </patternFill>
      </fill>
    </dxf>
    <dxf>
      <fill>
        <patternFill>
          <bgColor rgb="FFF7EEED"/>
        </patternFill>
      </fill>
    </dxf>
    <dxf>
      <fill>
        <patternFill>
          <bgColor rgb="FFF7EEED"/>
        </patternFill>
      </fill>
    </dxf>
    <dxf>
      <fill>
        <patternFill>
          <bgColor theme="0" tint="-0.24994659260841701"/>
        </patternFill>
      </fill>
    </dxf>
    <dxf>
      <fill>
        <patternFill>
          <bgColor rgb="FFF7EEED"/>
        </patternFill>
      </fill>
    </dxf>
    <dxf>
      <fill>
        <patternFill>
          <bgColor rgb="FFF7EEED"/>
        </patternFill>
      </fill>
    </dxf>
    <dxf>
      <fill>
        <patternFill>
          <bgColor rgb="FFF4E8E8"/>
        </patternFill>
      </fill>
    </dxf>
    <dxf>
      <fill>
        <patternFill>
          <bgColor rgb="FFF4E8E8"/>
        </patternFill>
      </fill>
    </dxf>
    <dxf>
      <fill>
        <patternFill>
          <bgColor rgb="FFF4E8E8"/>
        </patternFill>
      </fill>
    </dxf>
    <dxf>
      <fill>
        <patternFill>
          <bgColor rgb="FFF4E8E8"/>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theme="0" tint="-0.14996795556505021"/>
        </patternFill>
      </fill>
    </dxf>
    <dxf>
      <fill>
        <patternFill>
          <bgColor theme="0" tint="-0.24994659260841701"/>
        </patternFill>
      </fill>
    </dxf>
    <dxf>
      <fill>
        <patternFill>
          <bgColor rgb="FFF7EEED"/>
        </patternFill>
      </fill>
    </dxf>
    <dxf>
      <fill>
        <patternFill>
          <bgColor theme="0" tint="-0.14996795556505021"/>
        </patternFill>
      </fill>
    </dxf>
    <dxf>
      <fill>
        <patternFill>
          <bgColor rgb="FFF4E8E8"/>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theme="0" tint="-0.24994659260841701"/>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theme="0" tint="-0.24994659260841701"/>
        </patternFill>
      </fill>
    </dxf>
    <dxf>
      <fill>
        <patternFill>
          <bgColor rgb="FFF7EEED"/>
        </patternFill>
      </fill>
    </dxf>
    <dxf>
      <fill>
        <patternFill>
          <bgColor rgb="FFF4E8E8"/>
        </patternFill>
      </fill>
    </dxf>
    <dxf>
      <fill>
        <patternFill>
          <bgColor rgb="FFF4E8E8"/>
        </patternFill>
      </fill>
    </dxf>
    <dxf>
      <fill>
        <patternFill>
          <bgColor rgb="FFF4E8E8"/>
        </patternFill>
      </fill>
    </dxf>
    <dxf>
      <fill>
        <patternFill>
          <bgColor theme="0" tint="-0.24994659260841701"/>
        </patternFill>
      </fill>
    </dxf>
    <dxf>
      <fill>
        <patternFill>
          <bgColor rgb="FFF4E8E8"/>
        </patternFill>
      </fill>
    </dxf>
    <dxf>
      <fill>
        <patternFill>
          <bgColor rgb="FFF4E8E8"/>
        </patternFill>
      </fill>
    </dxf>
    <dxf>
      <fill>
        <patternFill>
          <bgColor rgb="FFF7EEED"/>
        </patternFill>
      </fill>
    </dxf>
    <dxf>
      <fill>
        <patternFill>
          <bgColor rgb="FFF7EEED"/>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rgb="FFF7EEED"/>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rgb="FFF7EEED"/>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rgb="FFF7EEED"/>
        </patternFill>
      </fill>
    </dxf>
    <dxf>
      <fill>
        <patternFill>
          <bgColor theme="0" tint="-0.24994659260841701"/>
        </patternFill>
      </fill>
    </dxf>
    <dxf>
      <fill>
        <patternFill>
          <bgColor rgb="FFF7EEED"/>
        </patternFill>
      </fill>
    </dxf>
    <dxf>
      <fill>
        <patternFill>
          <bgColor theme="0" tint="-0.14996795556505021"/>
        </patternFill>
      </fill>
    </dxf>
    <dxf>
      <fill>
        <patternFill>
          <bgColor rgb="FFF7EEED"/>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rgb="FFF7EEED"/>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7EEED"/>
        </patternFill>
      </fill>
    </dxf>
    <dxf>
      <fill>
        <patternFill>
          <bgColor rgb="FFF4E8E8"/>
        </patternFill>
      </fill>
    </dxf>
    <dxf>
      <fill>
        <patternFill>
          <bgColor theme="0" tint="-0.24994659260841701"/>
        </patternFill>
      </fill>
    </dxf>
    <dxf>
      <fill>
        <patternFill>
          <bgColor theme="0" tint="-0.24994659260841701"/>
        </patternFill>
      </fill>
    </dxf>
    <dxf>
      <fill>
        <patternFill>
          <bgColor rgb="FFF7EEED"/>
        </patternFill>
      </fill>
    </dxf>
    <dxf>
      <fill>
        <patternFill>
          <bgColor rgb="FFF7EEED"/>
        </patternFill>
      </fill>
    </dxf>
    <dxf>
      <fill>
        <patternFill>
          <bgColor rgb="FFF7EEED"/>
        </patternFill>
      </fill>
    </dxf>
    <dxf>
      <fill>
        <patternFill>
          <bgColor theme="0" tint="-0.24994659260841701"/>
        </patternFill>
      </fill>
    </dxf>
    <dxf>
      <fill>
        <patternFill>
          <bgColor rgb="FFF7EEED"/>
        </patternFill>
      </fill>
    </dxf>
    <dxf>
      <fill>
        <patternFill>
          <bgColor rgb="FFF4E8E8"/>
        </patternFill>
      </fill>
    </dxf>
    <dxf>
      <fill>
        <patternFill>
          <bgColor rgb="FFF4E8E8"/>
        </patternFill>
      </fill>
    </dxf>
    <dxf>
      <fill>
        <patternFill>
          <bgColor rgb="FFF4E8E8"/>
        </patternFill>
      </fill>
    </dxf>
    <dxf>
      <fill>
        <patternFill>
          <bgColor theme="0" tint="-0.24994659260841701"/>
        </patternFill>
      </fill>
    </dxf>
    <dxf>
      <fill>
        <patternFill>
          <bgColor rgb="FFF4E8E8"/>
        </patternFill>
      </fill>
    </dxf>
    <dxf>
      <fill>
        <patternFill>
          <bgColor rgb="FFF4E8E8"/>
        </patternFill>
      </fill>
    </dxf>
    <dxf>
      <fill>
        <patternFill>
          <bgColor rgb="FFF7EEED"/>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rgb="FFF7EEED"/>
        </patternFill>
      </fill>
    </dxf>
    <dxf>
      <fill>
        <patternFill>
          <bgColor theme="0" tint="-0.24994659260841701"/>
        </patternFill>
      </fill>
    </dxf>
    <dxf>
      <fill>
        <patternFill>
          <bgColor rgb="FFF7EEED"/>
        </patternFill>
      </fill>
    </dxf>
    <dxf>
      <fill>
        <patternFill>
          <bgColor rgb="FFF4E8E8"/>
        </patternFill>
      </fill>
    </dxf>
    <dxf>
      <fill>
        <patternFill>
          <bgColor rgb="FFF7EEED"/>
        </patternFill>
      </fill>
    </dxf>
    <dxf>
      <fill>
        <patternFill>
          <bgColor rgb="FFF4E8E8"/>
        </patternFill>
      </fill>
    </dxf>
    <dxf>
      <fill>
        <patternFill>
          <bgColor theme="0" tint="-0.24994659260841701"/>
        </patternFill>
      </fill>
    </dxf>
    <dxf>
      <fill>
        <patternFill>
          <bgColor theme="0" tint="-0.24994659260841701"/>
        </patternFill>
      </fill>
    </dxf>
    <dxf>
      <fill>
        <patternFill>
          <bgColor rgb="FFF4E8E8"/>
        </patternFill>
      </fill>
    </dxf>
    <dxf>
      <fill>
        <patternFill>
          <bgColor theme="0" tint="-0.24994659260841701"/>
        </patternFill>
      </fill>
    </dxf>
    <dxf>
      <fill>
        <patternFill>
          <bgColor theme="0" tint="-0.24994659260841701"/>
        </patternFill>
      </fill>
    </dxf>
    <dxf>
      <fill>
        <patternFill>
          <bgColor rgb="FFF7EEED"/>
        </patternFill>
      </fill>
    </dxf>
    <dxf>
      <fill>
        <patternFill>
          <bgColor theme="0" tint="-0.14996795556505021"/>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theme="0" tint="-0.24994659260841701"/>
        </patternFill>
      </fill>
    </dxf>
    <dxf>
      <fill>
        <patternFill>
          <bgColor rgb="FFF7EEED"/>
        </patternFill>
      </fill>
    </dxf>
    <dxf>
      <fill>
        <patternFill>
          <bgColor rgb="FFECF9E7"/>
        </patternFill>
      </fill>
    </dxf>
    <dxf>
      <fill>
        <patternFill>
          <bgColor rgb="FFECF9E7"/>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rgb="FFF7EEED"/>
        </patternFill>
      </fill>
    </dxf>
    <dxf>
      <fill>
        <patternFill>
          <bgColor rgb="FFF7EEED"/>
        </patternFill>
      </fill>
    </dxf>
    <dxf>
      <fill>
        <patternFill>
          <bgColor rgb="FFF7EEED"/>
        </patternFill>
      </fill>
    </dxf>
    <dxf>
      <fill>
        <patternFill>
          <bgColor theme="0" tint="-0.24994659260841701"/>
        </patternFill>
      </fill>
    </dxf>
    <dxf>
      <fill>
        <patternFill>
          <bgColor rgb="FFF7EEED"/>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rgb="FFF7EEED"/>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EDAFC"/>
      <color rgb="FFE6FEF6"/>
      <color rgb="FFFC7CF6"/>
      <color rgb="FFFC64F5"/>
      <color rgb="FFF60000"/>
      <color rgb="FF50746A"/>
      <color rgb="FF847E62"/>
      <color rgb="FFBCB8A4"/>
      <color rgb="FF8DCEEB"/>
      <color rgb="FF5C86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8" Type="http://schemas.openxmlformats.org/officeDocument/2006/relationships/hyperlink" Target="#AML!A1"/><Relationship Id="rId13" Type="http://schemas.openxmlformats.org/officeDocument/2006/relationships/hyperlink" Target="#SOA!A1"/><Relationship Id="rId18" Type="http://schemas.openxmlformats.org/officeDocument/2006/relationships/hyperlink" Target="#GC!A1"/><Relationship Id="rId3" Type="http://schemas.openxmlformats.org/officeDocument/2006/relationships/image" Target="../media/image1.png"/><Relationship Id="rId21" Type="http://schemas.openxmlformats.org/officeDocument/2006/relationships/hyperlink" Target="#IT!A1"/><Relationship Id="rId7" Type="http://schemas.openxmlformats.org/officeDocument/2006/relationships/hyperlink" Target="#IB!A1"/><Relationship Id="rId12" Type="http://schemas.openxmlformats.org/officeDocument/2006/relationships/hyperlink" Target="#BI!A1"/><Relationship Id="rId17" Type="http://schemas.openxmlformats.org/officeDocument/2006/relationships/hyperlink" Target="#Achats!A1"/><Relationship Id="rId25" Type="http://schemas.openxmlformats.org/officeDocument/2006/relationships/hyperlink" Target="#Contracts!A1"/><Relationship Id="rId2" Type="http://schemas.openxmlformats.org/officeDocument/2006/relationships/hyperlink" Target="#LOS!A1"/><Relationship Id="rId16" Type="http://schemas.openxmlformats.org/officeDocument/2006/relationships/hyperlink" Target="#'ERP2'!A1"/><Relationship Id="rId20" Type="http://schemas.openxmlformats.org/officeDocument/2006/relationships/hyperlink" Target="#Others!A1"/><Relationship Id="rId1" Type="http://schemas.openxmlformats.org/officeDocument/2006/relationships/hyperlink" Target="#CBS!A1"/><Relationship Id="rId6" Type="http://schemas.openxmlformats.org/officeDocument/2006/relationships/hyperlink" Target="#MB!A1"/><Relationship Id="rId11" Type="http://schemas.openxmlformats.org/officeDocument/2006/relationships/hyperlink" Target="#DocM!A1"/><Relationship Id="rId24" Type="http://schemas.openxmlformats.org/officeDocument/2006/relationships/hyperlink" Target="#Projets!A1"/><Relationship Id="rId5" Type="http://schemas.openxmlformats.org/officeDocument/2006/relationships/hyperlink" Target="#AB!A1"/><Relationship Id="rId15" Type="http://schemas.openxmlformats.org/officeDocument/2006/relationships/hyperlink" Target="#'ERP1'!A1"/><Relationship Id="rId23" Type="http://schemas.openxmlformats.org/officeDocument/2006/relationships/hyperlink" Target="#Secu!A1"/><Relationship Id="rId10" Type="http://schemas.openxmlformats.org/officeDocument/2006/relationships/hyperlink" Target="#CRM!A1"/><Relationship Id="rId19" Type="http://schemas.openxmlformats.org/officeDocument/2006/relationships/hyperlink" Target="#Mail!A1"/><Relationship Id="rId4" Type="http://schemas.openxmlformats.org/officeDocument/2006/relationships/image" Target="../media/image2.png"/><Relationship Id="rId9" Type="http://schemas.openxmlformats.org/officeDocument/2006/relationships/hyperlink" Target="#Collect!A1"/><Relationship Id="rId14" Type="http://schemas.openxmlformats.org/officeDocument/2006/relationships/hyperlink" Target="#CC!A1"/><Relationship Id="rId22" Type="http://schemas.openxmlformats.org/officeDocument/2006/relationships/hyperlink" Target="#QG!A1"/></Relationships>
</file>

<file path=xl/drawings/_rels/drawing2.xml.rels><?xml version="1.0" encoding="UTF-8" standalone="yes"?>
<Relationships xmlns="http://schemas.openxmlformats.org/package/2006/relationships"><Relationship Id="rId1" Type="http://schemas.openxmlformats.org/officeDocument/2006/relationships/hyperlink" Target="#Projets!A1"/></Relationships>
</file>

<file path=xl/drawings/drawing1.xml><?xml version="1.0" encoding="utf-8"?>
<xdr:wsDr xmlns:xdr="http://schemas.openxmlformats.org/drawingml/2006/spreadsheetDrawing" xmlns:a="http://schemas.openxmlformats.org/drawingml/2006/main">
  <xdr:twoCellAnchor>
    <xdr:from>
      <xdr:col>2</xdr:col>
      <xdr:colOff>9524</xdr:colOff>
      <xdr:row>7</xdr:row>
      <xdr:rowOff>9526</xdr:rowOff>
    </xdr:from>
    <xdr:to>
      <xdr:col>3</xdr:col>
      <xdr:colOff>9525</xdr:colOff>
      <xdr:row>8</xdr:row>
      <xdr:rowOff>0</xdr:rowOff>
    </xdr:to>
    <xdr:sp macro="" textlink="">
      <xdr:nvSpPr>
        <xdr:cNvPr id="2" name="Rectangle à coins arrondis 13">
          <a:hlinkClick xmlns:r="http://schemas.openxmlformats.org/officeDocument/2006/relationships" r:id="rId1"/>
          <a:extLst>
            <a:ext uri="{FF2B5EF4-FFF2-40B4-BE49-F238E27FC236}">
              <a16:creationId xmlns:a16="http://schemas.microsoft.com/office/drawing/2014/main" id="{45A927DD-E1C8-453D-A7B6-6B8EE4C57BA7}"/>
            </a:ext>
          </a:extLst>
        </xdr:cNvPr>
        <xdr:cNvSpPr/>
      </xdr:nvSpPr>
      <xdr:spPr>
        <a:xfrm>
          <a:off x="1019174" y="2105026"/>
          <a:ext cx="942976" cy="266699"/>
        </a:xfrm>
        <a:prstGeom prst="roundRect">
          <a:avLst/>
        </a:prstGeom>
        <a:solidFill>
          <a:schemeClr val="accent6">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tIns="36000" bIns="36000" rtlCol="0" anchor="ctr" anchorCtr="1"/>
        <a:lstStyle/>
        <a:p>
          <a:pPr algn="ctr"/>
          <a:r>
            <a:rPr lang="fr-FR" sz="1200" b="1">
              <a:solidFill>
                <a:schemeClr val="bg1"/>
              </a:solidFill>
            </a:rPr>
            <a:t>CBS</a:t>
          </a:r>
        </a:p>
      </xdr:txBody>
    </xdr:sp>
    <xdr:clientData/>
  </xdr:twoCellAnchor>
  <xdr:twoCellAnchor>
    <xdr:from>
      <xdr:col>2</xdr:col>
      <xdr:colOff>9524</xdr:colOff>
      <xdr:row>9</xdr:row>
      <xdr:rowOff>9526</xdr:rowOff>
    </xdr:from>
    <xdr:to>
      <xdr:col>3</xdr:col>
      <xdr:colOff>9525</xdr:colOff>
      <xdr:row>10</xdr:row>
      <xdr:rowOff>0</xdr:rowOff>
    </xdr:to>
    <xdr:sp macro="" textlink="">
      <xdr:nvSpPr>
        <xdr:cNvPr id="5" name="Rectangle à coins arrondis 13">
          <a:hlinkClick xmlns:r="http://schemas.openxmlformats.org/officeDocument/2006/relationships" r:id="rId2"/>
          <a:extLst>
            <a:ext uri="{FF2B5EF4-FFF2-40B4-BE49-F238E27FC236}">
              <a16:creationId xmlns:a16="http://schemas.microsoft.com/office/drawing/2014/main" id="{D30E5AA8-9C09-49A0-A7C2-4C989A40172D}"/>
            </a:ext>
          </a:extLst>
        </xdr:cNvPr>
        <xdr:cNvSpPr/>
      </xdr:nvSpPr>
      <xdr:spPr>
        <a:xfrm>
          <a:off x="1019174" y="2381251"/>
          <a:ext cx="942976" cy="266699"/>
        </a:xfrm>
        <a:prstGeom prst="roundRect">
          <a:avLst/>
        </a:prstGeom>
        <a:solidFill>
          <a:schemeClr val="accent2">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tIns="36000" bIns="36000" rtlCol="0" anchor="ctr" anchorCtr="1"/>
        <a:lstStyle/>
        <a:p>
          <a:pPr algn="ctr"/>
          <a:r>
            <a:rPr lang="fr-FR" sz="1200" b="1">
              <a:solidFill>
                <a:schemeClr val="bg1"/>
              </a:solidFill>
            </a:rPr>
            <a:t>LOS</a:t>
          </a:r>
        </a:p>
      </xdr:txBody>
    </xdr:sp>
    <xdr:clientData/>
  </xdr:twoCellAnchor>
  <xdr:twoCellAnchor editAs="oneCell">
    <xdr:from>
      <xdr:col>0</xdr:col>
      <xdr:colOff>0</xdr:colOff>
      <xdr:row>0</xdr:row>
      <xdr:rowOff>44450</xdr:rowOff>
    </xdr:from>
    <xdr:to>
      <xdr:col>2</xdr:col>
      <xdr:colOff>1038225</xdr:colOff>
      <xdr:row>0</xdr:row>
      <xdr:rowOff>874676</xdr:rowOff>
    </xdr:to>
    <xdr:pic>
      <xdr:nvPicPr>
        <xdr:cNvPr id="6" name="Picture 4" descr="EIB, COFINA Sign €26M Deal to Boost Sustainable Agriculture | News Ghana">
          <a:extLst>
            <a:ext uri="{FF2B5EF4-FFF2-40B4-BE49-F238E27FC236}">
              <a16:creationId xmlns:a16="http://schemas.microsoft.com/office/drawing/2014/main" id="{6D25F3AD-F1D2-982E-5810-91A440259FD1}"/>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8512"/>
        <a:stretch/>
      </xdr:blipFill>
      <xdr:spPr bwMode="auto">
        <a:xfrm>
          <a:off x="0" y="44450"/>
          <a:ext cx="2047875" cy="8302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444500</xdr:colOff>
      <xdr:row>0</xdr:row>
      <xdr:rowOff>15875</xdr:rowOff>
    </xdr:from>
    <xdr:to>
      <xdr:col>16</xdr:col>
      <xdr:colOff>1343025</xdr:colOff>
      <xdr:row>1</xdr:row>
      <xdr:rowOff>36841</xdr:rowOff>
    </xdr:to>
    <xdr:pic>
      <xdr:nvPicPr>
        <xdr:cNvPr id="7" name="Picture 19">
          <a:extLst>
            <a:ext uri="{FF2B5EF4-FFF2-40B4-BE49-F238E27FC236}">
              <a16:creationId xmlns:a16="http://schemas.microsoft.com/office/drawing/2014/main" id="{3CD26FC4-9A59-F10B-CFC4-B31EE8FB605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226800" y="15875"/>
          <a:ext cx="1504950" cy="925841"/>
        </a:xfrm>
        <a:prstGeom prst="rect">
          <a:avLst/>
        </a:prstGeom>
      </xdr:spPr>
    </xdr:pic>
    <xdr:clientData/>
  </xdr:twoCellAnchor>
  <xdr:twoCellAnchor>
    <xdr:from>
      <xdr:col>2</xdr:col>
      <xdr:colOff>9524</xdr:colOff>
      <xdr:row>10</xdr:row>
      <xdr:rowOff>9526</xdr:rowOff>
    </xdr:from>
    <xdr:to>
      <xdr:col>3</xdr:col>
      <xdr:colOff>9525</xdr:colOff>
      <xdr:row>11</xdr:row>
      <xdr:rowOff>0</xdr:rowOff>
    </xdr:to>
    <xdr:sp macro="" textlink="">
      <xdr:nvSpPr>
        <xdr:cNvPr id="8" name="Rectangle à coins arrondis 13">
          <a:hlinkClick xmlns:r="http://schemas.openxmlformats.org/officeDocument/2006/relationships" r:id="rId5"/>
          <a:extLst>
            <a:ext uri="{FF2B5EF4-FFF2-40B4-BE49-F238E27FC236}">
              <a16:creationId xmlns:a16="http://schemas.microsoft.com/office/drawing/2014/main" id="{C5A1CB34-682E-4F81-A4C4-035F5DDC0B37}"/>
            </a:ext>
          </a:extLst>
        </xdr:cNvPr>
        <xdr:cNvSpPr/>
      </xdr:nvSpPr>
      <xdr:spPr>
        <a:xfrm>
          <a:off x="1019174" y="2657476"/>
          <a:ext cx="942976" cy="266699"/>
        </a:xfrm>
        <a:prstGeom prst="roundRect">
          <a:avLst/>
        </a:prstGeom>
        <a:solidFill>
          <a:schemeClr val="accent4">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tIns="36000" bIns="36000" rtlCol="0" anchor="ctr" anchorCtr="1"/>
        <a:lstStyle/>
        <a:p>
          <a:pPr algn="ctr"/>
          <a:r>
            <a:rPr lang="fr-FR" sz="1200" b="1">
              <a:solidFill>
                <a:schemeClr val="bg1"/>
              </a:solidFill>
            </a:rPr>
            <a:t>AB</a:t>
          </a:r>
        </a:p>
      </xdr:txBody>
    </xdr:sp>
    <xdr:clientData/>
  </xdr:twoCellAnchor>
  <xdr:twoCellAnchor>
    <xdr:from>
      <xdr:col>2</xdr:col>
      <xdr:colOff>9524</xdr:colOff>
      <xdr:row>11</xdr:row>
      <xdr:rowOff>9526</xdr:rowOff>
    </xdr:from>
    <xdr:to>
      <xdr:col>3</xdr:col>
      <xdr:colOff>9525</xdr:colOff>
      <xdr:row>12</xdr:row>
      <xdr:rowOff>0</xdr:rowOff>
    </xdr:to>
    <xdr:sp macro="" textlink="">
      <xdr:nvSpPr>
        <xdr:cNvPr id="9" name="Rectangle à coins arrondis 13">
          <a:hlinkClick xmlns:r="http://schemas.openxmlformats.org/officeDocument/2006/relationships" r:id="rId6"/>
          <a:extLst>
            <a:ext uri="{FF2B5EF4-FFF2-40B4-BE49-F238E27FC236}">
              <a16:creationId xmlns:a16="http://schemas.microsoft.com/office/drawing/2014/main" id="{6D51F874-3B8A-4B61-A1C6-B697840C37BA}"/>
            </a:ext>
          </a:extLst>
        </xdr:cNvPr>
        <xdr:cNvSpPr/>
      </xdr:nvSpPr>
      <xdr:spPr>
        <a:xfrm>
          <a:off x="1019174" y="2933701"/>
          <a:ext cx="942976" cy="266699"/>
        </a:xfrm>
        <a:prstGeom prst="roundRect">
          <a:avLst/>
        </a:prstGeom>
        <a:solidFill>
          <a:schemeClr val="accent5">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tIns="36000" bIns="36000" rtlCol="0" anchor="ctr" anchorCtr="1"/>
        <a:lstStyle/>
        <a:p>
          <a:pPr algn="ctr"/>
          <a:r>
            <a:rPr lang="fr-FR" sz="1200" b="1">
              <a:solidFill>
                <a:schemeClr val="bg1"/>
              </a:solidFill>
            </a:rPr>
            <a:t>MB</a:t>
          </a:r>
        </a:p>
      </xdr:txBody>
    </xdr:sp>
    <xdr:clientData/>
  </xdr:twoCellAnchor>
  <xdr:twoCellAnchor>
    <xdr:from>
      <xdr:col>2</xdr:col>
      <xdr:colOff>9524</xdr:colOff>
      <xdr:row>12</xdr:row>
      <xdr:rowOff>9526</xdr:rowOff>
    </xdr:from>
    <xdr:to>
      <xdr:col>3</xdr:col>
      <xdr:colOff>9525</xdr:colOff>
      <xdr:row>13</xdr:row>
      <xdr:rowOff>0</xdr:rowOff>
    </xdr:to>
    <xdr:sp macro="" textlink="">
      <xdr:nvSpPr>
        <xdr:cNvPr id="3" name="Rectangle à coins arrondis 13">
          <a:hlinkClick xmlns:r="http://schemas.openxmlformats.org/officeDocument/2006/relationships" r:id="rId7"/>
          <a:extLst>
            <a:ext uri="{FF2B5EF4-FFF2-40B4-BE49-F238E27FC236}">
              <a16:creationId xmlns:a16="http://schemas.microsoft.com/office/drawing/2014/main" id="{26A93EF5-1044-46B0-9023-01F4FDE54210}"/>
            </a:ext>
          </a:extLst>
        </xdr:cNvPr>
        <xdr:cNvSpPr/>
      </xdr:nvSpPr>
      <xdr:spPr>
        <a:xfrm>
          <a:off x="1019174" y="3209926"/>
          <a:ext cx="942976" cy="266699"/>
        </a:xfrm>
        <a:prstGeom prst="roundRect">
          <a:avLst/>
        </a:prstGeom>
        <a:solidFill>
          <a:schemeClr val="accent2">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tIns="36000" bIns="36000" rtlCol="0" anchor="ctr" anchorCtr="1"/>
        <a:lstStyle/>
        <a:p>
          <a:pPr algn="ctr"/>
          <a:r>
            <a:rPr lang="fr-FR" sz="1200" b="1">
              <a:solidFill>
                <a:schemeClr val="bg1"/>
              </a:solidFill>
            </a:rPr>
            <a:t>IB</a:t>
          </a:r>
        </a:p>
      </xdr:txBody>
    </xdr:sp>
    <xdr:clientData/>
  </xdr:twoCellAnchor>
  <xdr:twoCellAnchor>
    <xdr:from>
      <xdr:col>2</xdr:col>
      <xdr:colOff>9524</xdr:colOff>
      <xdr:row>13</xdr:row>
      <xdr:rowOff>9526</xdr:rowOff>
    </xdr:from>
    <xdr:to>
      <xdr:col>3</xdr:col>
      <xdr:colOff>9525</xdr:colOff>
      <xdr:row>14</xdr:row>
      <xdr:rowOff>0</xdr:rowOff>
    </xdr:to>
    <xdr:sp macro="" textlink="">
      <xdr:nvSpPr>
        <xdr:cNvPr id="4" name="Rectangle à coins arrondis 13">
          <a:hlinkClick xmlns:r="http://schemas.openxmlformats.org/officeDocument/2006/relationships" r:id="rId8"/>
          <a:extLst>
            <a:ext uri="{FF2B5EF4-FFF2-40B4-BE49-F238E27FC236}">
              <a16:creationId xmlns:a16="http://schemas.microsoft.com/office/drawing/2014/main" id="{15ADFA36-9F08-468D-8616-CCB264493C74}"/>
            </a:ext>
          </a:extLst>
        </xdr:cNvPr>
        <xdr:cNvSpPr/>
      </xdr:nvSpPr>
      <xdr:spPr>
        <a:xfrm>
          <a:off x="1019174" y="3486151"/>
          <a:ext cx="942976" cy="266699"/>
        </a:xfrm>
        <a:prstGeom prst="roundRect">
          <a:avLst/>
        </a:prstGeom>
        <a:solidFill>
          <a:schemeClr val="tx2">
            <a:lumMod val="50000"/>
            <a:lumOff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tIns="36000" bIns="36000" rtlCol="0" anchor="ctr" anchorCtr="1"/>
        <a:lstStyle/>
        <a:p>
          <a:pPr algn="ctr"/>
          <a:r>
            <a:rPr lang="fr-FR" sz="1200" b="1">
              <a:solidFill>
                <a:schemeClr val="bg1"/>
              </a:solidFill>
            </a:rPr>
            <a:t>AML</a:t>
          </a:r>
        </a:p>
      </xdr:txBody>
    </xdr:sp>
    <xdr:clientData/>
  </xdr:twoCellAnchor>
  <xdr:twoCellAnchor>
    <xdr:from>
      <xdr:col>2</xdr:col>
      <xdr:colOff>9524</xdr:colOff>
      <xdr:row>14</xdr:row>
      <xdr:rowOff>9526</xdr:rowOff>
    </xdr:from>
    <xdr:to>
      <xdr:col>3</xdr:col>
      <xdr:colOff>9525</xdr:colOff>
      <xdr:row>15</xdr:row>
      <xdr:rowOff>0</xdr:rowOff>
    </xdr:to>
    <xdr:sp macro="" textlink="">
      <xdr:nvSpPr>
        <xdr:cNvPr id="10" name="Rectangle à coins arrondis 13">
          <a:hlinkClick xmlns:r="http://schemas.openxmlformats.org/officeDocument/2006/relationships" r:id="rId9"/>
          <a:extLst>
            <a:ext uri="{FF2B5EF4-FFF2-40B4-BE49-F238E27FC236}">
              <a16:creationId xmlns:a16="http://schemas.microsoft.com/office/drawing/2014/main" id="{260C1D95-D95F-490A-91D0-7655839C99D7}"/>
            </a:ext>
          </a:extLst>
        </xdr:cNvPr>
        <xdr:cNvSpPr/>
      </xdr:nvSpPr>
      <xdr:spPr>
        <a:xfrm>
          <a:off x="1019174" y="3762376"/>
          <a:ext cx="942976" cy="266699"/>
        </a:xfrm>
        <a:prstGeom prst="roundRect">
          <a:avLst/>
        </a:prstGeom>
        <a:solidFill>
          <a:srgbClr val="FF9933"/>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tIns="36000" bIns="36000" rtlCol="0" anchor="ctr" anchorCtr="1"/>
        <a:lstStyle/>
        <a:p>
          <a:pPr algn="ctr"/>
          <a:r>
            <a:rPr lang="fr-FR" sz="1200" b="1">
              <a:solidFill>
                <a:schemeClr val="bg1"/>
              </a:solidFill>
            </a:rPr>
            <a:t>Collect</a:t>
          </a:r>
        </a:p>
      </xdr:txBody>
    </xdr:sp>
    <xdr:clientData/>
  </xdr:twoCellAnchor>
  <xdr:twoCellAnchor>
    <xdr:from>
      <xdr:col>2</xdr:col>
      <xdr:colOff>9524</xdr:colOff>
      <xdr:row>15</xdr:row>
      <xdr:rowOff>9526</xdr:rowOff>
    </xdr:from>
    <xdr:to>
      <xdr:col>3</xdr:col>
      <xdr:colOff>9525</xdr:colOff>
      <xdr:row>16</xdr:row>
      <xdr:rowOff>0</xdr:rowOff>
    </xdr:to>
    <xdr:sp macro="" textlink="">
      <xdr:nvSpPr>
        <xdr:cNvPr id="11" name="Rectangle à coins arrondis 13">
          <a:hlinkClick xmlns:r="http://schemas.openxmlformats.org/officeDocument/2006/relationships" r:id="rId10"/>
          <a:extLst>
            <a:ext uri="{FF2B5EF4-FFF2-40B4-BE49-F238E27FC236}">
              <a16:creationId xmlns:a16="http://schemas.microsoft.com/office/drawing/2014/main" id="{8408FCDE-3916-4069-9BEB-8F52FFB11A1E}"/>
            </a:ext>
          </a:extLst>
        </xdr:cNvPr>
        <xdr:cNvSpPr/>
      </xdr:nvSpPr>
      <xdr:spPr>
        <a:xfrm>
          <a:off x="1019174" y="4038601"/>
          <a:ext cx="942976" cy="266699"/>
        </a:xfrm>
        <a:prstGeom prst="roundRect">
          <a:avLst/>
        </a:prstGeom>
        <a:solidFill>
          <a:srgbClr val="DB4BCA"/>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tIns="36000" bIns="36000" rtlCol="0" anchor="ctr" anchorCtr="1"/>
        <a:lstStyle/>
        <a:p>
          <a:pPr algn="ctr"/>
          <a:r>
            <a:rPr lang="fr-FR" sz="1200" b="1">
              <a:solidFill>
                <a:schemeClr val="bg1"/>
              </a:solidFill>
            </a:rPr>
            <a:t>CRM</a:t>
          </a:r>
        </a:p>
      </xdr:txBody>
    </xdr:sp>
    <xdr:clientData/>
  </xdr:twoCellAnchor>
  <xdr:twoCellAnchor>
    <xdr:from>
      <xdr:col>2</xdr:col>
      <xdr:colOff>9524</xdr:colOff>
      <xdr:row>17</xdr:row>
      <xdr:rowOff>9526</xdr:rowOff>
    </xdr:from>
    <xdr:to>
      <xdr:col>3</xdr:col>
      <xdr:colOff>9525</xdr:colOff>
      <xdr:row>18</xdr:row>
      <xdr:rowOff>0</xdr:rowOff>
    </xdr:to>
    <xdr:sp macro="" textlink="">
      <xdr:nvSpPr>
        <xdr:cNvPr id="12" name="Rectangle à coins arrondis 13">
          <a:hlinkClick xmlns:r="http://schemas.openxmlformats.org/officeDocument/2006/relationships" r:id="rId11"/>
          <a:extLst>
            <a:ext uri="{FF2B5EF4-FFF2-40B4-BE49-F238E27FC236}">
              <a16:creationId xmlns:a16="http://schemas.microsoft.com/office/drawing/2014/main" id="{537BD175-E0BB-4B20-BF03-B6DFC8053BD4}"/>
            </a:ext>
          </a:extLst>
        </xdr:cNvPr>
        <xdr:cNvSpPr/>
      </xdr:nvSpPr>
      <xdr:spPr>
        <a:xfrm>
          <a:off x="1019174" y="4591051"/>
          <a:ext cx="942976" cy="266699"/>
        </a:xfrm>
        <a:prstGeom prst="roundRect">
          <a:avLst/>
        </a:prstGeom>
        <a:solidFill>
          <a:srgbClr val="709AB6"/>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tIns="36000" bIns="36000" rtlCol="0" anchor="ctr" anchorCtr="1"/>
        <a:lstStyle/>
        <a:p>
          <a:pPr algn="ctr"/>
          <a:r>
            <a:rPr lang="fr-FR" sz="1200" b="1">
              <a:solidFill>
                <a:schemeClr val="bg1"/>
              </a:solidFill>
            </a:rPr>
            <a:t>DocM</a:t>
          </a:r>
        </a:p>
      </xdr:txBody>
    </xdr:sp>
    <xdr:clientData/>
  </xdr:twoCellAnchor>
  <xdr:twoCellAnchor>
    <xdr:from>
      <xdr:col>2</xdr:col>
      <xdr:colOff>9524</xdr:colOff>
      <xdr:row>18</xdr:row>
      <xdr:rowOff>9526</xdr:rowOff>
    </xdr:from>
    <xdr:to>
      <xdr:col>3</xdr:col>
      <xdr:colOff>9525</xdr:colOff>
      <xdr:row>19</xdr:row>
      <xdr:rowOff>0</xdr:rowOff>
    </xdr:to>
    <xdr:sp macro="" textlink="">
      <xdr:nvSpPr>
        <xdr:cNvPr id="13" name="Rectangle à coins arrondis 13">
          <a:hlinkClick xmlns:r="http://schemas.openxmlformats.org/officeDocument/2006/relationships" r:id="rId12"/>
          <a:extLst>
            <a:ext uri="{FF2B5EF4-FFF2-40B4-BE49-F238E27FC236}">
              <a16:creationId xmlns:a16="http://schemas.microsoft.com/office/drawing/2014/main" id="{BC8C7176-7DF8-4B79-BF86-5F0F70229BD4}"/>
            </a:ext>
          </a:extLst>
        </xdr:cNvPr>
        <xdr:cNvSpPr/>
      </xdr:nvSpPr>
      <xdr:spPr>
        <a:xfrm>
          <a:off x="1019174" y="4867276"/>
          <a:ext cx="942976" cy="266699"/>
        </a:xfrm>
        <a:prstGeom prst="roundRect">
          <a:avLst/>
        </a:prstGeom>
        <a:solidFill>
          <a:srgbClr val="A4AC4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tIns="36000" bIns="36000" rtlCol="0" anchor="ctr" anchorCtr="1"/>
        <a:lstStyle/>
        <a:p>
          <a:pPr algn="ctr"/>
          <a:r>
            <a:rPr lang="fr-FR" sz="1200" b="1">
              <a:solidFill>
                <a:schemeClr val="bg1"/>
              </a:solidFill>
            </a:rPr>
            <a:t>BI</a:t>
          </a:r>
        </a:p>
      </xdr:txBody>
    </xdr:sp>
    <xdr:clientData/>
  </xdr:twoCellAnchor>
  <xdr:twoCellAnchor>
    <xdr:from>
      <xdr:col>2</xdr:col>
      <xdr:colOff>9524</xdr:colOff>
      <xdr:row>19</xdr:row>
      <xdr:rowOff>9526</xdr:rowOff>
    </xdr:from>
    <xdr:to>
      <xdr:col>3</xdr:col>
      <xdr:colOff>9525</xdr:colOff>
      <xdr:row>20</xdr:row>
      <xdr:rowOff>0</xdr:rowOff>
    </xdr:to>
    <xdr:sp macro="" textlink="">
      <xdr:nvSpPr>
        <xdr:cNvPr id="14" name="Rectangle à coins arrondis 13">
          <a:hlinkClick xmlns:r="http://schemas.openxmlformats.org/officeDocument/2006/relationships" r:id="rId13"/>
          <a:extLst>
            <a:ext uri="{FF2B5EF4-FFF2-40B4-BE49-F238E27FC236}">
              <a16:creationId xmlns:a16="http://schemas.microsoft.com/office/drawing/2014/main" id="{4899BF8C-1EFF-4928-87D8-E93DF5B510F5}"/>
            </a:ext>
          </a:extLst>
        </xdr:cNvPr>
        <xdr:cNvSpPr/>
      </xdr:nvSpPr>
      <xdr:spPr>
        <a:xfrm>
          <a:off x="1019174" y="5143501"/>
          <a:ext cx="942976" cy="266699"/>
        </a:xfrm>
        <a:prstGeom prst="roundRect">
          <a:avLst/>
        </a:prstGeom>
        <a:solidFill>
          <a:srgbClr val="B7535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tIns="36000" bIns="36000" rtlCol="0" anchor="ctr" anchorCtr="1"/>
        <a:lstStyle/>
        <a:p>
          <a:pPr algn="ctr"/>
          <a:r>
            <a:rPr lang="fr-FR" sz="1200" b="1">
              <a:solidFill>
                <a:schemeClr val="bg1"/>
              </a:solidFill>
            </a:rPr>
            <a:t>SOA</a:t>
          </a:r>
        </a:p>
      </xdr:txBody>
    </xdr:sp>
    <xdr:clientData/>
  </xdr:twoCellAnchor>
  <xdr:twoCellAnchor>
    <xdr:from>
      <xdr:col>2</xdr:col>
      <xdr:colOff>9524</xdr:colOff>
      <xdr:row>16</xdr:row>
      <xdr:rowOff>9526</xdr:rowOff>
    </xdr:from>
    <xdr:to>
      <xdr:col>3</xdr:col>
      <xdr:colOff>9525</xdr:colOff>
      <xdr:row>17</xdr:row>
      <xdr:rowOff>0</xdr:rowOff>
    </xdr:to>
    <xdr:sp macro="" textlink="">
      <xdr:nvSpPr>
        <xdr:cNvPr id="15" name="Rectangle à coins arrondis 13">
          <a:hlinkClick xmlns:r="http://schemas.openxmlformats.org/officeDocument/2006/relationships" r:id="rId14"/>
          <a:extLst>
            <a:ext uri="{FF2B5EF4-FFF2-40B4-BE49-F238E27FC236}">
              <a16:creationId xmlns:a16="http://schemas.microsoft.com/office/drawing/2014/main" id="{99FC3517-8D5E-4FD7-85DC-DE8AEDE6CCFA}"/>
            </a:ext>
          </a:extLst>
        </xdr:cNvPr>
        <xdr:cNvSpPr/>
      </xdr:nvSpPr>
      <xdr:spPr>
        <a:xfrm>
          <a:off x="1019174" y="4314826"/>
          <a:ext cx="942976" cy="266699"/>
        </a:xfrm>
        <a:prstGeom prst="roundRect">
          <a:avLst/>
        </a:prstGeom>
        <a:solidFill>
          <a:srgbClr val="FC7CF6"/>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0" tIns="36000" rIns="0" bIns="36000" rtlCol="0" anchor="ctr" anchorCtr="1"/>
        <a:lstStyle/>
        <a:p>
          <a:pPr algn="ctr"/>
          <a:r>
            <a:rPr lang="fr-FR" sz="1100" b="1">
              <a:solidFill>
                <a:schemeClr val="bg1"/>
              </a:solidFill>
            </a:rPr>
            <a:t>Call Center</a:t>
          </a:r>
        </a:p>
      </xdr:txBody>
    </xdr:sp>
    <xdr:clientData/>
  </xdr:twoCellAnchor>
  <xdr:twoCellAnchor>
    <xdr:from>
      <xdr:col>2</xdr:col>
      <xdr:colOff>9524</xdr:colOff>
      <xdr:row>20</xdr:row>
      <xdr:rowOff>9526</xdr:rowOff>
    </xdr:from>
    <xdr:to>
      <xdr:col>3</xdr:col>
      <xdr:colOff>9525</xdr:colOff>
      <xdr:row>21</xdr:row>
      <xdr:rowOff>0</xdr:rowOff>
    </xdr:to>
    <xdr:sp macro="" textlink="">
      <xdr:nvSpPr>
        <xdr:cNvPr id="16" name="Rectangle à coins arrondis 13">
          <a:hlinkClick xmlns:r="http://schemas.openxmlformats.org/officeDocument/2006/relationships" r:id="rId15"/>
          <a:extLst>
            <a:ext uri="{FF2B5EF4-FFF2-40B4-BE49-F238E27FC236}">
              <a16:creationId xmlns:a16="http://schemas.microsoft.com/office/drawing/2014/main" id="{FC4003B0-4B97-4684-82C2-6D4EB557318C}"/>
            </a:ext>
          </a:extLst>
        </xdr:cNvPr>
        <xdr:cNvSpPr/>
      </xdr:nvSpPr>
      <xdr:spPr>
        <a:xfrm>
          <a:off x="1019174" y="5419726"/>
          <a:ext cx="942976" cy="266699"/>
        </a:xfrm>
        <a:prstGeom prst="roundRect">
          <a:avLst/>
        </a:prstGeom>
        <a:solidFill>
          <a:srgbClr val="786FB7"/>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0" tIns="0" rIns="0" bIns="0" rtlCol="0" anchor="ctr" anchorCtr="1"/>
        <a:lstStyle/>
        <a:p>
          <a:pPr algn="ctr"/>
          <a:r>
            <a:rPr lang="fr-FR" sz="1100" b="1">
              <a:solidFill>
                <a:schemeClr val="bg1"/>
              </a:solidFill>
            </a:rPr>
            <a:t>ERP Finance</a:t>
          </a:r>
        </a:p>
      </xdr:txBody>
    </xdr:sp>
    <xdr:clientData/>
  </xdr:twoCellAnchor>
  <xdr:twoCellAnchor>
    <xdr:from>
      <xdr:col>2</xdr:col>
      <xdr:colOff>9524</xdr:colOff>
      <xdr:row>21</xdr:row>
      <xdr:rowOff>9526</xdr:rowOff>
    </xdr:from>
    <xdr:to>
      <xdr:col>3</xdr:col>
      <xdr:colOff>9525</xdr:colOff>
      <xdr:row>22</xdr:row>
      <xdr:rowOff>0</xdr:rowOff>
    </xdr:to>
    <xdr:sp macro="" textlink="">
      <xdr:nvSpPr>
        <xdr:cNvPr id="17" name="Rectangle à coins arrondis 13">
          <a:hlinkClick xmlns:r="http://schemas.openxmlformats.org/officeDocument/2006/relationships" r:id="rId16"/>
          <a:extLst>
            <a:ext uri="{FF2B5EF4-FFF2-40B4-BE49-F238E27FC236}">
              <a16:creationId xmlns:a16="http://schemas.microsoft.com/office/drawing/2014/main" id="{60EE99BA-F54D-4EB7-AA50-7F1519961EBA}"/>
            </a:ext>
          </a:extLst>
        </xdr:cNvPr>
        <xdr:cNvSpPr/>
      </xdr:nvSpPr>
      <xdr:spPr>
        <a:xfrm>
          <a:off x="1019174" y="5695951"/>
          <a:ext cx="942976" cy="266699"/>
        </a:xfrm>
        <a:prstGeom prst="roundRect">
          <a:avLst/>
        </a:prstGeom>
        <a:solidFill>
          <a:srgbClr val="A49ECE"/>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0" tIns="0" rIns="0" bIns="0" rtlCol="0" anchor="ctr" anchorCtr="1"/>
        <a:lstStyle/>
        <a:p>
          <a:pPr algn="ctr"/>
          <a:r>
            <a:rPr lang="fr-FR" sz="1200" b="1">
              <a:solidFill>
                <a:schemeClr val="bg1"/>
              </a:solidFill>
            </a:rPr>
            <a:t>ERP HR</a:t>
          </a:r>
        </a:p>
      </xdr:txBody>
    </xdr:sp>
    <xdr:clientData/>
  </xdr:twoCellAnchor>
  <xdr:twoCellAnchor>
    <xdr:from>
      <xdr:col>2</xdr:col>
      <xdr:colOff>12699</xdr:colOff>
      <xdr:row>22</xdr:row>
      <xdr:rowOff>6351</xdr:rowOff>
    </xdr:from>
    <xdr:to>
      <xdr:col>3</xdr:col>
      <xdr:colOff>4675</xdr:colOff>
      <xdr:row>23</xdr:row>
      <xdr:rowOff>0</xdr:rowOff>
    </xdr:to>
    <xdr:sp macro="" textlink="">
      <xdr:nvSpPr>
        <xdr:cNvPr id="18" name="Rectangle à coins arrondis 13">
          <a:hlinkClick xmlns:r="http://schemas.openxmlformats.org/officeDocument/2006/relationships" r:id="rId17"/>
          <a:extLst>
            <a:ext uri="{FF2B5EF4-FFF2-40B4-BE49-F238E27FC236}">
              <a16:creationId xmlns:a16="http://schemas.microsoft.com/office/drawing/2014/main" id="{EA6773B7-721B-4F98-B62A-D7BA85DB4A17}"/>
            </a:ext>
          </a:extLst>
        </xdr:cNvPr>
        <xdr:cNvSpPr/>
      </xdr:nvSpPr>
      <xdr:spPr>
        <a:xfrm>
          <a:off x="1022349" y="5969001"/>
          <a:ext cx="934951" cy="269874"/>
        </a:xfrm>
        <a:prstGeom prst="roundRect">
          <a:avLst/>
        </a:prstGeom>
        <a:solidFill>
          <a:srgbClr val="23AF37"/>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0" tIns="0" rIns="0" bIns="0" rtlCol="0" anchor="ctr" anchorCtr="1"/>
        <a:lstStyle/>
        <a:p>
          <a:pPr algn="ctr">
            <a:lnSpc>
              <a:spcPct val="70000"/>
            </a:lnSpc>
          </a:pPr>
          <a:r>
            <a:rPr lang="fr-FR" sz="1050" b="1">
              <a:solidFill>
                <a:schemeClr val="bg1"/>
              </a:solidFill>
            </a:rPr>
            <a:t>Gestion des Achats</a:t>
          </a:r>
        </a:p>
      </xdr:txBody>
    </xdr:sp>
    <xdr:clientData/>
  </xdr:twoCellAnchor>
  <xdr:twoCellAnchor>
    <xdr:from>
      <xdr:col>2</xdr:col>
      <xdr:colOff>9524</xdr:colOff>
      <xdr:row>23</xdr:row>
      <xdr:rowOff>9526</xdr:rowOff>
    </xdr:from>
    <xdr:to>
      <xdr:col>3</xdr:col>
      <xdr:colOff>9525</xdr:colOff>
      <xdr:row>24</xdr:row>
      <xdr:rowOff>0</xdr:rowOff>
    </xdr:to>
    <xdr:sp macro="" textlink="">
      <xdr:nvSpPr>
        <xdr:cNvPr id="19" name="Rectangle à coins arrondis 13">
          <a:hlinkClick xmlns:r="http://schemas.openxmlformats.org/officeDocument/2006/relationships" r:id="rId18"/>
          <a:extLst>
            <a:ext uri="{FF2B5EF4-FFF2-40B4-BE49-F238E27FC236}">
              <a16:creationId xmlns:a16="http://schemas.microsoft.com/office/drawing/2014/main" id="{73E0140E-7ACB-4BB8-A883-522002CC91D2}"/>
            </a:ext>
          </a:extLst>
        </xdr:cNvPr>
        <xdr:cNvSpPr/>
      </xdr:nvSpPr>
      <xdr:spPr>
        <a:xfrm>
          <a:off x="1019174" y="6248401"/>
          <a:ext cx="942976" cy="266699"/>
        </a:xfrm>
        <a:prstGeom prst="roundRect">
          <a:avLst/>
        </a:prstGeom>
        <a:solidFill>
          <a:srgbClr val="92D05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0" tIns="0" rIns="0" bIns="0" rtlCol="0" anchor="ctr" anchorCtr="1"/>
        <a:lstStyle/>
        <a:p>
          <a:pPr algn="ctr"/>
          <a:r>
            <a:rPr lang="fr-FR" sz="1200" b="1">
              <a:solidFill>
                <a:schemeClr val="accent6">
                  <a:lumMod val="50000"/>
                </a:schemeClr>
              </a:solidFill>
            </a:rPr>
            <a:t>Contract</a:t>
          </a:r>
        </a:p>
      </xdr:txBody>
    </xdr:sp>
    <xdr:clientData/>
  </xdr:twoCellAnchor>
  <xdr:twoCellAnchor>
    <xdr:from>
      <xdr:col>2</xdr:col>
      <xdr:colOff>9524</xdr:colOff>
      <xdr:row>24</xdr:row>
      <xdr:rowOff>9526</xdr:rowOff>
    </xdr:from>
    <xdr:to>
      <xdr:col>3</xdr:col>
      <xdr:colOff>9525</xdr:colOff>
      <xdr:row>25</xdr:row>
      <xdr:rowOff>0</xdr:rowOff>
    </xdr:to>
    <xdr:sp macro="" textlink="">
      <xdr:nvSpPr>
        <xdr:cNvPr id="20" name="Rectangle à coins arrondis 13">
          <a:hlinkClick xmlns:r="http://schemas.openxmlformats.org/officeDocument/2006/relationships" r:id="rId19"/>
          <a:extLst>
            <a:ext uri="{FF2B5EF4-FFF2-40B4-BE49-F238E27FC236}">
              <a16:creationId xmlns:a16="http://schemas.microsoft.com/office/drawing/2014/main" id="{EDDBD269-F8B9-4310-9A79-3357496A2846}"/>
            </a:ext>
          </a:extLst>
        </xdr:cNvPr>
        <xdr:cNvSpPr/>
      </xdr:nvSpPr>
      <xdr:spPr>
        <a:xfrm>
          <a:off x="1019174" y="6524626"/>
          <a:ext cx="942976" cy="266699"/>
        </a:xfrm>
        <a:prstGeom prst="roundRect">
          <a:avLst/>
        </a:prstGeom>
        <a:solidFill>
          <a:srgbClr val="E74549"/>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0" tIns="0" rIns="0" bIns="0" rtlCol="0" anchor="ctr" anchorCtr="1"/>
        <a:lstStyle/>
        <a:p>
          <a:pPr algn="ctr"/>
          <a:r>
            <a:rPr lang="fr-FR" sz="1100" b="1">
              <a:solidFill>
                <a:schemeClr val="bg1"/>
              </a:solidFill>
            </a:rPr>
            <a:t>Messagerie</a:t>
          </a:r>
        </a:p>
      </xdr:txBody>
    </xdr:sp>
    <xdr:clientData/>
  </xdr:twoCellAnchor>
  <xdr:twoCellAnchor>
    <xdr:from>
      <xdr:col>2</xdr:col>
      <xdr:colOff>9524</xdr:colOff>
      <xdr:row>25</xdr:row>
      <xdr:rowOff>9526</xdr:rowOff>
    </xdr:from>
    <xdr:to>
      <xdr:col>3</xdr:col>
      <xdr:colOff>9525</xdr:colOff>
      <xdr:row>26</xdr:row>
      <xdr:rowOff>0</xdr:rowOff>
    </xdr:to>
    <xdr:sp macro="" textlink="">
      <xdr:nvSpPr>
        <xdr:cNvPr id="21" name="Rectangle à coins arrondis 13">
          <a:hlinkClick xmlns:r="http://schemas.openxmlformats.org/officeDocument/2006/relationships" r:id="rId20"/>
          <a:extLst>
            <a:ext uri="{FF2B5EF4-FFF2-40B4-BE49-F238E27FC236}">
              <a16:creationId xmlns:a16="http://schemas.microsoft.com/office/drawing/2014/main" id="{0F0ADDA5-5256-4BAD-BAC0-414E05291836}"/>
            </a:ext>
          </a:extLst>
        </xdr:cNvPr>
        <xdr:cNvSpPr/>
      </xdr:nvSpPr>
      <xdr:spPr>
        <a:xfrm>
          <a:off x="1019174" y="6800851"/>
          <a:ext cx="942976" cy="266699"/>
        </a:xfrm>
        <a:prstGeom prst="roundRect">
          <a:avLst/>
        </a:prstGeom>
        <a:solidFill>
          <a:srgbClr val="99E7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0" tIns="0" rIns="0" bIns="0" rtlCol="0" anchor="ctr" anchorCtr="1"/>
        <a:lstStyle/>
        <a:p>
          <a:pPr algn="ctr">
            <a:lnSpc>
              <a:spcPct val="70000"/>
            </a:lnSpc>
          </a:pPr>
          <a:r>
            <a:rPr lang="fr-FR" sz="1100" b="1">
              <a:solidFill>
                <a:schemeClr val="accent1">
                  <a:lumMod val="75000"/>
                </a:schemeClr>
              </a:solidFill>
            </a:rPr>
            <a:t>Autres</a:t>
          </a:r>
        </a:p>
      </xdr:txBody>
    </xdr:sp>
    <xdr:clientData/>
  </xdr:twoCellAnchor>
  <xdr:twoCellAnchor>
    <xdr:from>
      <xdr:col>2</xdr:col>
      <xdr:colOff>9524</xdr:colOff>
      <xdr:row>26</xdr:row>
      <xdr:rowOff>9526</xdr:rowOff>
    </xdr:from>
    <xdr:to>
      <xdr:col>3</xdr:col>
      <xdr:colOff>9525</xdr:colOff>
      <xdr:row>27</xdr:row>
      <xdr:rowOff>0</xdr:rowOff>
    </xdr:to>
    <xdr:sp macro="" textlink="">
      <xdr:nvSpPr>
        <xdr:cNvPr id="22" name="Rectangle à coins arrondis 13">
          <a:hlinkClick xmlns:r="http://schemas.openxmlformats.org/officeDocument/2006/relationships" r:id="rId21"/>
          <a:extLst>
            <a:ext uri="{FF2B5EF4-FFF2-40B4-BE49-F238E27FC236}">
              <a16:creationId xmlns:a16="http://schemas.microsoft.com/office/drawing/2014/main" id="{6F0C7A15-195A-4400-83FE-98F97D9D2B5E}"/>
            </a:ext>
          </a:extLst>
        </xdr:cNvPr>
        <xdr:cNvSpPr/>
      </xdr:nvSpPr>
      <xdr:spPr>
        <a:xfrm>
          <a:off x="1019174" y="7077076"/>
          <a:ext cx="942976" cy="266699"/>
        </a:xfrm>
        <a:prstGeom prst="roundRect">
          <a:avLst/>
        </a:prstGeom>
        <a:solidFill>
          <a:schemeClr val="tx1">
            <a:lumMod val="65000"/>
            <a:lumOff val="3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0" tIns="0" rIns="0" bIns="0" rtlCol="0" anchor="ctr" anchorCtr="1"/>
        <a:lstStyle/>
        <a:p>
          <a:pPr algn="ctr">
            <a:lnSpc>
              <a:spcPct val="70000"/>
            </a:lnSpc>
          </a:pPr>
          <a:r>
            <a:rPr lang="fr-FR" sz="1100" b="1">
              <a:solidFill>
                <a:schemeClr val="bg1"/>
              </a:solidFill>
            </a:rPr>
            <a:t>Outils IT</a:t>
          </a:r>
        </a:p>
      </xdr:txBody>
    </xdr:sp>
    <xdr:clientData/>
  </xdr:twoCellAnchor>
  <xdr:twoCellAnchor>
    <xdr:from>
      <xdr:col>1</xdr:col>
      <xdr:colOff>85725</xdr:colOff>
      <xdr:row>1</xdr:row>
      <xdr:rowOff>133349</xdr:rowOff>
    </xdr:from>
    <xdr:to>
      <xdr:col>2</xdr:col>
      <xdr:colOff>1076324</xdr:colOff>
      <xdr:row>3</xdr:row>
      <xdr:rowOff>9525</xdr:rowOff>
    </xdr:to>
    <xdr:sp macro="" textlink="">
      <xdr:nvSpPr>
        <xdr:cNvPr id="23" name="Rectangle à coins arrondis 13">
          <a:hlinkClick xmlns:r="http://schemas.openxmlformats.org/officeDocument/2006/relationships" r:id="rId22"/>
          <a:extLst>
            <a:ext uri="{FF2B5EF4-FFF2-40B4-BE49-F238E27FC236}">
              <a16:creationId xmlns:a16="http://schemas.microsoft.com/office/drawing/2014/main" id="{D425A7DA-EE4B-4275-B65D-B4BC72A2EA12}"/>
            </a:ext>
          </a:extLst>
        </xdr:cNvPr>
        <xdr:cNvSpPr/>
      </xdr:nvSpPr>
      <xdr:spPr>
        <a:xfrm>
          <a:off x="276225" y="1038224"/>
          <a:ext cx="1809749" cy="295276"/>
        </a:xfrm>
        <a:prstGeom prst="roundRect">
          <a:avLst/>
        </a:prstGeom>
        <a:solidFill>
          <a:srgbClr val="50746A"/>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0" tIns="36000" rIns="0" bIns="36000" rtlCol="0" anchor="ctr" anchorCtr="1"/>
        <a:lstStyle/>
        <a:p>
          <a:pPr algn="ctr">
            <a:lnSpc>
              <a:spcPct val="90000"/>
            </a:lnSpc>
          </a:pPr>
          <a:r>
            <a:rPr lang="fr-FR" sz="1200" b="1">
              <a:solidFill>
                <a:schemeClr val="bg1"/>
              </a:solidFill>
            </a:rPr>
            <a:t>Questions génériques IT</a:t>
          </a:r>
        </a:p>
      </xdr:txBody>
    </xdr:sp>
    <xdr:clientData/>
  </xdr:twoCellAnchor>
  <xdr:twoCellAnchor>
    <xdr:from>
      <xdr:col>5</xdr:col>
      <xdr:colOff>523870</xdr:colOff>
      <xdr:row>1</xdr:row>
      <xdr:rowOff>126999</xdr:rowOff>
    </xdr:from>
    <xdr:to>
      <xdr:col>7</xdr:col>
      <xdr:colOff>609370</xdr:colOff>
      <xdr:row>3</xdr:row>
      <xdr:rowOff>6350</xdr:rowOff>
    </xdr:to>
    <xdr:sp macro="" textlink="">
      <xdr:nvSpPr>
        <xdr:cNvPr id="25" name="Rectangle à coins arrondis 13">
          <a:hlinkClick xmlns:r="http://schemas.openxmlformats.org/officeDocument/2006/relationships" r:id="rId23"/>
          <a:extLst>
            <a:ext uri="{FF2B5EF4-FFF2-40B4-BE49-F238E27FC236}">
              <a16:creationId xmlns:a16="http://schemas.microsoft.com/office/drawing/2014/main" id="{AD42DD92-F5CD-F01A-15FD-09538BCA2471}"/>
            </a:ext>
          </a:extLst>
        </xdr:cNvPr>
        <xdr:cNvSpPr/>
      </xdr:nvSpPr>
      <xdr:spPr>
        <a:xfrm>
          <a:off x="4467220" y="1031874"/>
          <a:ext cx="1800000" cy="298451"/>
        </a:xfrm>
        <a:prstGeom prst="roundRect">
          <a:avLst/>
        </a:prstGeom>
        <a:solidFill>
          <a:srgbClr val="847E6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0" tIns="36000" rIns="0" bIns="36000" rtlCol="0" anchor="ctr" anchorCtr="1"/>
        <a:lstStyle/>
        <a:p>
          <a:pPr algn="ctr">
            <a:lnSpc>
              <a:spcPct val="90000"/>
            </a:lnSpc>
          </a:pPr>
          <a:r>
            <a:rPr lang="fr-FR" sz="1200" b="1">
              <a:solidFill>
                <a:schemeClr val="bg1"/>
              </a:solidFill>
            </a:rPr>
            <a:t>Questions Sécurité IT</a:t>
          </a:r>
        </a:p>
      </xdr:txBody>
    </xdr:sp>
    <xdr:clientData/>
  </xdr:twoCellAnchor>
  <xdr:twoCellAnchor>
    <xdr:from>
      <xdr:col>14</xdr:col>
      <xdr:colOff>923916</xdr:colOff>
      <xdr:row>1</xdr:row>
      <xdr:rowOff>114300</xdr:rowOff>
    </xdr:from>
    <xdr:to>
      <xdr:col>17</xdr:col>
      <xdr:colOff>523641</xdr:colOff>
      <xdr:row>3</xdr:row>
      <xdr:rowOff>9526</xdr:rowOff>
    </xdr:to>
    <xdr:sp macro="" textlink="">
      <xdr:nvSpPr>
        <xdr:cNvPr id="26" name="Rectangle à coins arrondis 13">
          <a:hlinkClick xmlns:r="http://schemas.openxmlformats.org/officeDocument/2006/relationships" r:id="rId24"/>
          <a:extLst>
            <a:ext uri="{FF2B5EF4-FFF2-40B4-BE49-F238E27FC236}">
              <a16:creationId xmlns:a16="http://schemas.microsoft.com/office/drawing/2014/main" id="{A8FE27E2-6ECD-4FB9-BD1D-89BA340245DB}"/>
            </a:ext>
          </a:extLst>
        </xdr:cNvPr>
        <xdr:cNvSpPr/>
      </xdr:nvSpPr>
      <xdr:spPr>
        <a:xfrm>
          <a:off x="11410941" y="1019175"/>
          <a:ext cx="1800000" cy="314326"/>
        </a:xfrm>
        <a:prstGeom prst="roundRect">
          <a:avLst/>
        </a:prstGeom>
        <a:solidFill>
          <a:srgbClr val="51596B"/>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0" tIns="36000" rIns="0" bIns="36000" rtlCol="0" anchor="ctr" anchorCtr="1"/>
        <a:lstStyle/>
        <a:p>
          <a:pPr algn="ctr">
            <a:lnSpc>
              <a:spcPct val="90000"/>
            </a:lnSpc>
          </a:pPr>
          <a:r>
            <a:rPr lang="fr-FR" sz="1200" b="1">
              <a:solidFill>
                <a:schemeClr val="bg1"/>
              </a:solidFill>
            </a:rPr>
            <a:t>Projets IT</a:t>
          </a:r>
        </a:p>
      </xdr:txBody>
    </xdr:sp>
    <xdr:clientData/>
  </xdr:twoCellAnchor>
  <xdr:twoCellAnchor>
    <xdr:from>
      <xdr:col>11</xdr:col>
      <xdr:colOff>812786</xdr:colOff>
      <xdr:row>1</xdr:row>
      <xdr:rowOff>104775</xdr:rowOff>
    </xdr:from>
    <xdr:to>
      <xdr:col>14</xdr:col>
      <xdr:colOff>237886</xdr:colOff>
      <xdr:row>3</xdr:row>
      <xdr:rowOff>1</xdr:rowOff>
    </xdr:to>
    <xdr:sp macro="" textlink="">
      <xdr:nvSpPr>
        <xdr:cNvPr id="27" name="Rectangle à coins arrondis 13">
          <a:hlinkClick xmlns:r="http://schemas.openxmlformats.org/officeDocument/2006/relationships" r:id="rId25"/>
          <a:extLst>
            <a:ext uri="{FF2B5EF4-FFF2-40B4-BE49-F238E27FC236}">
              <a16:creationId xmlns:a16="http://schemas.microsoft.com/office/drawing/2014/main" id="{DDB6EE97-7D73-6230-0A25-89CDA38E3F9E}"/>
            </a:ext>
          </a:extLst>
        </xdr:cNvPr>
        <xdr:cNvSpPr/>
      </xdr:nvSpPr>
      <xdr:spPr>
        <a:xfrm>
          <a:off x="8928086" y="1009650"/>
          <a:ext cx="1796825" cy="314326"/>
        </a:xfrm>
        <a:prstGeom prst="roundRect">
          <a:avLst/>
        </a:prstGeom>
        <a:solidFill>
          <a:srgbClr val="81333A"/>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0" tIns="36000" rIns="0" bIns="36000" rtlCol="0" anchor="ctr" anchorCtr="1"/>
        <a:lstStyle/>
        <a:p>
          <a:pPr algn="ctr">
            <a:lnSpc>
              <a:spcPct val="90000"/>
            </a:lnSpc>
          </a:pPr>
          <a:r>
            <a:rPr lang="fr-FR" sz="1200" b="1">
              <a:solidFill>
                <a:schemeClr val="bg1"/>
              </a:solidFill>
            </a:rPr>
            <a:t>Contrats IT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6350</xdr:colOff>
      <xdr:row>118</xdr:row>
      <xdr:rowOff>19050</xdr:rowOff>
    </xdr:from>
    <xdr:to>
      <xdr:col>1</xdr:col>
      <xdr:colOff>7277100</xdr:colOff>
      <xdr:row>119</xdr:row>
      <xdr:rowOff>0</xdr:rowOff>
    </xdr:to>
    <xdr:sp macro="" textlink="">
      <xdr:nvSpPr>
        <xdr:cNvPr id="2" name="Rectangle à coins arrondis 13">
          <a:hlinkClick xmlns:r="http://schemas.openxmlformats.org/officeDocument/2006/relationships" r:id="rId1"/>
          <a:extLst>
            <a:ext uri="{FF2B5EF4-FFF2-40B4-BE49-F238E27FC236}">
              <a16:creationId xmlns:a16="http://schemas.microsoft.com/office/drawing/2014/main" id="{A0340496-CA4D-4AB8-A6A8-F9B61D3CEC7A}"/>
            </a:ext>
          </a:extLst>
        </xdr:cNvPr>
        <xdr:cNvSpPr/>
      </xdr:nvSpPr>
      <xdr:spPr>
        <a:xfrm>
          <a:off x="7292975" y="32032575"/>
          <a:ext cx="7270750" cy="476250"/>
        </a:xfrm>
        <a:prstGeom prst="roundRect">
          <a:avLst/>
        </a:prstGeom>
        <a:solidFill>
          <a:srgbClr val="51596B"/>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0" tIns="36000" rIns="0" bIns="36000" rtlCol="0" anchor="ctr" anchorCtr="1"/>
        <a:lstStyle/>
        <a:p>
          <a:pPr algn="ctr">
            <a:lnSpc>
              <a:spcPct val="90000"/>
            </a:lnSpc>
          </a:pPr>
          <a:r>
            <a:rPr lang="fr-FR" sz="1400" b="1">
              <a:solidFill>
                <a:schemeClr val="bg1"/>
              </a:solidFill>
            </a:rPr>
            <a:t>Projets IT</a:t>
          </a:r>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mailto:helpdesk.ittogo@cofinacorp.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S27"/>
  <sheetViews>
    <sheetView showGridLines="0" showZeros="0" tabSelected="1" zoomScale="120" zoomScaleNormal="120" workbookViewId="0">
      <selection activeCell="B7" sqref="B7"/>
    </sheetView>
  </sheetViews>
  <sheetFormatPr defaultColWidth="11.42578125" defaultRowHeight="14.25"/>
  <cols>
    <col min="1" max="1" width="2.7109375" customWidth="1"/>
    <col min="2" max="2" width="11.7109375" customWidth="1"/>
    <col min="3" max="3" width="15.85546875" customWidth="1"/>
    <col min="4" max="4" width="9.85546875" customWidth="1"/>
    <col min="5" max="5" width="32.28515625" customWidth="1"/>
    <col min="6" max="6" width="14.28515625" customWidth="1"/>
    <col min="7" max="7" width="9.85546875" bestFit="1" customWidth="1"/>
    <col min="8" max="8" width="23.5703125" customWidth="1"/>
    <col min="9" max="9" width="16.28515625" customWidth="1"/>
    <col min="10" max="10" width="13.5703125" customWidth="1"/>
    <col min="11" max="11" width="13.42578125" customWidth="1"/>
    <col min="12" max="12" width="23.28515625" customWidth="1"/>
    <col min="13" max="13" width="17.85546875" bestFit="1" customWidth="1"/>
    <col min="14" max="14" width="11.85546875" customWidth="1"/>
    <col min="15" max="15" width="24.85546875" customWidth="1"/>
    <col min="16" max="16" width="10.140625" customWidth="1"/>
    <col min="17" max="17" width="87.42578125" customWidth="1"/>
    <col min="18" max="18" width="39.140625" hidden="1" customWidth="1"/>
    <col min="19" max="19" width="7.7109375" customWidth="1"/>
  </cols>
  <sheetData>
    <row r="1" spans="2:19" ht="71.099999999999994" customHeight="1">
      <c r="D1" s="143" t="s">
        <v>0</v>
      </c>
      <c r="E1" s="144" t="s">
        <v>1</v>
      </c>
      <c r="G1" s="142"/>
      <c r="H1" s="163"/>
      <c r="I1" s="296" t="s">
        <v>2</v>
      </c>
      <c r="J1" s="296"/>
      <c r="K1" s="296"/>
      <c r="L1" s="296"/>
      <c r="N1" s="180">
        <f>AVERAGE(B8:B27,D3,I3,COUNTA(Contracts!B3:R4)/34,COUNTA('✅ Projets 2026'!#REF!)/60)</f>
        <v>0.94999341969616535</v>
      </c>
    </row>
    <row r="2" spans="2:19" ht="10.5" customHeight="1"/>
    <row r="3" spans="2:19" ht="22.5" customHeight="1">
      <c r="D3" s="297">
        <f>QG!B2</f>
        <v>1</v>
      </c>
      <c r="E3" s="298"/>
      <c r="I3" s="297">
        <f>Secu!B2</f>
        <v>1</v>
      </c>
      <c r="J3" s="299"/>
      <c r="K3" s="298"/>
    </row>
    <row r="4" spans="2:19" ht="5.45" customHeight="1"/>
    <row r="5" spans="2:19" ht="5.45" customHeight="1"/>
    <row r="6" spans="2:19" ht="20.25">
      <c r="B6" s="295" t="s">
        <v>3</v>
      </c>
      <c r="C6" s="295"/>
      <c r="D6" s="295"/>
      <c r="E6" s="295"/>
      <c r="F6" s="295"/>
      <c r="G6" s="295"/>
      <c r="H6" s="295"/>
      <c r="I6" s="295"/>
      <c r="J6" s="295"/>
      <c r="K6" s="295"/>
      <c r="L6" s="295"/>
      <c r="M6" s="295"/>
      <c r="N6" s="295"/>
      <c r="O6" s="295"/>
      <c r="P6" s="295"/>
      <c r="Q6" s="295"/>
      <c r="R6" s="295"/>
      <c r="S6" s="295"/>
    </row>
    <row r="7" spans="2:19" s="14" customFormat="1" ht="29.1" customHeight="1">
      <c r="B7" s="17" t="s">
        <v>4</v>
      </c>
      <c r="C7" s="17" t="s">
        <v>5</v>
      </c>
      <c r="D7" s="17" t="s">
        <v>6</v>
      </c>
      <c r="E7" s="17" t="s">
        <v>7</v>
      </c>
      <c r="F7" s="17" t="s">
        <v>8</v>
      </c>
      <c r="G7" s="17" t="s">
        <v>9</v>
      </c>
      <c r="H7" s="17" t="s">
        <v>10</v>
      </c>
      <c r="I7" s="17" t="s">
        <v>11</v>
      </c>
      <c r="J7" s="17" t="s">
        <v>12</v>
      </c>
      <c r="K7" s="17" t="s">
        <v>13</v>
      </c>
      <c r="L7" s="17" t="s">
        <v>14</v>
      </c>
      <c r="M7" s="17" t="s">
        <v>15</v>
      </c>
      <c r="N7" s="17" t="s">
        <v>16</v>
      </c>
      <c r="O7" s="17" t="s">
        <v>17</v>
      </c>
      <c r="P7" s="17" t="s">
        <v>18</v>
      </c>
      <c r="Q7" s="17" t="s">
        <v>19</v>
      </c>
      <c r="R7" s="17" t="s">
        <v>20</v>
      </c>
      <c r="S7" s="17" t="s">
        <v>21</v>
      </c>
    </row>
    <row r="8" spans="2:19" s="16" customFormat="1" ht="21.95" customHeight="1">
      <c r="B8" s="18">
        <f>SUM(CBS!$E$7:$E$63)/COUNT(CBS!$E$7:$E$63)</f>
        <v>1</v>
      </c>
      <c r="C8" s="300"/>
      <c r="D8" s="19" t="s">
        <v>22</v>
      </c>
      <c r="E8" s="19" t="str">
        <f>CBS!$C$9</f>
        <v xml:space="preserve">Oracle FLEXCUBE Universal Banking </v>
      </c>
      <c r="F8" s="19" t="str">
        <f>CBS!$C$8</f>
        <v>Oracle</v>
      </c>
      <c r="G8" s="19" t="str">
        <f>CBS!$C$14</f>
        <v>Primoridal</v>
      </c>
      <c r="H8" s="19" t="str">
        <f>CBS!$C$10</f>
        <v>Version 14.7</v>
      </c>
      <c r="I8" s="19" t="str">
        <f>CBS!$C$11</f>
        <v>Version 14.8</v>
      </c>
      <c r="J8" s="19" t="str">
        <f>LEFT(CBS!$C$38,3)</f>
        <v>Oui</v>
      </c>
      <c r="K8" s="19" t="str">
        <f>CBS!$C$45</f>
        <v>On-site</v>
      </c>
      <c r="L8" s="35" t="str">
        <f>CBS!$C$28</f>
        <v>1000 pour tout le groupe</v>
      </c>
      <c r="M8" s="19" t="str">
        <f>CBS!$C$32</f>
        <v>VOIR IT GROUPE</v>
      </c>
      <c r="N8" s="19" t="str">
        <f>CBS!$C$33</f>
        <v>Nominatives</v>
      </c>
      <c r="O8" s="19" t="str">
        <f>CBS!$C$23</f>
        <v>Moyen</v>
      </c>
      <c r="P8" s="19" t="str">
        <f>CBS!$C$59</f>
        <v>Oui</v>
      </c>
      <c r="Q8" s="19" t="str">
        <f>CBS!$C$39</f>
        <v xml:space="preserve">1. Niveau 1 :
o Nombre d'ETP : 4
o Répartition des Activités : Résolution des tickets de premier niveau, support de base aux utilisateurs, gestion des demandes simples et Analyse des incidents 
2. Niveau 2 :
o Nombre d'ETP : 5
o Entité : Holding
o Répartition des Activités : Analyse des incidents plus complexes, gestion des escalades du niveau 1, résolution de problèmes techniques avancés.
o Compétences : Expertise technique, capacité à résoudre des problèmes complexes.
o Rôles : Technicien Support Niveau 2
3. Niveau 3 :
o Nombre d'ETP : DEFINIR
o Entité : PROVIDER
o Répartition des Activités : Gestion des problèmes critiques, développement de solutions, coordination avec les équipes de développement.
o Compétences : Expertise approfondie, compétences en développement et en gestion des incidents majeurs.
o Rôles : Ingénieur Support Niveau 3
</v>
      </c>
      <c r="R8" s="19" t="str">
        <f>CBS!$C$40</f>
        <v xml:space="preserve">Holding : ETP dédiés : 5
Filiale : ETP dédiés : 1
</v>
      </c>
      <c r="S8" s="19" t="str">
        <f>CBS!$C$52</f>
        <v>Non</v>
      </c>
    </row>
    <row r="9" spans="2:19" s="16" customFormat="1" ht="21.95" customHeight="1">
      <c r="B9" s="18"/>
      <c r="C9" s="301"/>
      <c r="D9" s="19"/>
      <c r="E9" s="19" t="s">
        <v>23</v>
      </c>
      <c r="F9" s="19"/>
      <c r="G9" s="19"/>
      <c r="H9" s="19"/>
      <c r="I9" s="19"/>
      <c r="J9" s="19"/>
      <c r="K9" s="19"/>
      <c r="L9" s="35"/>
      <c r="M9" s="19"/>
      <c r="N9" s="19"/>
      <c r="O9" s="19"/>
      <c r="P9" s="19"/>
      <c r="Q9" s="19"/>
      <c r="R9" s="19"/>
      <c r="S9" s="19"/>
    </row>
    <row r="10" spans="2:19" s="16" customFormat="1" ht="21.95" customHeight="1">
      <c r="B10" s="18">
        <f>SUM(LOS!$E$7:$E$61)/COUNT(LOS!$E$7:$E$61)</f>
        <v>1</v>
      </c>
      <c r="C10" s="19"/>
      <c r="D10" s="19" t="s">
        <v>22</v>
      </c>
      <c r="E10" s="19" t="str">
        <f>LOS!$C$9</f>
        <v xml:space="preserve">  CREDITFLOW
</v>
      </c>
      <c r="F10" s="19" t="str">
        <f>IF(LOS!$C$7="Développement interne","COFINA",LOS!$C$8)</f>
        <v>EDAN</v>
      </c>
      <c r="G10" s="19" t="str">
        <f>LOS!$C$14</f>
        <v>Moyen</v>
      </c>
      <c r="H10" s="19" t="str">
        <f>LOS!$C$10</f>
        <v>1.0</v>
      </c>
      <c r="I10" s="19" t="str">
        <f>LOS!$C$11</f>
        <v>1.0</v>
      </c>
      <c r="J10" s="19" t="str">
        <f>LEFT(LOS!$C$36,3)</f>
        <v>Non</v>
      </c>
      <c r="K10" s="19" t="str">
        <f>LOS!$C$43</f>
        <v>Cloud</v>
      </c>
      <c r="L10" s="35" t="str">
        <f>LOS!$C$26</f>
        <v xml:space="preserve">environ 50 </v>
      </c>
      <c r="M10" s="19" t="str">
        <f>LOS!$C$30</f>
        <v>VOIR IT GROUPE</v>
      </c>
      <c r="N10" s="19" t="str">
        <f>LOS!$C$31</f>
        <v>VOIR IT GROUPE</v>
      </c>
      <c r="O10" s="19" t="str">
        <f>LOS!$C$21</f>
        <v>Moyen</v>
      </c>
      <c r="P10" s="19" t="str">
        <f>LOS!$C$57</f>
        <v>Non</v>
      </c>
      <c r="Q10" s="19" t="str">
        <f>LOS!$C$37</f>
        <v xml:space="preserve">1. Niveau 1 :
o Nombre d'ETP : 3
o Répartition des Activités : Résolution des tickets de premier niveau, support de base aux utilisateurs, gestion des demandes simples et Analyse des incidents 
2. Niveau 2 :
o Nombre d'ETP :  A DEFINIR
o Entité : Holding
o Répartition des Activités : Analyse des incidents plus complexes, gestion des escalades du niveau 1, résolution de problèmes techniques avancés.
o Compétences : Expertise technique, capacité à résoudre des problèmes complexes.
o Rôles : Technicien Support Niveau 2
3. Niveau 3 :
o Nombre d'ETP : DEFINIR par IT GROUPE
o Entité : PROVIDER
o Répartition des Activités : Gestion des problèmes critiques, développement de solutions, coordination avec les équipes de développement.
o Compétences : Expertise approfondie, compétences en développement et en gestion des incidents majeurs.
o Rôles : Ingénieur Support Niveau 3
</v>
      </c>
      <c r="R10" s="19" t="str">
        <f>LOS!$C$38</f>
        <v xml:space="preserve">Holding : ETP dédiés : 0
Filiale : ETP dédiés : 0
</v>
      </c>
      <c r="S10" s="19" t="str">
        <f>LOS!$C$50</f>
        <v>Non</v>
      </c>
    </row>
    <row r="11" spans="2:19" s="16" customFormat="1" ht="21.95" customHeight="1">
      <c r="B11" s="18">
        <f>SUM(AB!$E$7:$E$61)/COUNT(AB!$E$7:$E$61)</f>
        <v>1</v>
      </c>
      <c r="C11" s="19"/>
      <c r="D11" s="19" t="s">
        <v>24</v>
      </c>
      <c r="E11" s="19" t="str">
        <f>AB!$C$9</f>
        <v>KIWI</v>
      </c>
      <c r="F11" s="19" t="str">
        <f>IF(AB!$C$7="Développement interne","COFINA",AB!$C$8)</f>
        <v>SMARTS SOLUTIONS</v>
      </c>
      <c r="G11" s="19" t="str">
        <f>AB!$C$14</f>
        <v>Moyen</v>
      </c>
      <c r="H11" s="19" t="str">
        <f>AB!$C$10</f>
        <v>1.7</v>
      </c>
      <c r="I11" s="19" t="str">
        <f>AB!$C$11</f>
        <v>1.7.5</v>
      </c>
      <c r="J11" s="19" t="str">
        <f>LEFT(AB!$C$36,3)</f>
        <v>Non</v>
      </c>
      <c r="K11" s="19" t="str">
        <f>AB!$C$43</f>
        <v>Cloud</v>
      </c>
      <c r="L11" s="35" t="str">
        <f>AB!$C$26</f>
        <v>VOIR IT GROUPE</v>
      </c>
      <c r="M11" s="19" t="str">
        <f>AB!$C$30</f>
        <v>VOIR IT GROUPE</v>
      </c>
      <c r="N11" s="19" t="str">
        <f>AB!$C$31</f>
        <v>Nominatives</v>
      </c>
      <c r="O11" s="19" t="str">
        <f>AB!$C$21</f>
        <v>Haut</v>
      </c>
      <c r="P11" s="19" t="str">
        <f>AB!$C$57</f>
        <v>Oui</v>
      </c>
      <c r="Q11" s="19" t="str">
        <f>AB!$C$37</f>
        <v xml:space="preserve">1. Niveau 1 :
o Nombre d'ETP : 3
o Répartition des Activités : Résolution des tickets de premier niveau, support de base aux utilisateurs, gestion des demandes simples et Analyse des incidents 
2. Niveau 2 :
o Nombre d'ETP : 5
o Entité : Holding
o Répartition des Activités : Analyse des incidents plus complexes, gestion des escalades du niveau 1, résolution de problèmes techniques avancés.
o Compétences : Expertise technique, capacité à résoudre des problèmes complexes.
o Rôles : Technicien Support Niveau 2
3. Niveau 3 :
o Nombre d'ETP : DEFINIR
o Entité : PROVIDER
o Répartition des Activités : Gestion des problèmes critiques, développement de solutions, coordination avec les équipes de développement.
o Compétences : Expertise approfondie, compétences en développement et en gestion des incidents majeurs.
o Rôles : Ingénieur Support Niveau 3
</v>
      </c>
      <c r="R11" s="19" t="str">
        <f>AB!$C$38</f>
        <v xml:space="preserve">Holding : ETP dédiés : 5
Filiale : ETP dédiés : 1
</v>
      </c>
      <c r="S11" s="19" t="str">
        <f>AB!$C$50</f>
        <v>Non</v>
      </c>
    </row>
    <row r="12" spans="2:19" s="16" customFormat="1" ht="21.95" customHeight="1">
      <c r="B12" s="18">
        <f>SUM(MB!$E$7:$E$60)/COUNT(MB!$E$7:$E$60)</f>
        <v>1</v>
      </c>
      <c r="C12" s="19"/>
      <c r="D12" s="19" t="s">
        <v>22</v>
      </c>
      <c r="E12" s="19" t="str">
        <f>IF(MB!$C$7="Non prévu",MB!$C$7,MB!$C$9)</f>
        <v>COFINA MOBILE +</v>
      </c>
      <c r="F12" s="19" t="str">
        <f>IF(MB!$C$7="Développement interne","COFINA",MB!$C$8)</f>
        <v>SMARTS SOLUTIONS</v>
      </c>
      <c r="G12" s="19" t="str">
        <f>MB!$C$14</f>
        <v>Primoridal</v>
      </c>
      <c r="H12" s="19" t="str">
        <f>MB!$C$10</f>
        <v>1.7</v>
      </c>
      <c r="I12" s="19" t="str">
        <f>MB!$C$11</f>
        <v>1.7.5</v>
      </c>
      <c r="J12" s="19" t="str">
        <f>LEFT(MB!$C$35,3)</f>
        <v>Non</v>
      </c>
      <c r="K12" s="19" t="str">
        <f>MB!$C$42</f>
        <v>Cloud</v>
      </c>
      <c r="L12" s="35">
        <f>MB!$C$25</f>
        <v>8600</v>
      </c>
      <c r="M12" s="19" t="str">
        <f>MB!$C$29</f>
        <v>VOIR IT GROUPE</v>
      </c>
      <c r="N12" s="19" t="str">
        <f>MB!$C$30</f>
        <v>Nominatives</v>
      </c>
      <c r="O12" s="19" t="str">
        <f>MB!$C$21</f>
        <v>Très haut</v>
      </c>
      <c r="P12" s="19" t="str">
        <f>MB!$C$56</f>
        <v>Oui</v>
      </c>
      <c r="Q12" s="19" t="str">
        <f>MB!$C$36</f>
        <v xml:space="preserve">1. Niveau 1 :
o Nombre d'ETP : 4
o Répartition des Activités : Résolution des tickets de premier niveau, support de base aux utilisateurs, gestion des demandes simples et Analyse des incidents 
2. Niveau 2 :
o Nombre d'ETP : 5
o Entité : Holding
o Répartition des Activités : Analyse des incidents plus complexes, gestion des escalades du niveau 1, résolution de problèmes techniques avancés.
o Compétences : Expertise technique, capacité à résoudre des problèmes complexes.
o Rôles : Technicien Support Niveau 2
3. Niveau 3 :
o Nombre d'ETP : DEFINIR
o Entité : PROVIDER
o Répartition des Activités : Gestion des problèmes critiques, développement de solutions, coordination avec les équipes de développement.
o Compétences : Expertise approfondie, compétences en développement et en gestion des incidents majeurs.
o Rôles : Ingénieur Support Niveau 3
</v>
      </c>
      <c r="R12" s="19" t="str">
        <f>MB!$C$37</f>
        <v xml:space="preserve">Holding : ETP dédiés : 5
Filiale : ETP dédiés : 1
</v>
      </c>
      <c r="S12" s="19" t="str">
        <f>MB!$C$49</f>
        <v>Oui</v>
      </c>
    </row>
    <row r="13" spans="2:19" s="16" customFormat="1" ht="21.95" customHeight="1">
      <c r="B13" s="18">
        <f>SUM(IB!$E$7:$E$61)/COUNT(IB!$E$7:$E$61)</f>
        <v>1</v>
      </c>
      <c r="C13" s="19"/>
      <c r="D13" s="19" t="s">
        <v>25</v>
      </c>
      <c r="E13" s="19" t="str">
        <f>IF(IB!$C$7="Non prévu",IB!$C$7,IB!$C$9)</f>
        <v>Non prévu</v>
      </c>
      <c r="F13" s="19">
        <f>IF(IB!$C$7="Développement interne","COFINA",IB!$C$8)</f>
        <v>0</v>
      </c>
      <c r="G13" s="19" t="str">
        <f>IB!$C$14</f>
        <v>Moyen</v>
      </c>
      <c r="H13" s="19">
        <f>IB!$C$10</f>
        <v>0</v>
      </c>
      <c r="I13" s="19">
        <f>IB!$C$11</f>
        <v>0</v>
      </c>
      <c r="J13" s="19" t="str">
        <f>LEFT(IB!$C$36,3)</f>
        <v/>
      </c>
      <c r="K13" s="19">
        <f>IB!$C$43</f>
        <v>0</v>
      </c>
      <c r="L13" s="35">
        <f>IB!$C$26</f>
        <v>0</v>
      </c>
      <c r="M13" s="19">
        <f>IB!$C$30</f>
        <v>0</v>
      </c>
      <c r="N13" s="19">
        <f>IB!$C$31</f>
        <v>0</v>
      </c>
      <c r="O13" s="19">
        <f>IB!$C$21</f>
        <v>0</v>
      </c>
      <c r="P13" s="19">
        <f>IB!$C$57</f>
        <v>0</v>
      </c>
      <c r="Q13" s="19">
        <f>IB!$C$37</f>
        <v>0</v>
      </c>
      <c r="R13" s="19">
        <f>IB!$C$38</f>
        <v>0</v>
      </c>
      <c r="S13" s="19">
        <f>IB!$C$50</f>
        <v>0</v>
      </c>
    </row>
    <row r="14" spans="2:19" s="16" customFormat="1" ht="21.95" customHeight="1">
      <c r="B14" s="18">
        <f>SUM(AML!$E$7:$E$62)/COUNT(AML!$E$7:$E$62)</f>
        <v>0.98113207547169812</v>
      </c>
      <c r="C14" s="19"/>
      <c r="D14" s="19" t="s">
        <v>24</v>
      </c>
      <c r="E14" s="19" t="str">
        <f>IF(AML!$C$7="Non prévu",AML!$C$7,AML!$C$9)</f>
        <v xml:space="preserve">REIS </v>
      </c>
      <c r="F14" s="19" t="str">
        <f>IF(AML!$C$7="Développement interne","COFINA",AML!$C$8)</f>
        <v>Vneuron</v>
      </c>
      <c r="G14" s="19" t="str">
        <f>AML!$C$14</f>
        <v>Critique</v>
      </c>
      <c r="H14" s="19" t="str">
        <f>AML!$C$10</f>
        <v>Vneuron © Reis™ RCS 4.1</v>
      </c>
      <c r="I14" s="19" t="str">
        <f>AML!$C$11</f>
        <v>4.1</v>
      </c>
      <c r="J14" s="19" t="str">
        <f>LEFT(AML!$C$36,3)</f>
        <v>Oui</v>
      </c>
      <c r="K14" s="19" t="str">
        <f>AML!$C$43</f>
        <v>Cloud</v>
      </c>
      <c r="L14" s="35" t="str">
        <f>AML!$C$26</f>
        <v>une vingtaine</v>
      </c>
      <c r="M14" s="19" t="str">
        <f>AML!$C$30</f>
        <v>une licence par filiale</v>
      </c>
      <c r="N14" s="19" t="str">
        <f>AML!$C$31</f>
        <v>Partagées</v>
      </c>
      <c r="O14" s="19" t="str">
        <f>AML!$C$21</f>
        <v>Très haut</v>
      </c>
      <c r="P14" s="19" t="str">
        <f>AML!$C$57</f>
        <v>Oui</v>
      </c>
      <c r="Q14" s="19" t="str">
        <f>AML!$C$37</f>
        <v xml:space="preserve">1. Niveau 1 :
o Nombre d'ETP : 4
o Répartition des Activités : Résolution des tickets de premier niveau, support de base aux utilisateurs, gestion des demandes simples et Analyse des incidents 
2. Niveau 2 :
o Nombre d'ETP : 5
o Entité : Holding
o Répartition des Activités : Analyse des incidents plus complexes, gestion des escalades du niveau 1, résolution de problèmes techniques avancés.
o Compétences : Expertise technique, capacité à résoudre des problèmes complexes.
o Rôles : Technicien Support Niveau 2
3. Niveau 3 :
o Nombre d'ETP : DEFINIR
o Entité : PROVIDER
o Répartition des Activités : Gestion des problèmes critiques, développement de solutions, coordination avec les équipes de développement.
o Compétences : Expertise approfondie, compétences en développement et en gestion des incidents majeurs.
o Rôles : Ingénieur Support Niveau 3
</v>
      </c>
      <c r="R14" s="19" t="str">
        <f>AML!$C$38</f>
        <v xml:space="preserve">Holding : ETP dédiés : 5
Filiale : ETP dédiés : 1
</v>
      </c>
      <c r="S14" s="19" t="str">
        <f>AML!$C$50</f>
        <v>Non</v>
      </c>
    </row>
    <row r="15" spans="2:19" s="16" customFormat="1" ht="21.95" customHeight="1">
      <c r="B15" s="18">
        <f>SUM(Collect!$E$7:$E$61)/COUNT(Collect!$E$7:$E$61)</f>
        <v>1</v>
      </c>
      <c r="C15" s="19"/>
      <c r="D15" s="19" t="s">
        <v>25</v>
      </c>
      <c r="E15" s="19" t="str">
        <f>IF(Collect!$C$7="Non prévu",Collect!$C$7,Collect!$C$9)</f>
        <v>Module : Collection</v>
      </c>
      <c r="F15" s="19">
        <f>IF(Collect!$C$7="Développement interne","COFINA",Collect!$C$8)</f>
        <v>0</v>
      </c>
      <c r="G15" s="19" t="str">
        <f>Collect!$C$14</f>
        <v>Critique</v>
      </c>
      <c r="H15" s="19" t="str">
        <f>Collect!$C$10</f>
        <v xml:space="preserve">Version 14.7 </v>
      </c>
      <c r="I15" s="19" t="str">
        <f>Collect!$C$11</f>
        <v>Version 14.9</v>
      </c>
      <c r="J15" s="19" t="str">
        <f>LEFT(Collect!$C$36,3)</f>
        <v>VOI</v>
      </c>
      <c r="K15" s="19" t="str">
        <f>Collect!$C$43</f>
        <v>On-site</v>
      </c>
      <c r="L15" s="35" t="str">
        <f>Collect!$C$26</f>
        <v>1000 pour tout le groupe</v>
      </c>
      <c r="M15" s="19" t="str">
        <f>Collect!$C$30</f>
        <v>VOIR IT GROUPE</v>
      </c>
      <c r="N15" s="19" t="str">
        <f>Collect!$C$31</f>
        <v>VOIR IT GROUPE</v>
      </c>
      <c r="O15" s="19" t="str">
        <f>Collect!$C$21</f>
        <v>Très haut</v>
      </c>
      <c r="P15" s="19" t="str">
        <f>Collect!$C$57</f>
        <v>Non</v>
      </c>
      <c r="Q15" s="19" t="str">
        <f>Collect!$C$37</f>
        <v>Niveau 1:  Holding : ETP dédiés : 5                                                                                                                            Niveau 2 : Filiale : ETP dédiés : 3                                                                                                                                Niveau 3 :  Nombre d'ETP : DEFINIR par IT GROUPE</v>
      </c>
      <c r="R15" s="19" t="str">
        <f>Collect!$C$38</f>
        <v>Holding : ETP dédiés : 5
Filiale : ETP dédiés : 1</v>
      </c>
      <c r="S15" s="19" t="str">
        <f>Collect!$C$50</f>
        <v>Non</v>
      </c>
    </row>
    <row r="16" spans="2:19" s="16" customFormat="1" ht="21.95" customHeight="1">
      <c r="B16" s="18">
        <f>SUM(CRM!$E$7:$E$61)/COUNT(CRM!$E$7:$E$61)</f>
        <v>1</v>
      </c>
      <c r="C16" s="19"/>
      <c r="D16" s="19" t="s">
        <v>25</v>
      </c>
      <c r="E16" s="19" t="str">
        <f>IF(CRM!$C$7="Non prévu",CRM!$C$7,CRM!$C$9)</f>
        <v>Non prévu</v>
      </c>
      <c r="F16" s="19">
        <f>IF(CRM!$C$7="Développement interne","COFINA",CRM!$C$8)</f>
        <v>0</v>
      </c>
      <c r="G16" s="19" t="str">
        <f>CRM!$C$14</f>
        <v>Moyen</v>
      </c>
      <c r="H16" s="19">
        <f>CRM!$C$10</f>
        <v>0</v>
      </c>
      <c r="I16" s="19">
        <f>CRM!$C$11</f>
        <v>0</v>
      </c>
      <c r="J16" s="19" t="str">
        <f>LEFT(CRM!$C$36,3)</f>
        <v/>
      </c>
      <c r="K16" s="19">
        <f>CRM!$C$43</f>
        <v>0</v>
      </c>
      <c r="L16" s="35">
        <f>CRM!$C$26</f>
        <v>0</v>
      </c>
      <c r="M16" s="19">
        <f>CRM!$C$30</f>
        <v>0</v>
      </c>
      <c r="N16" s="19">
        <f>CRM!$C$31</f>
        <v>0</v>
      </c>
      <c r="O16" s="19">
        <f>CRM!$C$21</f>
        <v>0</v>
      </c>
      <c r="P16" s="19">
        <f>CRM!$C$57</f>
        <v>0</v>
      </c>
      <c r="Q16" s="19">
        <f>CRM!$C$37</f>
        <v>0</v>
      </c>
      <c r="R16" s="19">
        <f>CRM!$C$38</f>
        <v>0</v>
      </c>
      <c r="S16" s="19">
        <f>CRM!$C$50</f>
        <v>0</v>
      </c>
    </row>
    <row r="17" spans="2:19" s="16" customFormat="1" ht="21.95" customHeight="1">
      <c r="B17" s="18">
        <f>IF(COUNT(CC!$E$7:$E$61)=0,1,SUM(CC!$E$7:$E$61)/COUNT(CC!$E$7:$E$61))</f>
        <v>1</v>
      </c>
      <c r="C17" s="19"/>
      <c r="D17" s="130" t="s">
        <v>25</v>
      </c>
      <c r="E17" s="19" t="str">
        <f>IF(CC!$C$7="Non prévu",CC!$C$7,CC!$C$9)</f>
        <v>Non prévu</v>
      </c>
      <c r="F17" s="19">
        <f>IF(CC!$C$7="Développement interne","COFINA",CC!$C$8)</f>
        <v>0</v>
      </c>
      <c r="G17" s="19" t="str">
        <f>CC!$C$14</f>
        <v>Moyen</v>
      </c>
      <c r="H17" s="19">
        <f>CC!$C$10</f>
        <v>0</v>
      </c>
      <c r="I17" s="19">
        <f>CC!$C$11</f>
        <v>0</v>
      </c>
      <c r="J17" s="19" t="str">
        <f>LEFT(CC!$C$36,3)</f>
        <v/>
      </c>
      <c r="K17" s="19">
        <f>CC!$C$43</f>
        <v>0</v>
      </c>
      <c r="L17" s="35">
        <f>CC!$C$26</f>
        <v>0</v>
      </c>
      <c r="M17" s="19">
        <f>CC!$C$30</f>
        <v>0</v>
      </c>
      <c r="N17" s="19">
        <f>CC!$C$31</f>
        <v>0</v>
      </c>
      <c r="O17" s="19">
        <f>CC!$C$21</f>
        <v>0</v>
      </c>
      <c r="P17" s="19">
        <f>CC!$C$57</f>
        <v>0</v>
      </c>
      <c r="Q17" s="19">
        <f>CC!$C$37</f>
        <v>0</v>
      </c>
      <c r="R17" s="19">
        <f>CC!$C$38</f>
        <v>0</v>
      </c>
      <c r="S17" s="19">
        <f>CC!$C$50</f>
        <v>0</v>
      </c>
    </row>
    <row r="18" spans="2:19" s="16" customFormat="1" ht="21.95" customHeight="1">
      <c r="B18" s="18">
        <f>SUM(DocM!$E$7:$E$61)/COUNT(DocM!$E$7:$E$61)</f>
        <v>1</v>
      </c>
      <c r="C18" s="19"/>
      <c r="D18" s="19" t="s">
        <v>25</v>
      </c>
      <c r="E18" s="19" t="str">
        <f>IF(DocM!$C$7="Non prévu",DocM!$C$7,DocM!$C$9)</f>
        <v>Non prévu</v>
      </c>
      <c r="F18" s="19">
        <f>IF(DocM!$C$7="Développement interne","COFINA",DocM!$C$8)</f>
        <v>0</v>
      </c>
      <c r="G18" s="19" t="str">
        <f>DocM!$C$14</f>
        <v>Faible</v>
      </c>
      <c r="H18" s="19">
        <f>DocM!$C$10</f>
        <v>0</v>
      </c>
      <c r="I18" s="19">
        <f>DocM!$C$11</f>
        <v>0</v>
      </c>
      <c r="J18" s="19" t="str">
        <f>LEFT(DocM!$C$36,3)</f>
        <v/>
      </c>
      <c r="K18" s="19">
        <f>DocM!$C$43</f>
        <v>0</v>
      </c>
      <c r="L18" s="35">
        <f>DocM!$C$26</f>
        <v>0</v>
      </c>
      <c r="M18" s="19">
        <f>DocM!$C$30</f>
        <v>0</v>
      </c>
      <c r="N18" s="19">
        <f>DocM!$C$31</f>
        <v>0</v>
      </c>
      <c r="O18" s="19">
        <f>DocM!$C$21</f>
        <v>0</v>
      </c>
      <c r="P18" s="19">
        <f>DocM!$C$57</f>
        <v>0</v>
      </c>
      <c r="Q18" s="19">
        <f>DocM!$C$37</f>
        <v>0</v>
      </c>
      <c r="R18" s="19">
        <f>DocM!$C$38</f>
        <v>0</v>
      </c>
      <c r="S18" s="19">
        <f>DocM!$C$50</f>
        <v>0</v>
      </c>
    </row>
    <row r="19" spans="2:19" s="16" customFormat="1" ht="21.95" customHeight="1">
      <c r="B19" s="18">
        <f>SUM(BI!$E$7:$E$59)/COUNT(BI!$E$7:$E$59)</f>
        <v>1</v>
      </c>
      <c r="C19" s="19"/>
      <c r="D19" s="19" t="s">
        <v>25</v>
      </c>
      <c r="E19" s="19" t="str">
        <f>IF(BI!$C$7="Non prévu",BI!$C$7,BI!$C$9)</f>
        <v>Non prévu</v>
      </c>
      <c r="F19" s="19">
        <f>IF(BI!$C$7="Développement interne","COFINA",BI!$C$8)</f>
        <v>0</v>
      </c>
      <c r="G19" s="19" t="str">
        <f>BI!$C$14</f>
        <v>Moyen</v>
      </c>
      <c r="H19" s="19">
        <f>BI!$C$51</f>
        <v>0</v>
      </c>
      <c r="I19" s="19">
        <f>BI!$C$11</f>
        <v>0</v>
      </c>
      <c r="J19" s="19" t="str">
        <f>LEFT(BI!$C$34,3)</f>
        <v/>
      </c>
      <c r="K19" s="19">
        <f>BI!$C$41</f>
        <v>0</v>
      </c>
      <c r="L19" s="35">
        <f>BI!$C$24</f>
        <v>0</v>
      </c>
      <c r="M19" s="19">
        <f>BI!$C$28</f>
        <v>0</v>
      </c>
      <c r="N19" s="19">
        <f>BI!$C$29</f>
        <v>0</v>
      </c>
      <c r="O19" s="19">
        <f>BI!$C$19</f>
        <v>0</v>
      </c>
      <c r="P19" s="19">
        <f>BI!$C$55</f>
        <v>0</v>
      </c>
      <c r="Q19" s="19">
        <f>BI!$C$35</f>
        <v>0</v>
      </c>
      <c r="R19" s="19">
        <f>BI!$C$36</f>
        <v>0</v>
      </c>
      <c r="S19" s="19">
        <f>BI!$C$47</f>
        <v>0</v>
      </c>
    </row>
    <row r="20" spans="2:19" s="16" customFormat="1" ht="21.95" customHeight="1">
      <c r="B20" s="18">
        <f>SUM(SOA!$E$7:$E$52)/COUNT(SOA!$E$7:$E$52)</f>
        <v>1</v>
      </c>
      <c r="C20" s="19"/>
      <c r="D20" s="19" t="s">
        <v>25</v>
      </c>
      <c r="E20" s="19" t="str">
        <f>IF(BI!$C$7="Non prévu",BI!$C$7,BI!$C$9)</f>
        <v>Non prévu</v>
      </c>
      <c r="F20" s="19">
        <f>IF(BI!$C$7="Développement interne","COFINA",BI!$C$8)</f>
        <v>0</v>
      </c>
      <c r="G20" s="19" t="str">
        <f>BI!$C$14</f>
        <v>Moyen</v>
      </c>
      <c r="H20" s="19">
        <f>BI!$C$51</f>
        <v>0</v>
      </c>
      <c r="I20" s="19">
        <f>BI!$C$11</f>
        <v>0</v>
      </c>
      <c r="J20" s="19" t="str">
        <f>LEFT(BI!$C$34,3)</f>
        <v/>
      </c>
      <c r="K20" s="19">
        <f>BI!$C$41</f>
        <v>0</v>
      </c>
      <c r="L20" s="35">
        <f>BI!$C$24</f>
        <v>0</v>
      </c>
      <c r="M20" s="19">
        <f>BI!$C$28</f>
        <v>0</v>
      </c>
      <c r="N20" s="19">
        <f>BI!$C$29</f>
        <v>0</v>
      </c>
      <c r="O20" s="19">
        <f>BI!$C$19</f>
        <v>0</v>
      </c>
      <c r="P20" s="19">
        <f>BI!$C$55</f>
        <v>0</v>
      </c>
      <c r="Q20" s="19">
        <f>BI!$C$35</f>
        <v>0</v>
      </c>
      <c r="R20" s="19">
        <f>BI!$C$36</f>
        <v>0</v>
      </c>
      <c r="S20" s="19">
        <f>BI!$C$47</f>
        <v>0</v>
      </c>
    </row>
    <row r="21" spans="2:19" s="16" customFormat="1" ht="21.95" customHeight="1">
      <c r="B21" s="18">
        <f>SUM('ERP1'!$E$7:$E$61)/COUNT('ERP1'!$E$7:$E$61)</f>
        <v>1</v>
      </c>
      <c r="C21" s="19"/>
      <c r="D21" s="19" t="s">
        <v>22</v>
      </c>
      <c r="E21" s="19" t="str">
        <f>IF('ERP1'!$C$7="Non prévu",'ERP1'!$C$7,'ERP1'!$C$9)</f>
        <v>Non</v>
      </c>
      <c r="F21" s="19" t="str">
        <f>IF('ERP1'!$C$7="Développement interne","COFINA",'ERP1'!$C$8)</f>
        <v>Oui</v>
      </c>
      <c r="G21" s="19">
        <f>'ERP1'!$C$14</f>
        <v>2024</v>
      </c>
      <c r="H21" s="39" t="str">
        <f>'ERP1'!$C$16</f>
        <v>Très haut</v>
      </c>
      <c r="I21" s="39" t="str">
        <f>'ERP1'!$C$11</f>
        <v>Non</v>
      </c>
      <c r="J21" s="19" t="str">
        <f>LEFT('ERP1'!$C$36,3)</f>
        <v/>
      </c>
      <c r="K21" s="19">
        <f>'ERP1'!$C$43</f>
        <v>0</v>
      </c>
      <c r="L21" s="35" t="str">
        <f>'ERP1'!$C$26</f>
        <v>Non</v>
      </c>
      <c r="M21" s="19" t="str">
        <f>'ERP1'!$C$30</f>
        <v>journaliere</v>
      </c>
      <c r="N21" s="19" t="str">
        <f>'ERP1'!$C$31</f>
        <v>Oui</v>
      </c>
      <c r="O21" s="19" t="str">
        <f>'ERP1'!$C$21</f>
        <v>Non</v>
      </c>
      <c r="P21" s="39">
        <f>'ERP1'!$C$57</f>
        <v>0</v>
      </c>
      <c r="Q21" s="19">
        <f>'ERP1'!$C$37</f>
        <v>0</v>
      </c>
      <c r="R21" s="19">
        <f>'ERP1'!$C$38</f>
        <v>0</v>
      </c>
      <c r="S21" s="39">
        <f>'ERP1'!$C$50</f>
        <v>0</v>
      </c>
    </row>
    <row r="22" spans="2:19" s="16" customFormat="1" ht="21.95" customHeight="1">
      <c r="B22" s="18">
        <f>SUM('ERP2'!$E$7:$E$59)/COUNT('ERP2'!$E$7:$E$59)</f>
        <v>1</v>
      </c>
      <c r="C22" s="19"/>
      <c r="D22" s="19" t="s">
        <v>22</v>
      </c>
      <c r="E22" s="19" t="str">
        <f>IF('ERP2'!$C$7="Non prévu",'ERP2'!$C$7,'ERP2'!$C$9)</f>
        <v>digitalisée d'évaluation des performances de COFINA</v>
      </c>
      <c r="F22" s="19" t="str">
        <f>IF('ERP2'!$C$7="Développement interne","COFINA",'ERP2'!$C$8)</f>
        <v>COFINA</v>
      </c>
      <c r="G22" s="19" t="str">
        <f>'ERP2'!$C$14</f>
        <v>Moyen</v>
      </c>
      <c r="H22" s="39" t="str">
        <f>'ERP2'!$C$10</f>
        <v>Voir IT GROUPE</v>
      </c>
      <c r="I22" s="39" t="str">
        <f>'ERP2'!$C$11</f>
        <v>Voir IT GROUPE</v>
      </c>
      <c r="J22" s="19" t="str">
        <f>LEFT('ERP2'!$C$34,3)</f>
        <v>NON</v>
      </c>
      <c r="K22" s="19" t="str">
        <f>'ERP2'!$C$41</f>
        <v>On-site</v>
      </c>
      <c r="L22" s="35" t="str">
        <f>'ERP2'!$C$24</f>
        <v>Voir IT GROUPE</v>
      </c>
      <c r="M22" s="19" t="str">
        <f>'ERP2'!$C$28</f>
        <v>Voir IT GROUPE</v>
      </c>
      <c r="N22" s="19" t="str">
        <f>'ERP2'!$C$29</f>
        <v>Voir IT GROUPE</v>
      </c>
      <c r="O22" s="19" t="str">
        <f>'ERP2'!$C$19</f>
        <v>Haut</v>
      </c>
      <c r="P22" s="39" t="str">
        <f>'ERP2'!$C$55</f>
        <v>Non</v>
      </c>
      <c r="Q22" s="19" t="str">
        <f>'ERP2'!$C$35</f>
        <v xml:space="preserve">1. Niveau 1 :
o Nombre d'ETP : 4
o Répartition des Activités : Résolution des tickets de premier niveau, support de base aux utilisateurs, gestion des demandes simples et Analyse des incidents 
2. Niveau 2 :
o Nombre d'ETP : 5
o Entité : Holding
o Répartition des Activités : Analyse des incidents plus complexes, gestion des escalades du niveau 1, résolution de problèmes techniques avancés.
o Compétences : Expertise technique, capacité à résoudre des problèmes complexes.
o Rôles : Technicien Support Niveau 2
</v>
      </c>
      <c r="R22" s="19" t="str">
        <f>'ERP2'!$C$36</f>
        <v xml:space="preserve">Holding : ETP dédiés : 3
Filiale : ETP dédiés : 1
</v>
      </c>
      <c r="S22" s="39" t="str">
        <f>'ERP2'!$C$48</f>
        <v>Oui</v>
      </c>
    </row>
    <row r="23" spans="2:19" s="16" customFormat="1" ht="21.95" customHeight="1">
      <c r="B23" s="18">
        <f>SUM(Achats!$E$7:$E$59)/COUNT(Achats!$E$7:$E$59)</f>
        <v>1</v>
      </c>
      <c r="C23" s="19"/>
      <c r="D23" s="19" t="s">
        <v>22</v>
      </c>
      <c r="E23" s="19" t="str">
        <f>IF(Achats!$C$7="Non prévu",Achats!$C$7,Achats!$C$9)</f>
        <v>COFIFED</v>
      </c>
      <c r="F23" s="19" t="str">
        <f>IF(Achats!$C$7="Développement interne","COFINA",Achats!$C$8)</f>
        <v>COFINA</v>
      </c>
      <c r="G23" s="19" t="str">
        <f>Achats!$C$14</f>
        <v>Moyen</v>
      </c>
      <c r="H23" s="39" t="str">
        <f>Achats!$C$10</f>
        <v>1.1</v>
      </c>
      <c r="I23" s="39" t="str">
        <f>Achats!$C$11</f>
        <v>1.2</v>
      </c>
      <c r="J23" s="19" t="str">
        <f>LEFT(Achats!$C$34,3)</f>
        <v>NON</v>
      </c>
      <c r="K23" s="19" t="str">
        <f>Achats!$C$41</f>
        <v>On-site</v>
      </c>
      <c r="L23" s="35" t="str">
        <f>Achats!$C$24</f>
        <v>Illimité</v>
      </c>
      <c r="M23" s="19" t="str">
        <f>Achats!$C$28</f>
        <v>NON</v>
      </c>
      <c r="N23" s="19" t="str">
        <f>Achats!$C$29</f>
        <v>NON</v>
      </c>
      <c r="O23" s="19" t="str">
        <f>Achats!$C$19</f>
        <v>Moyen</v>
      </c>
      <c r="P23" s="39" t="str">
        <f>Achats!$C$55</f>
        <v>Oui</v>
      </c>
      <c r="Q23" s="19" t="str">
        <f>Achats!$C$35</f>
        <v>Niveau 1:  Filiale : ETP dédiés : 3                                                                                                                          Niveau 2 : Filiale : ETP dédiés : 3                                                                                                                                Niveau 3 :  Filiale d'ETP : 3</v>
      </c>
      <c r="R23" s="19" t="str">
        <f>Achats!$C$36</f>
        <v xml:space="preserve">
Filiale : ETP dédiés : 3
</v>
      </c>
      <c r="S23" s="39" t="str">
        <f>Achats!$C$48</f>
        <v>Non</v>
      </c>
    </row>
    <row r="24" spans="2:19" s="16" customFormat="1" ht="21.95" customHeight="1">
      <c r="B24" s="18">
        <f>SUM(GC!$E$7:$E$59)/COUNT(GC!$E$7:$E$59)</f>
        <v>1</v>
      </c>
      <c r="C24" s="19"/>
      <c r="D24" s="19" t="s">
        <v>22</v>
      </c>
      <c r="E24" s="19" t="str">
        <f>IF(GC!$C$7="Non prévu",GC!$C$7,GC!$C$9)</f>
        <v>application de recrutement RH  &amp; gestion des contrats</v>
      </c>
      <c r="F24" s="19" t="str">
        <f>IF(GC!$C$7="Développement interne","COFINA",GC!$C$8)</f>
        <v>COFINA</v>
      </c>
      <c r="G24" s="19" t="str">
        <f>GC!$C$14</f>
        <v>Moyen</v>
      </c>
      <c r="H24" s="39" t="str">
        <f>GC!$C$10</f>
        <v>1.0</v>
      </c>
      <c r="I24" s="39" t="str">
        <f>GC!$C$11</f>
        <v>1.0</v>
      </c>
      <c r="J24" s="19" t="str">
        <f>LEFT(GC!$C$34,3)</f>
        <v>Non</v>
      </c>
      <c r="K24" s="19" t="str">
        <f>GC!$C$41</f>
        <v>On-site</v>
      </c>
      <c r="L24" s="35" t="str">
        <f>GC!$C$24</f>
        <v>Illimité</v>
      </c>
      <c r="M24" s="19" t="str">
        <f>GC!$C$28</f>
        <v>NON</v>
      </c>
      <c r="N24" s="19" t="str">
        <f>GC!$C$29</f>
        <v>NON</v>
      </c>
      <c r="O24" s="19" t="str">
        <f>GC!$C$19</f>
        <v>Très haut</v>
      </c>
      <c r="P24" s="39" t="str">
        <f>GC!$C$55</f>
        <v>Non</v>
      </c>
      <c r="Q24" s="19" t="str">
        <f>GC!$C$35</f>
        <v>Niveau 1:  Holding : ETP dédiés : 3                                                                                                                       Niveau 2 : Filiale : ETP dédiés : 3                                                                                                                                GROUPE</v>
      </c>
      <c r="R24" s="19" t="str">
        <f>GC!$C$36</f>
        <v>Holding : ETP dédiés : 3
Filiale : ETP dédiés : 1</v>
      </c>
      <c r="S24" s="39" t="str">
        <f>GC!$C$48</f>
        <v>Non</v>
      </c>
    </row>
    <row r="25" spans="2:19" s="16" customFormat="1" ht="21.95" customHeight="1">
      <c r="B25" s="18">
        <f>SUM(Mail!$E$7:$E$42)/COUNT(Mail!$E$7:$E$42)</f>
        <v>1</v>
      </c>
      <c r="C25" s="19"/>
      <c r="D25" s="19" t="s">
        <v>22</v>
      </c>
      <c r="E25" s="19" t="str">
        <f>IF(Mail!$C$7="Non prévu",Mail!$C$7,Mail!$C$9)</f>
        <v>OFFICE 365</v>
      </c>
      <c r="F25" s="19" t="str">
        <f>IF(Mail!$C$7="Développement interne","COFINA",Mail!$C$8)</f>
        <v>Microsoft</v>
      </c>
      <c r="G25" s="19" t="str">
        <f>Mail!$C$17</f>
        <v>Primoridal</v>
      </c>
      <c r="H25" s="39" t="str">
        <f>Mail!$C$10</f>
        <v>NA</v>
      </c>
      <c r="I25" s="39" t="str">
        <f>Mail!$C$11</f>
        <v>NA</v>
      </c>
      <c r="J25" s="19" t="str">
        <f>LEFT(Mail!$C$28,3)</f>
        <v>Non</v>
      </c>
      <c r="K25" s="19" t="str">
        <f>Mail!$C$12</f>
        <v>Cloud</v>
      </c>
      <c r="L25" s="35"/>
      <c r="M25" s="19" t="str">
        <f>Mail!$C$25</f>
        <v>NA</v>
      </c>
      <c r="N25" s="19"/>
      <c r="O25" s="19"/>
      <c r="P25" s="39" t="str">
        <f>Mail!$C$38</f>
        <v>Non</v>
      </c>
      <c r="Q25" s="19" t="str">
        <f>Mail!$C$29</f>
        <v>N1 &amp; 2</v>
      </c>
      <c r="R25" s="19"/>
      <c r="S25" s="39" t="str">
        <f>Mail!$C$33</f>
        <v>Oui</v>
      </c>
    </row>
    <row r="26" spans="2:19" s="16" customFormat="1" ht="21.95" customHeight="1">
      <c r="B26" s="18">
        <f>Others!E177</f>
        <v>0.96969696969696972</v>
      </c>
      <c r="C26" s="19"/>
      <c r="D26" s="19">
        <f>Others!F177</f>
        <v>1</v>
      </c>
      <c r="E26" s="19"/>
      <c r="F26" s="19"/>
      <c r="G26" s="19"/>
      <c r="H26" s="19"/>
      <c r="I26" s="19"/>
      <c r="J26" s="19"/>
      <c r="K26" s="19"/>
      <c r="L26" s="19"/>
      <c r="M26" s="19"/>
      <c r="N26" s="19"/>
      <c r="O26" s="19"/>
      <c r="P26" s="19"/>
      <c r="Q26" s="19"/>
      <c r="R26" s="19"/>
      <c r="S26" s="19"/>
    </row>
    <row r="27" spans="2:19" s="16" customFormat="1" ht="21.95" customHeight="1">
      <c r="B27" s="18">
        <f>IT!E93</f>
        <v>1</v>
      </c>
      <c r="C27" s="19"/>
      <c r="D27" s="19" t="s">
        <v>22</v>
      </c>
      <c r="E27" s="19"/>
      <c r="F27" s="19"/>
      <c r="G27" s="19"/>
      <c r="H27" s="19"/>
      <c r="I27" s="19"/>
      <c r="J27" s="19"/>
      <c r="K27" s="19"/>
      <c r="L27" s="19"/>
      <c r="M27" s="19"/>
      <c r="N27" s="19"/>
      <c r="O27" s="19"/>
      <c r="P27" s="19"/>
      <c r="Q27" s="19"/>
      <c r="R27" s="19"/>
      <c r="S27" s="19"/>
    </row>
  </sheetData>
  <mergeCells count="5">
    <mergeCell ref="B6:S6"/>
    <mergeCell ref="I1:L1"/>
    <mergeCell ref="D3:E3"/>
    <mergeCell ref="I3:K3"/>
    <mergeCell ref="C8:C9"/>
  </mergeCells>
  <conditionalFormatting sqref="B8:B27 D3">
    <cfRule type="dataBar" priority="21">
      <dataBar>
        <cfvo type="num" val="0"/>
        <cfvo type="num" val="1"/>
        <color theme="9" tint="-0.249977111117893"/>
      </dataBar>
      <extLst>
        <ext xmlns:x14="http://schemas.microsoft.com/office/spreadsheetml/2009/9/main" uri="{B025F937-C7B1-47D3-B67F-A62EFF666E3E}">
          <x14:id>{BACDB6A3-1915-4E47-A57E-07F565727D20}</x14:id>
        </ext>
      </extLst>
    </cfRule>
  </conditionalFormatting>
  <conditionalFormatting sqref="D8:D25">
    <cfRule type="containsText" dxfId="818" priority="16" operator="containsText" text="Non">
      <formula>NOT(ISERROR(SEARCH("Non",D8)))</formula>
    </cfRule>
    <cfRule type="containsText" dxfId="817" priority="17" operator="containsText" text="Oui">
      <formula>NOT(ISERROR(SEARCH("Oui",D8)))</formula>
    </cfRule>
  </conditionalFormatting>
  <conditionalFormatting sqref="D26:D27">
    <cfRule type="expression" dxfId="816" priority="3">
      <formula>D26&lt;1</formula>
    </cfRule>
  </conditionalFormatting>
  <conditionalFormatting sqref="E8:P25 S8:S25">
    <cfRule type="expression" dxfId="815" priority="9">
      <formula>LEN(E8)&lt;=1</formula>
    </cfRule>
  </conditionalFormatting>
  <conditionalFormatting sqref="E26:S27">
    <cfRule type="expression" dxfId="814" priority="4">
      <formula>LEN(E26)&lt;=1</formula>
    </cfRule>
  </conditionalFormatting>
  <conditionalFormatting sqref="I3">
    <cfRule type="dataBar" priority="1">
      <dataBar>
        <cfvo type="num" val="0"/>
        <cfvo type="num" val="1"/>
        <color theme="9" tint="-0.249977111117893"/>
      </dataBar>
      <extLst>
        <ext xmlns:x14="http://schemas.microsoft.com/office/spreadsheetml/2009/9/main" uri="{B025F937-C7B1-47D3-B67F-A62EFF666E3E}">
          <x14:id>{97116427-86CA-42CC-8E75-3519AF01CA92}</x14:id>
        </ext>
      </extLst>
    </cfRule>
  </conditionalFormatting>
  <conditionalFormatting sqref="Q8:R25">
    <cfRule type="expression" dxfId="813" priority="5">
      <formula>Q8&lt;1</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ACDB6A3-1915-4E47-A57E-07F565727D20}">
            <x14:dataBar minLength="0" maxLength="100">
              <x14:cfvo type="num">
                <xm:f>0</xm:f>
              </x14:cfvo>
              <x14:cfvo type="num">
                <xm:f>1</xm:f>
              </x14:cfvo>
              <x14:negativeFillColor rgb="FFFF0000"/>
              <x14:axisColor rgb="FF000000"/>
            </x14:dataBar>
          </x14:cfRule>
          <xm:sqref>B8:B27 D3</xm:sqref>
        </x14:conditionalFormatting>
        <x14:conditionalFormatting xmlns:xm="http://schemas.microsoft.com/office/excel/2006/main">
          <x14:cfRule type="dataBar" id="{97116427-86CA-42CC-8E75-3519AF01CA92}">
            <x14:dataBar minLength="0" maxLength="100">
              <x14:cfvo type="num">
                <xm:f>0</xm:f>
              </x14:cfvo>
              <x14:cfvo type="num">
                <xm:f>1</xm:f>
              </x14:cfvo>
              <x14:negativeFillColor rgb="FFFF0000"/>
              <x14:axisColor rgb="FF000000"/>
            </x14:dataBar>
          </x14:cfRule>
          <xm:sqref>I3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0746A"/>
  </sheetPr>
  <dimension ref="A1:H136"/>
  <sheetViews>
    <sheetView showGridLines="0" zoomScale="150" zoomScaleNormal="150" workbookViewId="0">
      <pane ySplit="2" topLeftCell="A3" activePane="bottomLeft" state="frozen"/>
      <selection pane="bottomLeft" activeCell="C3" sqref="C3"/>
    </sheetView>
  </sheetViews>
  <sheetFormatPr defaultColWidth="11.42578125" defaultRowHeight="14.25"/>
  <cols>
    <col min="1" max="1" width="82.42578125" style="1" customWidth="1"/>
    <col min="2" max="2" width="103.28515625" style="1" customWidth="1"/>
    <col min="3" max="3" width="13.42578125" customWidth="1"/>
    <col min="4" max="4" width="22.85546875" style="15" customWidth="1"/>
    <col min="5" max="8" width="10.140625" customWidth="1"/>
  </cols>
  <sheetData>
    <row r="1" spans="1:6">
      <c r="A1" s="302" t="s">
        <v>26</v>
      </c>
      <c r="B1" s="302"/>
    </row>
    <row r="2" spans="1:6" ht="18">
      <c r="A2" s="131" t="s">
        <v>27</v>
      </c>
      <c r="B2" s="132">
        <f>C136</f>
        <v>1</v>
      </c>
      <c r="D2" s="131" t="s">
        <v>28</v>
      </c>
    </row>
    <row r="3" spans="1:6" s="98" customFormat="1" ht="63">
      <c r="A3" s="101" t="s">
        <v>29</v>
      </c>
      <c r="B3" s="99" t="s">
        <v>30</v>
      </c>
      <c r="C3" s="4" t="s">
        <v>31</v>
      </c>
      <c r="D3" s="4" t="s">
        <v>32</v>
      </c>
      <c r="F3" s="253" t="s">
        <v>33</v>
      </c>
    </row>
    <row r="4" spans="1:6" ht="178.5">
      <c r="A4" s="103" t="s">
        <v>34</v>
      </c>
      <c r="B4" s="108" t="s">
        <v>35</v>
      </c>
      <c r="C4" s="12">
        <f>IF(TRIM(B4)="",0,1)</f>
        <v>1</v>
      </c>
      <c r="D4" s="228" t="s">
        <v>36</v>
      </c>
    </row>
    <row r="5" spans="1:6" ht="409.5">
      <c r="A5" s="103" t="s">
        <v>37</v>
      </c>
      <c r="B5" s="108" t="s">
        <v>38</v>
      </c>
      <c r="C5" s="12">
        <f>IF(TRIM(B5)="",0,1)</f>
        <v>1</v>
      </c>
      <c r="D5" s="192" t="s">
        <v>39</v>
      </c>
    </row>
    <row r="6" spans="1:6">
      <c r="A6" s="103" t="s">
        <v>40</v>
      </c>
      <c r="B6" s="108" t="s">
        <v>22</v>
      </c>
      <c r="C6" s="12">
        <f t="shared" ref="C6" si="0">IF(TRIM(B6)="",0,1)</f>
        <v>1</v>
      </c>
      <c r="D6" s="164" t="s">
        <v>39</v>
      </c>
    </row>
    <row r="7" spans="1:6" ht="76.5">
      <c r="A7" s="103" t="s">
        <v>41</v>
      </c>
      <c r="B7" s="108" t="s">
        <v>42</v>
      </c>
      <c r="C7" s="12">
        <f t="shared" ref="C7:C73" si="1">IF(TRIM(B7)="",0,1)</f>
        <v>1</v>
      </c>
      <c r="D7" s="228" t="s">
        <v>43</v>
      </c>
    </row>
    <row r="8" spans="1:6">
      <c r="A8" s="103" t="s">
        <v>44</v>
      </c>
      <c r="B8" s="238" t="s">
        <v>45</v>
      </c>
      <c r="C8" s="12">
        <f t="shared" si="1"/>
        <v>1</v>
      </c>
      <c r="D8" s="164" t="s">
        <v>39</v>
      </c>
    </row>
    <row r="9" spans="1:6">
      <c r="A9" s="103" t="s">
        <v>46</v>
      </c>
      <c r="B9" s="108" t="s">
        <v>42</v>
      </c>
      <c r="C9" s="12">
        <f t="shared" si="1"/>
        <v>1</v>
      </c>
      <c r="D9" s="164" t="s">
        <v>39</v>
      </c>
    </row>
    <row r="10" spans="1:6" ht="216.75">
      <c r="A10" s="103" t="s">
        <v>47</v>
      </c>
      <c r="B10" s="239" t="s">
        <v>48</v>
      </c>
      <c r="C10" s="12">
        <f t="shared" si="1"/>
        <v>1</v>
      </c>
      <c r="D10" s="164" t="s">
        <v>49</v>
      </c>
    </row>
    <row r="11" spans="1:6" ht="191.25">
      <c r="A11" s="103" t="s">
        <v>50</v>
      </c>
      <c r="B11" s="108" t="s">
        <v>51</v>
      </c>
      <c r="C11" s="12">
        <f>IF(TRIM(B11)="",0,1)</f>
        <v>1</v>
      </c>
      <c r="D11" s="193" t="s">
        <v>49</v>
      </c>
    </row>
    <row r="12" spans="1:6" ht="15.75">
      <c r="A12" s="102" t="s">
        <v>52</v>
      </c>
      <c r="B12" s="99" t="s">
        <v>30</v>
      </c>
      <c r="D12" s="4" t="s">
        <v>32</v>
      </c>
    </row>
    <row r="13" spans="1:6" ht="25.5">
      <c r="A13" s="103" t="s">
        <v>53</v>
      </c>
      <c r="B13" s="229" t="s">
        <v>42</v>
      </c>
      <c r="C13" s="12">
        <f t="shared" si="1"/>
        <v>1</v>
      </c>
      <c r="D13" s="164" t="s">
        <v>54</v>
      </c>
    </row>
    <row r="14" spans="1:6" ht="25.5">
      <c r="A14" s="103" t="s">
        <v>55</v>
      </c>
      <c r="B14" s="229" t="s">
        <v>56</v>
      </c>
      <c r="C14" s="12">
        <f t="shared" si="1"/>
        <v>1</v>
      </c>
      <c r="D14" s="164" t="s">
        <v>54</v>
      </c>
    </row>
    <row r="15" spans="1:6">
      <c r="A15" s="103" t="s">
        <v>57</v>
      </c>
      <c r="B15" s="229" t="s">
        <v>42</v>
      </c>
      <c r="C15" s="12">
        <f t="shared" si="1"/>
        <v>1</v>
      </c>
      <c r="D15" s="164" t="s">
        <v>54</v>
      </c>
    </row>
    <row r="16" spans="1:6" ht="89.25">
      <c r="A16" s="103" t="s">
        <v>58</v>
      </c>
      <c r="B16" s="229" t="s">
        <v>56</v>
      </c>
      <c r="C16" s="12">
        <f t="shared" si="1"/>
        <v>1</v>
      </c>
      <c r="D16" s="164" t="s">
        <v>54</v>
      </c>
    </row>
    <row r="17" spans="1:4" ht="25.5">
      <c r="A17" s="103" t="s">
        <v>59</v>
      </c>
      <c r="B17" s="229" t="s">
        <v>60</v>
      </c>
      <c r="C17" s="12">
        <f t="shared" si="1"/>
        <v>1</v>
      </c>
      <c r="D17" s="164" t="s">
        <v>54</v>
      </c>
    </row>
    <row r="18" spans="1:4" ht="105">
      <c r="A18" s="103" t="s">
        <v>61</v>
      </c>
      <c r="B18" s="240" t="s">
        <v>62</v>
      </c>
      <c r="C18" s="12">
        <f t="shared" si="1"/>
        <v>1</v>
      </c>
      <c r="D18" s="164" t="s">
        <v>63</v>
      </c>
    </row>
    <row r="19" spans="1:4" ht="105">
      <c r="A19" s="103" t="s">
        <v>64</v>
      </c>
      <c r="B19" s="240" t="s">
        <v>65</v>
      </c>
      <c r="C19" s="12">
        <f t="shared" si="1"/>
        <v>1</v>
      </c>
      <c r="D19" s="164" t="s">
        <v>63</v>
      </c>
    </row>
    <row r="20" spans="1:4" ht="25.5">
      <c r="A20" s="103" t="s">
        <v>66</v>
      </c>
      <c r="B20" s="21" t="s">
        <v>67</v>
      </c>
      <c r="C20" s="12">
        <f t="shared" si="1"/>
        <v>1</v>
      </c>
      <c r="D20" s="164" t="s">
        <v>68</v>
      </c>
    </row>
    <row r="21" spans="1:4" ht="25.5">
      <c r="A21" s="103" t="s">
        <v>69</v>
      </c>
      <c r="B21" s="21" t="s">
        <v>24</v>
      </c>
      <c r="C21" s="12">
        <f>IF(TRIM(B21)="",0,1)</f>
        <v>1</v>
      </c>
      <c r="D21" s="230" t="s">
        <v>70</v>
      </c>
    </row>
    <row r="22" spans="1:4">
      <c r="A22" s="103" t="s">
        <v>71</v>
      </c>
      <c r="B22" s="21" t="s">
        <v>72</v>
      </c>
      <c r="C22" s="12">
        <f>IF(TRIM(B22)="",0,1)</f>
        <v>1</v>
      </c>
      <c r="D22" s="164" t="s">
        <v>39</v>
      </c>
    </row>
    <row r="23" spans="1:4">
      <c r="A23" s="103" t="s">
        <v>73</v>
      </c>
      <c r="B23" s="21" t="s">
        <v>74</v>
      </c>
      <c r="C23" s="12">
        <f t="shared" si="1"/>
        <v>1</v>
      </c>
      <c r="D23" s="164" t="s">
        <v>39</v>
      </c>
    </row>
    <row r="24" spans="1:4" ht="15.75">
      <c r="A24" s="4" t="s">
        <v>75</v>
      </c>
      <c r="B24" s="99" t="s">
        <v>30</v>
      </c>
      <c r="D24" s="4" t="s">
        <v>32</v>
      </c>
    </row>
    <row r="25" spans="1:4" ht="45">
      <c r="A25" s="103" t="s">
        <v>76</v>
      </c>
      <c r="B25" s="240" t="s">
        <v>77</v>
      </c>
      <c r="C25" s="12">
        <f t="shared" si="1"/>
        <v>1</v>
      </c>
      <c r="D25" s="164" t="s">
        <v>63</v>
      </c>
    </row>
    <row r="26" spans="1:4">
      <c r="A26" s="103" t="s">
        <v>78</v>
      </c>
      <c r="B26" s="197" t="s">
        <v>56</v>
      </c>
      <c r="C26" s="12">
        <f t="shared" si="1"/>
        <v>1</v>
      </c>
      <c r="D26" s="230" t="s">
        <v>79</v>
      </c>
    </row>
    <row r="27" spans="1:4" ht="15.75">
      <c r="A27" s="4" t="s">
        <v>80</v>
      </c>
      <c r="B27" s="99" t="s">
        <v>30</v>
      </c>
      <c r="D27" s="4" t="s">
        <v>32</v>
      </c>
    </row>
    <row r="28" spans="1:4">
      <c r="A28" s="231" t="s">
        <v>81</v>
      </c>
      <c r="B28" s="21" t="s">
        <v>42</v>
      </c>
      <c r="C28" s="12">
        <f t="shared" si="1"/>
        <v>1</v>
      </c>
      <c r="D28" s="164" t="s">
        <v>54</v>
      </c>
    </row>
    <row r="29" spans="1:4">
      <c r="A29" s="103" t="s">
        <v>82</v>
      </c>
      <c r="B29" s="21" t="s">
        <v>83</v>
      </c>
      <c r="C29" s="12"/>
      <c r="D29" s="164" t="s">
        <v>54</v>
      </c>
    </row>
    <row r="30" spans="1:4">
      <c r="A30" s="103" t="s">
        <v>84</v>
      </c>
      <c r="B30" s="237" t="s">
        <v>85</v>
      </c>
      <c r="C30" s="12"/>
      <c r="D30" s="164" t="s">
        <v>54</v>
      </c>
    </row>
    <row r="31" spans="1:4" ht="51">
      <c r="A31" s="103" t="s">
        <v>86</v>
      </c>
      <c r="B31" s="235" t="s">
        <v>87</v>
      </c>
      <c r="C31" s="12"/>
      <c r="D31" s="164" t="s">
        <v>54</v>
      </c>
    </row>
    <row r="32" spans="1:4">
      <c r="A32" s="103" t="s">
        <v>88</v>
      </c>
      <c r="B32" s="237" t="s">
        <v>85</v>
      </c>
      <c r="C32" s="12">
        <f>IF(TRIM(B32)="",0,1)</f>
        <v>1</v>
      </c>
      <c r="D32" s="164" t="s">
        <v>54</v>
      </c>
    </row>
    <row r="33" spans="1:4" ht="38.25">
      <c r="A33" s="103" t="s">
        <v>89</v>
      </c>
      <c r="B33" s="235" t="s">
        <v>90</v>
      </c>
      <c r="C33" s="12">
        <f t="shared" si="1"/>
        <v>1</v>
      </c>
      <c r="D33" s="164" t="s">
        <v>91</v>
      </c>
    </row>
    <row r="34" spans="1:4" ht="89.25">
      <c r="A34" s="103" t="s">
        <v>92</v>
      </c>
      <c r="B34" s="21" t="s">
        <v>93</v>
      </c>
      <c r="C34" s="12">
        <f t="shared" si="1"/>
        <v>1</v>
      </c>
      <c r="D34" s="198" t="s">
        <v>94</v>
      </c>
    </row>
    <row r="35" spans="1:4">
      <c r="A35" s="191" t="s">
        <v>95</v>
      </c>
      <c r="B35" s="21" t="s">
        <v>96</v>
      </c>
      <c r="C35" s="12">
        <f t="shared" si="1"/>
        <v>1</v>
      </c>
      <c r="D35" s="164" t="s">
        <v>54</v>
      </c>
    </row>
    <row r="36" spans="1:4" ht="38.25">
      <c r="A36" s="231" t="s">
        <v>97</v>
      </c>
      <c r="B36" s="237" t="s">
        <v>98</v>
      </c>
      <c r="C36" s="12">
        <f t="shared" si="1"/>
        <v>1</v>
      </c>
      <c r="D36" s="164" t="s">
        <v>54</v>
      </c>
    </row>
    <row r="37" spans="1:4" ht="51">
      <c r="A37" s="191" t="s">
        <v>99</v>
      </c>
      <c r="B37" s="21" t="s">
        <v>100</v>
      </c>
      <c r="C37" s="12">
        <f t="shared" si="1"/>
        <v>1</v>
      </c>
      <c r="D37" s="164" t="s">
        <v>54</v>
      </c>
    </row>
    <row r="38" spans="1:4" ht="25.5">
      <c r="A38" s="103" t="s">
        <v>101</v>
      </c>
      <c r="B38" s="234" t="s">
        <v>102</v>
      </c>
      <c r="C38" s="12">
        <f t="shared" si="1"/>
        <v>1</v>
      </c>
      <c r="D38" s="164" t="s">
        <v>54</v>
      </c>
    </row>
    <row r="39" spans="1:4">
      <c r="A39" s="103" t="s">
        <v>103</v>
      </c>
      <c r="B39" s="235" t="s">
        <v>56</v>
      </c>
      <c r="C39" s="12">
        <f t="shared" si="1"/>
        <v>1</v>
      </c>
      <c r="D39" s="164" t="s">
        <v>54</v>
      </c>
    </row>
    <row r="40" spans="1:4">
      <c r="A40" s="231" t="s">
        <v>104</v>
      </c>
      <c r="B40" s="21" t="s">
        <v>105</v>
      </c>
      <c r="C40" s="12">
        <f t="shared" si="1"/>
        <v>1</v>
      </c>
      <c r="D40" s="164" t="s">
        <v>54</v>
      </c>
    </row>
    <row r="41" spans="1:4" ht="25.5">
      <c r="A41" s="191" t="s">
        <v>106</v>
      </c>
      <c r="B41" s="21" t="s">
        <v>22</v>
      </c>
      <c r="C41" s="12">
        <f t="shared" si="1"/>
        <v>1</v>
      </c>
      <c r="D41" s="164" t="s">
        <v>107</v>
      </c>
    </row>
    <row r="42" spans="1:4" ht="15.75">
      <c r="A42" s="4" t="s">
        <v>108</v>
      </c>
      <c r="B42" s="99" t="s">
        <v>30</v>
      </c>
      <c r="D42" s="4" t="s">
        <v>32</v>
      </c>
    </row>
    <row r="43" spans="1:4" ht="38.25">
      <c r="A43" s="231" t="s">
        <v>109</v>
      </c>
      <c r="B43" s="236" t="s">
        <v>110</v>
      </c>
      <c r="C43" s="12">
        <f t="shared" si="1"/>
        <v>1</v>
      </c>
      <c r="D43" s="164" t="s">
        <v>111</v>
      </c>
    </row>
    <row r="44" spans="1:4" ht="25.5">
      <c r="A44" s="103" t="s">
        <v>112</v>
      </c>
      <c r="B44" s="236" t="s">
        <v>113</v>
      </c>
      <c r="C44" s="12">
        <f t="shared" si="1"/>
        <v>1</v>
      </c>
      <c r="D44" s="164" t="s">
        <v>63</v>
      </c>
    </row>
    <row r="45" spans="1:4" s="233" customFormat="1">
      <c r="A45" s="231" t="s">
        <v>114</v>
      </c>
      <c r="B45" s="229" t="s">
        <v>115</v>
      </c>
      <c r="C45" s="232">
        <f t="shared" si="1"/>
        <v>1</v>
      </c>
      <c r="D45" s="230" t="s">
        <v>54</v>
      </c>
    </row>
    <row r="46" spans="1:4" ht="114.75">
      <c r="A46" s="103" t="s">
        <v>116</v>
      </c>
      <c r="B46" s="236" t="s">
        <v>117</v>
      </c>
      <c r="C46" s="12">
        <f t="shared" si="1"/>
        <v>1</v>
      </c>
      <c r="D46" s="164" t="s">
        <v>118</v>
      </c>
    </row>
    <row r="47" spans="1:4">
      <c r="A47" s="103" t="s">
        <v>119</v>
      </c>
      <c r="B47" s="21" t="s">
        <v>120</v>
      </c>
      <c r="C47" s="12">
        <f t="shared" si="1"/>
        <v>1</v>
      </c>
      <c r="D47" s="164" t="s">
        <v>39</v>
      </c>
    </row>
    <row r="48" spans="1:4" ht="25.5">
      <c r="A48" s="103" t="s">
        <v>121</v>
      </c>
      <c r="B48" s="236" t="s">
        <v>122</v>
      </c>
      <c r="C48" s="12">
        <f t="shared" si="1"/>
        <v>1</v>
      </c>
      <c r="D48" s="164" t="s">
        <v>123</v>
      </c>
    </row>
    <row r="49" spans="1:4">
      <c r="A49" s="103" t="s">
        <v>124</v>
      </c>
      <c r="B49" s="236" t="s">
        <v>125</v>
      </c>
      <c r="C49" s="12">
        <f t="shared" si="1"/>
        <v>1</v>
      </c>
      <c r="D49" s="164" t="s">
        <v>63</v>
      </c>
    </row>
    <row r="50" spans="1:4">
      <c r="A50" s="103" t="s">
        <v>126</v>
      </c>
      <c r="B50" s="161" t="s">
        <v>127</v>
      </c>
      <c r="C50" s="12">
        <f t="shared" si="1"/>
        <v>1</v>
      </c>
      <c r="D50" s="164" t="s">
        <v>54</v>
      </c>
    </row>
    <row r="51" spans="1:4" ht="25.5">
      <c r="A51" s="103" t="s">
        <v>128</v>
      </c>
      <c r="B51" s="21" t="s">
        <v>22</v>
      </c>
      <c r="C51" s="12">
        <f t="shared" si="1"/>
        <v>1</v>
      </c>
      <c r="D51" s="164" t="s">
        <v>54</v>
      </c>
    </row>
    <row r="52" spans="1:4" ht="63.75">
      <c r="A52" s="191" t="s">
        <v>129</v>
      </c>
      <c r="B52" s="21" t="s">
        <v>130</v>
      </c>
      <c r="C52" s="12">
        <f t="shared" si="1"/>
        <v>1</v>
      </c>
      <c r="D52" s="164" t="s">
        <v>118</v>
      </c>
    </row>
    <row r="53" spans="1:4">
      <c r="A53" s="103" t="s">
        <v>131</v>
      </c>
      <c r="B53" s="21" t="s">
        <v>56</v>
      </c>
      <c r="C53" s="12">
        <f t="shared" si="1"/>
        <v>1</v>
      </c>
      <c r="D53" s="164" t="s">
        <v>54</v>
      </c>
    </row>
    <row r="54" spans="1:4" ht="51">
      <c r="A54" s="103" t="s">
        <v>132</v>
      </c>
      <c r="B54" s="21" t="s">
        <v>56</v>
      </c>
      <c r="C54" s="12">
        <f t="shared" si="1"/>
        <v>1</v>
      </c>
      <c r="D54" s="164" t="s">
        <v>54</v>
      </c>
    </row>
    <row r="55" spans="1:4" ht="409.5">
      <c r="A55" s="103" t="s">
        <v>133</v>
      </c>
      <c r="B55" s="236" t="s">
        <v>134</v>
      </c>
      <c r="C55" s="12">
        <f t="shared" si="1"/>
        <v>1</v>
      </c>
      <c r="D55" s="164" t="s">
        <v>63</v>
      </c>
    </row>
    <row r="56" spans="1:4">
      <c r="A56" s="103" t="s">
        <v>135</v>
      </c>
      <c r="B56" s="241" t="s">
        <v>136</v>
      </c>
      <c r="C56" s="12">
        <f t="shared" si="1"/>
        <v>1</v>
      </c>
      <c r="D56" s="164" t="s">
        <v>63</v>
      </c>
    </row>
    <row r="57" spans="1:4" ht="38.25">
      <c r="A57" s="103" t="s">
        <v>137</v>
      </c>
      <c r="B57" s="236" t="s">
        <v>138</v>
      </c>
      <c r="C57" s="12">
        <f t="shared" si="1"/>
        <v>1</v>
      </c>
      <c r="D57" s="164" t="s">
        <v>63</v>
      </c>
    </row>
    <row r="58" spans="1:4" ht="76.5">
      <c r="A58" s="103" t="s">
        <v>139</v>
      </c>
      <c r="B58" s="236" t="s">
        <v>140</v>
      </c>
      <c r="C58" s="12">
        <f t="shared" si="1"/>
        <v>1</v>
      </c>
      <c r="D58" s="164" t="s">
        <v>63</v>
      </c>
    </row>
    <row r="59" spans="1:4" ht="25.5">
      <c r="A59" s="103" t="s">
        <v>141</v>
      </c>
      <c r="B59" s="21" t="s">
        <v>56</v>
      </c>
      <c r="C59" s="12">
        <f t="shared" si="1"/>
        <v>1</v>
      </c>
      <c r="D59" s="164" t="s">
        <v>54</v>
      </c>
    </row>
    <row r="60" spans="1:4">
      <c r="A60" s="103" t="s">
        <v>142</v>
      </c>
      <c r="B60" s="235" t="s">
        <v>56</v>
      </c>
      <c r="C60" s="12">
        <f t="shared" si="1"/>
        <v>1</v>
      </c>
      <c r="D60" s="164" t="s">
        <v>54</v>
      </c>
    </row>
    <row r="61" spans="1:4" ht="15.75">
      <c r="A61" s="4" t="s">
        <v>143</v>
      </c>
      <c r="B61" s="99" t="s">
        <v>30</v>
      </c>
      <c r="D61" s="4" t="s">
        <v>32</v>
      </c>
    </row>
    <row r="62" spans="1:4" ht="25.5">
      <c r="A62" s="103" t="s">
        <v>144</v>
      </c>
      <c r="B62" s="235" t="s">
        <v>22</v>
      </c>
      <c r="C62" s="12">
        <f t="shared" si="1"/>
        <v>1</v>
      </c>
      <c r="D62" s="164" t="s">
        <v>63</v>
      </c>
    </row>
    <row r="63" spans="1:4" ht="38.25">
      <c r="A63" s="103" t="s">
        <v>145</v>
      </c>
      <c r="B63" s="236" t="s">
        <v>146</v>
      </c>
      <c r="C63" s="12">
        <f t="shared" si="1"/>
        <v>1</v>
      </c>
      <c r="D63" s="164" t="s">
        <v>123</v>
      </c>
    </row>
    <row r="64" spans="1:4">
      <c r="A64" s="103" t="s">
        <v>147</v>
      </c>
      <c r="B64" s="21" t="s">
        <v>22</v>
      </c>
      <c r="C64" s="12">
        <f t="shared" si="1"/>
        <v>1</v>
      </c>
      <c r="D64" s="164" t="s">
        <v>54</v>
      </c>
    </row>
    <row r="65" spans="1:4" ht="229.5">
      <c r="A65" s="103" t="s">
        <v>148</v>
      </c>
      <c r="B65" s="236" t="s">
        <v>149</v>
      </c>
      <c r="C65" s="12">
        <f t="shared" si="1"/>
        <v>1</v>
      </c>
      <c r="D65" s="164" t="s">
        <v>118</v>
      </c>
    </row>
    <row r="66" spans="1:4">
      <c r="A66" s="103" t="s">
        <v>150</v>
      </c>
      <c r="B66" s="236" t="s">
        <v>151</v>
      </c>
      <c r="C66" s="12">
        <f t="shared" si="1"/>
        <v>1</v>
      </c>
      <c r="D66" s="164" t="s">
        <v>63</v>
      </c>
    </row>
    <row r="67" spans="1:4">
      <c r="A67" s="103" t="s">
        <v>152</v>
      </c>
      <c r="B67" s="235" t="s">
        <v>22</v>
      </c>
      <c r="C67" s="12">
        <f t="shared" si="1"/>
        <v>1</v>
      </c>
      <c r="D67" s="164" t="s">
        <v>63</v>
      </c>
    </row>
    <row r="68" spans="1:4" ht="51">
      <c r="A68" s="103" t="s">
        <v>153</v>
      </c>
      <c r="B68" s="235" t="s">
        <v>154</v>
      </c>
      <c r="C68" s="12">
        <f t="shared" si="1"/>
        <v>1</v>
      </c>
      <c r="D68" s="196" t="s">
        <v>54</v>
      </c>
    </row>
    <row r="69" spans="1:4" ht="25.5">
      <c r="A69" s="103" t="s">
        <v>155</v>
      </c>
      <c r="B69" s="21" t="s">
        <v>22</v>
      </c>
      <c r="C69" s="12">
        <f t="shared" si="1"/>
        <v>1</v>
      </c>
      <c r="D69" s="196" t="s">
        <v>54</v>
      </c>
    </row>
    <row r="70" spans="1:4" ht="25.5">
      <c r="A70" s="103" t="s">
        <v>156</v>
      </c>
      <c r="B70" s="236" t="s">
        <v>157</v>
      </c>
      <c r="C70" s="12">
        <f t="shared" si="1"/>
        <v>1</v>
      </c>
      <c r="D70" s="164" t="s">
        <v>158</v>
      </c>
    </row>
    <row r="71" spans="1:4">
      <c r="A71" s="103" t="s">
        <v>159</v>
      </c>
      <c r="B71" s="21" t="s">
        <v>25</v>
      </c>
      <c r="C71" s="12">
        <f t="shared" si="1"/>
        <v>1</v>
      </c>
      <c r="D71" s="164" t="s">
        <v>54</v>
      </c>
    </row>
    <row r="72" spans="1:4">
      <c r="A72" s="103" t="s">
        <v>160</v>
      </c>
      <c r="B72" s="21" t="s">
        <v>25</v>
      </c>
      <c r="C72" s="12">
        <f t="shared" si="1"/>
        <v>1</v>
      </c>
      <c r="D72" s="164" t="s">
        <v>54</v>
      </c>
    </row>
    <row r="73" spans="1:4">
      <c r="A73" s="103" t="s">
        <v>161</v>
      </c>
      <c r="B73" s="235" t="s">
        <v>162</v>
      </c>
      <c r="C73" s="12">
        <f t="shared" si="1"/>
        <v>1</v>
      </c>
      <c r="D73" s="164" t="s">
        <v>54</v>
      </c>
    </row>
    <row r="74" spans="1:4">
      <c r="A74" s="103" t="s">
        <v>163</v>
      </c>
      <c r="B74" s="21" t="s">
        <v>164</v>
      </c>
      <c r="C74" s="12">
        <f t="shared" ref="C74:C135" si="2">IF(TRIM(B74)="",0,1)</f>
        <v>1</v>
      </c>
      <c r="D74" s="196" t="s">
        <v>54</v>
      </c>
    </row>
    <row r="75" spans="1:4">
      <c r="A75" s="103" t="s">
        <v>165</v>
      </c>
      <c r="B75" s="235" t="s">
        <v>56</v>
      </c>
      <c r="C75" s="12">
        <f t="shared" si="2"/>
        <v>1</v>
      </c>
      <c r="D75" s="164" t="s">
        <v>63</v>
      </c>
    </row>
    <row r="76" spans="1:4">
      <c r="A76" s="103" t="s">
        <v>166</v>
      </c>
      <c r="B76" s="235" t="s">
        <v>56</v>
      </c>
      <c r="C76" s="12">
        <f t="shared" si="2"/>
        <v>1</v>
      </c>
      <c r="D76" s="164" t="s">
        <v>54</v>
      </c>
    </row>
    <row r="77" spans="1:4">
      <c r="A77" s="103" t="s">
        <v>167</v>
      </c>
      <c r="B77" s="21" t="s">
        <v>24</v>
      </c>
      <c r="C77" s="12">
        <f t="shared" ref="C77" si="3">IF(TRIM(B77)="",0,1)</f>
        <v>1</v>
      </c>
      <c r="D77" s="196" t="s">
        <v>54</v>
      </c>
    </row>
    <row r="78" spans="1:4">
      <c r="A78" s="103" t="s">
        <v>167</v>
      </c>
      <c r="B78" s="21" t="s">
        <v>24</v>
      </c>
      <c r="C78" s="12">
        <f t="shared" si="2"/>
        <v>1</v>
      </c>
      <c r="D78" s="196" t="s">
        <v>54</v>
      </c>
    </row>
    <row r="79" spans="1:4">
      <c r="A79" s="103" t="s">
        <v>168</v>
      </c>
      <c r="B79" s="21" t="s">
        <v>56</v>
      </c>
      <c r="C79" s="12">
        <f t="shared" si="2"/>
        <v>1</v>
      </c>
      <c r="D79" s="164" t="s">
        <v>63</v>
      </c>
    </row>
    <row r="80" spans="1:4">
      <c r="A80" s="103" t="s">
        <v>169</v>
      </c>
      <c r="B80" s="237" t="s">
        <v>170</v>
      </c>
      <c r="C80" s="12">
        <f t="shared" si="2"/>
        <v>1</v>
      </c>
      <c r="D80" s="164" t="s">
        <v>63</v>
      </c>
    </row>
    <row r="81" spans="1:4">
      <c r="A81" s="103" t="s">
        <v>171</v>
      </c>
      <c r="B81" s="21" t="s">
        <v>172</v>
      </c>
      <c r="C81" s="12">
        <f t="shared" si="2"/>
        <v>1</v>
      </c>
      <c r="D81" s="164" t="s">
        <v>63</v>
      </c>
    </row>
    <row r="82" spans="1:4" ht="409.5">
      <c r="A82" s="103" t="s">
        <v>173</v>
      </c>
      <c r="B82" s="237" t="s">
        <v>174</v>
      </c>
      <c r="C82" s="12">
        <f t="shared" si="2"/>
        <v>1</v>
      </c>
      <c r="D82" s="164" t="s">
        <v>63</v>
      </c>
    </row>
    <row r="83" spans="1:4">
      <c r="A83" s="103" t="s">
        <v>175</v>
      </c>
      <c r="B83" s="21" t="s">
        <v>56</v>
      </c>
      <c r="C83" s="12">
        <f t="shared" si="2"/>
        <v>1</v>
      </c>
      <c r="D83" s="164" t="s">
        <v>54</v>
      </c>
    </row>
    <row r="84" spans="1:4">
      <c r="A84" s="103" t="s">
        <v>176</v>
      </c>
      <c r="B84" s="21" t="s">
        <v>56</v>
      </c>
      <c r="C84" s="12">
        <f t="shared" si="2"/>
        <v>1</v>
      </c>
      <c r="D84" s="164" t="s">
        <v>54</v>
      </c>
    </row>
    <row r="85" spans="1:4">
      <c r="A85" s="103" t="s">
        <v>177</v>
      </c>
      <c r="B85" s="21" t="s">
        <v>56</v>
      </c>
      <c r="C85" s="12">
        <f t="shared" si="2"/>
        <v>1</v>
      </c>
      <c r="D85" s="164" t="s">
        <v>54</v>
      </c>
    </row>
    <row r="86" spans="1:4">
      <c r="A86" s="103" t="s">
        <v>178</v>
      </c>
      <c r="B86" s="21" t="s">
        <v>56</v>
      </c>
      <c r="C86" s="12">
        <f t="shared" si="2"/>
        <v>1</v>
      </c>
      <c r="D86" s="164" t="s">
        <v>54</v>
      </c>
    </row>
    <row r="87" spans="1:4">
      <c r="A87" s="103" t="s">
        <v>179</v>
      </c>
      <c r="B87" s="237" t="s">
        <v>180</v>
      </c>
      <c r="C87" s="12">
        <f t="shared" si="2"/>
        <v>1</v>
      </c>
      <c r="D87" s="164" t="s">
        <v>63</v>
      </c>
    </row>
    <row r="88" spans="1:4">
      <c r="A88" s="103" t="s">
        <v>181</v>
      </c>
      <c r="B88" s="21" t="s">
        <v>56</v>
      </c>
      <c r="C88" s="12">
        <f t="shared" si="2"/>
        <v>1</v>
      </c>
      <c r="D88" s="164" t="s">
        <v>54</v>
      </c>
    </row>
    <row r="89" spans="1:4" ht="25.5">
      <c r="A89" s="103" t="s">
        <v>182</v>
      </c>
      <c r="B89" s="236" t="s">
        <v>183</v>
      </c>
      <c r="C89" s="12">
        <f t="shared" si="2"/>
        <v>1</v>
      </c>
      <c r="D89" s="164" t="s">
        <v>158</v>
      </c>
    </row>
    <row r="90" spans="1:4" ht="25.5">
      <c r="A90" s="191" t="s">
        <v>184</v>
      </c>
      <c r="B90" s="21" t="s">
        <v>185</v>
      </c>
      <c r="C90" s="12">
        <f t="shared" si="2"/>
        <v>1</v>
      </c>
      <c r="D90" s="164" t="s">
        <v>186</v>
      </c>
    </row>
    <row r="91" spans="1:4" ht="25.5">
      <c r="A91" s="191" t="s">
        <v>187</v>
      </c>
      <c r="B91" s="21" t="s">
        <v>22</v>
      </c>
      <c r="C91" s="12">
        <f t="shared" si="2"/>
        <v>1</v>
      </c>
      <c r="D91" s="164" t="s">
        <v>186</v>
      </c>
    </row>
    <row r="92" spans="1:4">
      <c r="A92" s="103" t="s">
        <v>188</v>
      </c>
      <c r="B92" s="21" t="s">
        <v>189</v>
      </c>
      <c r="C92" s="12">
        <f t="shared" si="2"/>
        <v>1</v>
      </c>
      <c r="D92" s="164" t="s">
        <v>63</v>
      </c>
    </row>
    <row r="93" spans="1:4">
      <c r="A93" s="103" t="s">
        <v>190</v>
      </c>
      <c r="B93" s="21" t="s">
        <v>56</v>
      </c>
      <c r="C93" s="12">
        <f t="shared" si="2"/>
        <v>1</v>
      </c>
      <c r="D93" s="164" t="s">
        <v>54</v>
      </c>
    </row>
    <row r="94" spans="1:4" ht="25.5">
      <c r="A94" s="103" t="s">
        <v>191</v>
      </c>
      <c r="B94" s="21" t="s">
        <v>192</v>
      </c>
      <c r="C94" s="12">
        <f t="shared" si="2"/>
        <v>1</v>
      </c>
      <c r="D94" s="164" t="s">
        <v>158</v>
      </c>
    </row>
    <row r="95" spans="1:4">
      <c r="A95" s="103" t="s">
        <v>193</v>
      </c>
      <c r="B95" s="21" t="s">
        <v>56</v>
      </c>
      <c r="C95" s="12">
        <f t="shared" si="2"/>
        <v>1</v>
      </c>
      <c r="D95" s="164" t="s">
        <v>63</v>
      </c>
    </row>
    <row r="96" spans="1:4">
      <c r="A96" s="103" t="s">
        <v>194</v>
      </c>
      <c r="B96" s="21" t="s">
        <v>56</v>
      </c>
      <c r="C96" s="12">
        <f t="shared" si="2"/>
        <v>1</v>
      </c>
      <c r="D96" s="164" t="s">
        <v>54</v>
      </c>
    </row>
    <row r="97" spans="1:4" ht="25.5">
      <c r="A97" s="103" t="s">
        <v>195</v>
      </c>
      <c r="B97" s="21" t="s">
        <v>196</v>
      </c>
      <c r="C97" s="12">
        <f t="shared" si="2"/>
        <v>1</v>
      </c>
      <c r="D97" s="164" t="s">
        <v>118</v>
      </c>
    </row>
    <row r="98" spans="1:4">
      <c r="A98" s="103" t="s">
        <v>197</v>
      </c>
      <c r="B98" s="21" t="s">
        <v>56</v>
      </c>
      <c r="C98" s="12">
        <f t="shared" si="2"/>
        <v>1</v>
      </c>
      <c r="D98" s="164" t="s">
        <v>54</v>
      </c>
    </row>
    <row r="99" spans="1:4">
      <c r="A99" s="191" t="s">
        <v>198</v>
      </c>
      <c r="B99" s="21" t="s">
        <v>24</v>
      </c>
      <c r="C99" s="12">
        <f t="shared" si="2"/>
        <v>1</v>
      </c>
      <c r="D99" s="164" t="s">
        <v>54</v>
      </c>
    </row>
    <row r="100" spans="1:4" ht="25.5">
      <c r="A100" s="191" t="s">
        <v>199</v>
      </c>
      <c r="B100" s="21" t="s">
        <v>200</v>
      </c>
      <c r="C100" s="12">
        <f t="shared" si="2"/>
        <v>1</v>
      </c>
      <c r="D100" s="164" t="s">
        <v>54</v>
      </c>
    </row>
    <row r="101" spans="1:4">
      <c r="A101" s="103" t="s">
        <v>201</v>
      </c>
      <c r="B101" t="s">
        <v>22</v>
      </c>
      <c r="C101" s="12">
        <f t="shared" si="2"/>
        <v>1</v>
      </c>
      <c r="D101" s="164" t="s">
        <v>54</v>
      </c>
    </row>
    <row r="102" spans="1:4">
      <c r="A102" s="191" t="s">
        <v>202</v>
      </c>
      <c r="B102" s="21" t="s">
        <v>22</v>
      </c>
      <c r="C102" s="12">
        <f t="shared" si="2"/>
        <v>1</v>
      </c>
      <c r="D102" s="164" t="s">
        <v>203</v>
      </c>
    </row>
    <row r="103" spans="1:4" ht="25.5">
      <c r="A103" s="103" t="s">
        <v>204</v>
      </c>
      <c r="B103" s="197" t="s">
        <v>56</v>
      </c>
      <c r="C103" s="12">
        <f t="shared" si="2"/>
        <v>1</v>
      </c>
      <c r="D103" s="164" t="s">
        <v>54</v>
      </c>
    </row>
    <row r="104" spans="1:4" s="202" customFormat="1" ht="25.5">
      <c r="A104" s="199" t="s">
        <v>205</v>
      </c>
      <c r="B104" s="194" t="s">
        <v>22</v>
      </c>
      <c r="C104" s="200">
        <f t="shared" si="2"/>
        <v>1</v>
      </c>
      <c r="D104" s="201" t="s">
        <v>206</v>
      </c>
    </row>
    <row r="105" spans="1:4" s="202" customFormat="1" ht="25.5">
      <c r="A105" s="199" t="s">
        <v>207</v>
      </c>
      <c r="B105" s="194" t="s">
        <v>208</v>
      </c>
      <c r="C105" s="200">
        <f t="shared" si="2"/>
        <v>1</v>
      </c>
      <c r="D105" s="201" t="s">
        <v>206</v>
      </c>
    </row>
    <row r="106" spans="1:4" ht="127.5">
      <c r="A106" s="103" t="s">
        <v>209</v>
      </c>
      <c r="B106" s="241" t="s">
        <v>210</v>
      </c>
      <c r="C106" s="12">
        <f t="shared" si="2"/>
        <v>1</v>
      </c>
      <c r="D106" s="164" t="s">
        <v>211</v>
      </c>
    </row>
    <row r="107" spans="1:4" ht="25.5">
      <c r="A107" s="103" t="s">
        <v>212</v>
      </c>
      <c r="B107" s="236" t="s">
        <v>213</v>
      </c>
      <c r="C107" s="12">
        <f t="shared" si="2"/>
        <v>1</v>
      </c>
      <c r="D107" s="164" t="s">
        <v>214</v>
      </c>
    </row>
    <row r="108" spans="1:4" ht="51">
      <c r="A108" s="103" t="s">
        <v>215</v>
      </c>
      <c r="B108" s="21" t="s">
        <v>216</v>
      </c>
      <c r="C108" s="12">
        <f t="shared" si="2"/>
        <v>1</v>
      </c>
      <c r="D108" s="164" t="s">
        <v>217</v>
      </c>
    </row>
    <row r="109" spans="1:4" ht="204">
      <c r="A109" s="191" t="s">
        <v>218</v>
      </c>
      <c r="B109" s="235" t="s">
        <v>219</v>
      </c>
      <c r="C109" s="12">
        <f t="shared" si="2"/>
        <v>1</v>
      </c>
      <c r="D109" s="164" t="s">
        <v>63</v>
      </c>
    </row>
    <row r="110" spans="1:4" ht="15.75">
      <c r="A110" s="4" t="s">
        <v>220</v>
      </c>
      <c r="B110" s="99" t="s">
        <v>30</v>
      </c>
      <c r="D110" s="4" t="s">
        <v>32</v>
      </c>
    </row>
    <row r="111" spans="1:4" ht="38.25">
      <c r="A111" s="103" t="s">
        <v>221</v>
      </c>
      <c r="B111" s="237" t="s">
        <v>222</v>
      </c>
      <c r="C111" s="12">
        <f t="shared" si="2"/>
        <v>1</v>
      </c>
      <c r="D111" s="164" t="s">
        <v>63</v>
      </c>
    </row>
    <row r="112" spans="1:4" ht="25.5">
      <c r="A112" s="103" t="s">
        <v>223</v>
      </c>
      <c r="B112" s="237" t="s">
        <v>222</v>
      </c>
      <c r="C112" s="12">
        <f t="shared" si="2"/>
        <v>1</v>
      </c>
      <c r="D112" s="164" t="s">
        <v>63</v>
      </c>
    </row>
    <row r="113" spans="1:8" ht="25.5">
      <c r="A113" s="103" t="s">
        <v>224</v>
      </c>
      <c r="B113" s="237" t="s">
        <v>222</v>
      </c>
      <c r="C113" s="12">
        <f t="shared" si="2"/>
        <v>1</v>
      </c>
      <c r="D113" s="164" t="s">
        <v>63</v>
      </c>
    </row>
    <row r="114" spans="1:8" ht="127.5">
      <c r="A114" s="103" t="s">
        <v>225</v>
      </c>
      <c r="B114" s="237" t="s">
        <v>226</v>
      </c>
      <c r="C114" s="12">
        <f t="shared" si="2"/>
        <v>1</v>
      </c>
      <c r="D114" s="164" t="s">
        <v>63</v>
      </c>
    </row>
    <row r="115" spans="1:8" ht="33.75" customHeight="1">
      <c r="A115" s="103" t="s">
        <v>227</v>
      </c>
      <c r="B115" s="237" t="s">
        <v>226</v>
      </c>
      <c r="C115" s="12">
        <f t="shared" si="2"/>
        <v>1</v>
      </c>
      <c r="D115" s="164" t="s">
        <v>63</v>
      </c>
    </row>
    <row r="116" spans="1:8" ht="27">
      <c r="A116" s="103" t="s">
        <v>228</v>
      </c>
      <c r="B116" s="237" t="s">
        <v>226</v>
      </c>
      <c r="C116" s="12">
        <f t="shared" si="2"/>
        <v>1</v>
      </c>
      <c r="D116" s="164" t="s">
        <v>63</v>
      </c>
    </row>
    <row r="117" spans="1:8" ht="15.75">
      <c r="A117" s="4" t="s">
        <v>229</v>
      </c>
      <c r="B117" s="99" t="s">
        <v>30</v>
      </c>
      <c r="D117" s="4" t="s">
        <v>32</v>
      </c>
    </row>
    <row r="118" spans="1:8" ht="357">
      <c r="A118" s="103" t="s">
        <v>230</v>
      </c>
      <c r="B118" s="236" t="s">
        <v>231</v>
      </c>
      <c r="C118" s="12">
        <f t="shared" si="2"/>
        <v>1</v>
      </c>
      <c r="D118" s="164" t="s">
        <v>63</v>
      </c>
    </row>
    <row r="119" spans="1:8" ht="51">
      <c r="A119" s="191" t="s">
        <v>232</v>
      </c>
      <c r="B119" s="103"/>
      <c r="C119" s="12"/>
      <c r="D119" s="164" t="s">
        <v>54</v>
      </c>
    </row>
    <row r="120" spans="1:8" ht="28.5">
      <c r="A120" s="103" t="s">
        <v>233</v>
      </c>
      <c r="B120" s="242" t="s">
        <v>234</v>
      </c>
      <c r="C120" s="12">
        <f t="shared" si="2"/>
        <v>1</v>
      </c>
      <c r="D120" s="164" t="s">
        <v>235</v>
      </c>
    </row>
    <row r="121" spans="1:8" ht="190.5">
      <c r="A121" s="103" t="s">
        <v>236</v>
      </c>
      <c r="B121" s="243" t="s">
        <v>237</v>
      </c>
      <c r="C121" s="12">
        <f t="shared" si="2"/>
        <v>1</v>
      </c>
      <c r="D121" s="164" t="s">
        <v>63</v>
      </c>
      <c r="H121" s="252" t="s">
        <v>33</v>
      </c>
    </row>
    <row r="122" spans="1:8" ht="102">
      <c r="A122" s="103" t="s">
        <v>238</v>
      </c>
      <c r="B122" s="236" t="s">
        <v>239</v>
      </c>
      <c r="C122" s="12">
        <f t="shared" si="2"/>
        <v>1</v>
      </c>
      <c r="D122" s="164" t="s">
        <v>63</v>
      </c>
    </row>
    <row r="123" spans="1:8" ht="25.5">
      <c r="A123" s="191" t="s">
        <v>223</v>
      </c>
      <c r="B123" s="21">
        <v>3</v>
      </c>
      <c r="C123" s="12">
        <f t="shared" si="2"/>
        <v>1</v>
      </c>
      <c r="D123" s="164" t="s">
        <v>240</v>
      </c>
    </row>
    <row r="124" spans="1:8" ht="27">
      <c r="A124" s="103" t="s">
        <v>241</v>
      </c>
      <c r="B124" s="235" t="s">
        <v>242</v>
      </c>
      <c r="C124" s="12">
        <f t="shared" si="2"/>
        <v>1</v>
      </c>
      <c r="D124" s="164" t="s">
        <v>63</v>
      </c>
    </row>
    <row r="125" spans="1:8" ht="127.5">
      <c r="A125" s="103" t="s">
        <v>243</v>
      </c>
      <c r="B125" s="21" t="s">
        <v>244</v>
      </c>
      <c r="C125" s="12">
        <f t="shared" si="2"/>
        <v>1</v>
      </c>
      <c r="D125" s="164" t="s">
        <v>63</v>
      </c>
    </row>
    <row r="126" spans="1:8" ht="15.75">
      <c r="A126" s="4" t="s">
        <v>245</v>
      </c>
      <c r="B126" s="99" t="s">
        <v>30</v>
      </c>
      <c r="D126" s="4" t="s">
        <v>32</v>
      </c>
    </row>
    <row r="127" spans="1:8" s="233" customFormat="1" ht="51">
      <c r="A127" s="231" t="s">
        <v>246</v>
      </c>
      <c r="B127" s="229" t="s">
        <v>247</v>
      </c>
      <c r="C127" s="232">
        <f t="shared" si="2"/>
        <v>1</v>
      </c>
      <c r="D127" s="230" t="s">
        <v>54</v>
      </c>
    </row>
    <row r="128" spans="1:8" s="233" customFormat="1">
      <c r="A128" s="231" t="s">
        <v>248</v>
      </c>
      <c r="B128" s="229" t="s">
        <v>249</v>
      </c>
      <c r="C128" s="232">
        <f t="shared" si="2"/>
        <v>1</v>
      </c>
      <c r="D128" s="230" t="s">
        <v>54</v>
      </c>
    </row>
    <row r="129" spans="1:4" ht="165.75">
      <c r="A129" s="103" t="s">
        <v>250</v>
      </c>
      <c r="B129" s="21" t="s">
        <v>251</v>
      </c>
      <c r="C129" s="12">
        <f t="shared" si="2"/>
        <v>1</v>
      </c>
      <c r="D129" s="201" t="s">
        <v>252</v>
      </c>
    </row>
    <row r="130" spans="1:4" ht="191.25">
      <c r="A130" s="103" t="s">
        <v>253</v>
      </c>
      <c r="B130" s="236" t="s">
        <v>254</v>
      </c>
      <c r="C130" s="12">
        <f t="shared" si="2"/>
        <v>1</v>
      </c>
      <c r="D130" s="164" t="s">
        <v>255</v>
      </c>
    </row>
    <row r="131" spans="1:4" ht="15.75">
      <c r="A131" s="4" t="s">
        <v>256</v>
      </c>
      <c r="B131" s="99" t="s">
        <v>30</v>
      </c>
      <c r="D131" s="4" t="s">
        <v>32</v>
      </c>
    </row>
    <row r="132" spans="1:4" ht="38.25">
      <c r="A132" s="103" t="s">
        <v>257</v>
      </c>
      <c r="B132" s="21" t="s">
        <v>56</v>
      </c>
      <c r="C132" s="12">
        <f t="shared" si="2"/>
        <v>1</v>
      </c>
      <c r="D132" s="164" t="s">
        <v>54</v>
      </c>
    </row>
    <row r="133" spans="1:4">
      <c r="A133" s="103" t="s">
        <v>258</v>
      </c>
      <c r="B133" s="21" t="s">
        <v>56</v>
      </c>
      <c r="C133" s="12">
        <f t="shared" si="2"/>
        <v>1</v>
      </c>
      <c r="D133" s="164" t="s">
        <v>54</v>
      </c>
    </row>
    <row r="134" spans="1:4" ht="25.5">
      <c r="A134" s="103" t="s">
        <v>259</v>
      </c>
      <c r="B134" s="21" t="s">
        <v>56</v>
      </c>
      <c r="C134" s="12">
        <f t="shared" si="2"/>
        <v>1</v>
      </c>
      <c r="D134" s="164" t="s">
        <v>54</v>
      </c>
    </row>
    <row r="135" spans="1:4" ht="25.5">
      <c r="A135" s="103" t="s">
        <v>260</v>
      </c>
      <c r="B135" s="21" t="s">
        <v>24</v>
      </c>
      <c r="C135" s="12">
        <f t="shared" si="2"/>
        <v>1</v>
      </c>
      <c r="D135" s="164" t="s">
        <v>118</v>
      </c>
    </row>
    <row r="136" spans="1:4">
      <c r="C136" s="95">
        <f>SUM(C4:C135)/COUNT(C4:C135)</f>
        <v>1</v>
      </c>
    </row>
  </sheetData>
  <sheetProtection formatRows="0"/>
  <mergeCells count="1">
    <mergeCell ref="A1:B1"/>
  </mergeCells>
  <conditionalFormatting sqref="B118 B122:B125 B4:B11">
    <cfRule type="expression" dxfId="812" priority="13">
      <formula>$B4=""</formula>
    </cfRule>
    <cfRule type="expression" dxfId="811" priority="14">
      <formula>AND($B4&lt;&gt;"",#REF!="")</formula>
    </cfRule>
  </conditionalFormatting>
  <conditionalFormatting sqref="B13:B23">
    <cfRule type="expression" dxfId="810" priority="31">
      <formula>$B13=""</formula>
    </cfRule>
    <cfRule type="expression" dxfId="809" priority="32">
      <formula>AND($B13&lt;&gt;"",#REF!="")</formula>
    </cfRule>
  </conditionalFormatting>
  <conditionalFormatting sqref="B25:B26">
    <cfRule type="expression" dxfId="808" priority="29">
      <formula>$B25=""</formula>
    </cfRule>
    <cfRule type="expression" dxfId="807" priority="30">
      <formula>AND($B25&lt;&gt;"",#REF!="")</formula>
    </cfRule>
  </conditionalFormatting>
  <conditionalFormatting sqref="B28:B41">
    <cfRule type="expression" dxfId="806" priority="27">
      <formula>$B28=""</formula>
    </cfRule>
    <cfRule type="expression" dxfId="805" priority="28">
      <formula>AND($B28&lt;&gt;"",#REF!="")</formula>
    </cfRule>
  </conditionalFormatting>
  <conditionalFormatting sqref="B43:B60">
    <cfRule type="expression" dxfId="804" priority="25">
      <formula>$B43=""</formula>
    </cfRule>
    <cfRule type="expression" dxfId="803" priority="26">
      <formula>AND($B43&lt;&gt;"",#REF!="")</formula>
    </cfRule>
  </conditionalFormatting>
  <conditionalFormatting sqref="B62:B100 B102:B109">
    <cfRule type="expression" dxfId="802" priority="23">
      <formula>$B62=""</formula>
    </cfRule>
    <cfRule type="expression" dxfId="801" priority="24">
      <formula>AND($B62&lt;&gt;"",#REF!="")</formula>
    </cfRule>
  </conditionalFormatting>
  <conditionalFormatting sqref="B111:B116">
    <cfRule type="expression" dxfId="800" priority="21">
      <formula>$B111=""</formula>
    </cfRule>
    <cfRule type="expression" dxfId="799" priority="22">
      <formula>AND($B111&lt;&gt;"",#REF!="")</formula>
    </cfRule>
  </conditionalFormatting>
  <conditionalFormatting sqref="B127:B130">
    <cfRule type="expression" dxfId="798" priority="17">
      <formula>$B127=""</formula>
    </cfRule>
    <cfRule type="expression" dxfId="797" priority="18">
      <formula>AND($B127&lt;&gt;"",#REF!="")</formula>
    </cfRule>
  </conditionalFormatting>
  <conditionalFormatting sqref="B132:B135">
    <cfRule type="expression" dxfId="796" priority="15">
      <formula>$B132=""</formula>
    </cfRule>
    <cfRule type="expression" dxfId="795" priority="16">
      <formula>AND($B132&lt;&gt;"",#REF!="")</formula>
    </cfRule>
  </conditionalFormatting>
  <conditionalFormatting sqref="D5:D6 D43:D60 D62:D109 D111:D116 D118:D125 D127:D130 D132:D135 D8:D11">
    <cfRule type="expression" dxfId="794" priority="11">
      <formula>$B5=""</formula>
    </cfRule>
    <cfRule type="expression" dxfId="793" priority="12">
      <formula>AND($B5&lt;&gt;"",#REF!="")</formula>
    </cfRule>
  </conditionalFormatting>
  <conditionalFormatting sqref="D13:D23">
    <cfRule type="expression" dxfId="792" priority="9">
      <formula>$B13=""</formula>
    </cfRule>
    <cfRule type="expression" dxfId="791" priority="10">
      <formula>AND($B13&lt;&gt;"",#REF!="")</formula>
    </cfRule>
  </conditionalFormatting>
  <conditionalFormatting sqref="D25:D26">
    <cfRule type="expression" dxfId="790" priority="5">
      <formula>$B25=""</formula>
    </cfRule>
    <cfRule type="expression" dxfId="789" priority="6">
      <formula>AND($B25&lt;&gt;"",#REF!="")</formula>
    </cfRule>
  </conditionalFormatting>
  <conditionalFormatting sqref="D28:D41">
    <cfRule type="expression" dxfId="788" priority="1">
      <formula>$B28=""</formula>
    </cfRule>
    <cfRule type="expression" dxfId="787" priority="2">
      <formula>AND($B28&lt;&gt;"",#REF!="")</formula>
    </cfRule>
  </conditionalFormatting>
  <dataValidations count="3">
    <dataValidation type="list" allowBlank="1" showInputMessage="1" showErrorMessage="1" sqref="D29:D30 D97 D46 D52 D65 D72 D37:D40 D32" xr:uid="{00000000-0002-0000-0100-000000000000}">
      <formula1>"Oui,Non,Détails"</formula1>
    </dataValidation>
    <dataValidation type="list" allowBlank="1" showInputMessage="1" showErrorMessage="1" sqref="D6 D8 D124:D125 D121:D122 D18:D19 D132:D134 D109 D25 D111:D116 D44 D62 D66:D67 D55:D58 D75:D82 D98 D47 D49:D51 D87:D88 D92:D93 D95:D96 D101 D103 D118:D119 D16 D31" xr:uid="{00000000-0002-0000-0100-000001000000}">
      <formula1>"Oui,Non,Pourquoi?"</formula1>
    </dataValidation>
    <dataValidation type="list" allowBlank="1" showInputMessage="1" showErrorMessage="1" sqref="D127:D128 D73:D74 D99:D100 D59:D60 D35:D36 D5 D68:D69 D9 D28 D71 D53:D54 D64 D13:D15 D17 D22:D23 D45 D83:D86" xr:uid="{00000000-0002-0000-0100-000002000000}">
      <formula1>"Oui,Non"</formula1>
    </dataValidation>
  </dataValidations>
  <hyperlinks>
    <hyperlink ref="A1" location="Sommaire!A1" display="Retour à la page d'accueil" xr:uid="{00000000-0004-0000-0100-000000000000}"/>
    <hyperlink ref="A1:B1" location="Accueil!A1" display="Retour à la page d'accueil" xr:uid="{00000000-0004-0000-0100-000001000000}"/>
    <hyperlink ref="B50" r:id="rId1" xr:uid="{00000000-0004-0000-0100-000002000000}"/>
  </hyperlinks>
  <pageMargins left="0.7" right="0.7" top="0.75" bottom="0.75" header="0.3" footer="0.3"/>
  <pageSetup paperSize="9" orientation="portrait" verticalDpi="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47E62"/>
  </sheetPr>
  <dimension ref="A1:D123"/>
  <sheetViews>
    <sheetView showGridLines="0" workbookViewId="0">
      <pane ySplit="2" topLeftCell="A3" activePane="bottomLeft" state="frozen"/>
      <selection pane="bottomLeft" activeCell="B2" sqref="B2"/>
    </sheetView>
  </sheetViews>
  <sheetFormatPr defaultColWidth="11.42578125" defaultRowHeight="14.25"/>
  <cols>
    <col min="1" max="1" width="95.7109375" style="1" customWidth="1"/>
    <col min="2" max="2" width="26.42578125" customWidth="1"/>
    <col min="3" max="3" width="6.140625" hidden="1" customWidth="1"/>
    <col min="4" max="4" width="30.140625" style="49" customWidth="1"/>
    <col min="5" max="9" width="10.42578125" customWidth="1"/>
  </cols>
  <sheetData>
    <row r="1" spans="1:4">
      <c r="A1" s="302" t="s">
        <v>26</v>
      </c>
      <c r="B1" s="302"/>
    </row>
    <row r="2" spans="1:4" ht="18">
      <c r="A2" s="133" t="s">
        <v>261</v>
      </c>
      <c r="B2" s="134">
        <f>C51</f>
        <v>1</v>
      </c>
      <c r="D2" s="133" t="s">
        <v>28</v>
      </c>
    </row>
    <row r="3" spans="1:4" ht="31.5">
      <c r="A3" s="135" t="s">
        <v>262</v>
      </c>
      <c r="B3" s="136" t="s">
        <v>30</v>
      </c>
      <c r="C3" s="104" t="s">
        <v>31</v>
      </c>
      <c r="D3" s="165" t="s">
        <v>263</v>
      </c>
    </row>
    <row r="4" spans="1:4" ht="38.25">
      <c r="A4" s="103" t="s">
        <v>264</v>
      </c>
      <c r="B4" s="108" t="s">
        <v>265</v>
      </c>
      <c r="C4" s="109">
        <f t="shared" ref="C4:C35" si="0">IF(TRIM(A4)="","",IF(TRIM(B4)="",0,1))</f>
        <v>1</v>
      </c>
      <c r="D4" s="220" t="s">
        <v>266</v>
      </c>
    </row>
    <row r="5" spans="1:4" ht="25.5">
      <c r="A5" s="103" t="s">
        <v>267</v>
      </c>
      <c r="B5" s="108" t="s">
        <v>42</v>
      </c>
      <c r="C5" s="109">
        <f t="shared" si="0"/>
        <v>1</v>
      </c>
      <c r="D5" s="166" t="s">
        <v>268</v>
      </c>
    </row>
    <row r="6" spans="1:4">
      <c r="A6" s="103" t="s">
        <v>269</v>
      </c>
      <c r="B6" s="108" t="s">
        <v>42</v>
      </c>
      <c r="C6" s="109">
        <f t="shared" si="0"/>
        <v>1</v>
      </c>
      <c r="D6" s="218" t="s">
        <v>270</v>
      </c>
    </row>
    <row r="7" spans="1:4">
      <c r="A7" s="103" t="s">
        <v>271</v>
      </c>
      <c r="B7" s="108" t="s">
        <v>272</v>
      </c>
      <c r="C7" s="109">
        <f t="shared" si="0"/>
        <v>1</v>
      </c>
      <c r="D7" s="166" t="s">
        <v>268</v>
      </c>
    </row>
    <row r="8" spans="1:4">
      <c r="A8" s="103" t="s">
        <v>273</v>
      </c>
      <c r="B8" s="108" t="s">
        <v>42</v>
      </c>
      <c r="C8" s="109">
        <f t="shared" si="0"/>
        <v>1</v>
      </c>
      <c r="D8" s="219" t="s">
        <v>270</v>
      </c>
    </row>
    <row r="9" spans="1:4">
      <c r="A9" s="103" t="s">
        <v>274</v>
      </c>
      <c r="B9" s="108" t="s">
        <v>42</v>
      </c>
      <c r="C9" s="109">
        <f t="shared" si="0"/>
        <v>1</v>
      </c>
      <c r="D9" s="218" t="s">
        <v>270</v>
      </c>
    </row>
    <row r="10" spans="1:4">
      <c r="A10" s="103" t="s">
        <v>275</v>
      </c>
      <c r="B10" s="108" t="s">
        <v>24</v>
      </c>
      <c r="C10" s="109">
        <f t="shared" si="0"/>
        <v>1</v>
      </c>
      <c r="D10" s="167" t="s">
        <v>263</v>
      </c>
    </row>
    <row r="11" spans="1:4">
      <c r="A11" s="105" t="s">
        <v>276</v>
      </c>
      <c r="B11" s="108" t="s">
        <v>42</v>
      </c>
      <c r="C11" s="109">
        <f t="shared" si="0"/>
        <v>1</v>
      </c>
      <c r="D11" s="219" t="s">
        <v>277</v>
      </c>
    </row>
    <row r="12" spans="1:4">
      <c r="A12" s="105" t="s">
        <v>278</v>
      </c>
      <c r="B12" s="108" t="s">
        <v>42</v>
      </c>
      <c r="C12" s="109">
        <f t="shared" si="0"/>
        <v>1</v>
      </c>
      <c r="D12" s="219" t="s">
        <v>277</v>
      </c>
    </row>
    <row r="13" spans="1:4">
      <c r="A13" s="103" t="s">
        <v>279</v>
      </c>
      <c r="B13" s="108" t="s">
        <v>24</v>
      </c>
      <c r="C13" s="109">
        <f t="shared" si="0"/>
        <v>1</v>
      </c>
      <c r="D13" s="167" t="s">
        <v>263</v>
      </c>
    </row>
    <row r="14" spans="1:4">
      <c r="A14" s="105" t="s">
        <v>280</v>
      </c>
      <c r="B14" s="108" t="s">
        <v>42</v>
      </c>
      <c r="C14" s="109">
        <f t="shared" si="0"/>
        <v>1</v>
      </c>
      <c r="D14" s="218" t="s">
        <v>277</v>
      </c>
    </row>
    <row r="15" spans="1:4">
      <c r="A15" s="105" t="s">
        <v>281</v>
      </c>
      <c r="B15" s="108" t="s">
        <v>42</v>
      </c>
      <c r="C15" s="109">
        <f t="shared" si="0"/>
        <v>1</v>
      </c>
      <c r="D15" s="204" t="s">
        <v>277</v>
      </c>
    </row>
    <row r="16" spans="1:4">
      <c r="A16" s="105" t="s">
        <v>282</v>
      </c>
      <c r="B16" s="108" t="s">
        <v>42</v>
      </c>
      <c r="C16" s="109">
        <f t="shared" si="0"/>
        <v>1</v>
      </c>
      <c r="D16" s="204" t="s">
        <v>270</v>
      </c>
    </row>
    <row r="17" spans="1:4">
      <c r="A17" s="103" t="s">
        <v>283</v>
      </c>
      <c r="B17" s="108" t="s">
        <v>24</v>
      </c>
      <c r="C17" s="109">
        <f t="shared" si="0"/>
        <v>1</v>
      </c>
      <c r="D17" s="167" t="s">
        <v>263</v>
      </c>
    </row>
    <row r="18" spans="1:4">
      <c r="A18" s="105" t="s">
        <v>284</v>
      </c>
      <c r="B18" s="108" t="s">
        <v>42</v>
      </c>
      <c r="C18" s="109">
        <f t="shared" si="0"/>
        <v>1</v>
      </c>
      <c r="D18" s="218" t="s">
        <v>277</v>
      </c>
    </row>
    <row r="19" spans="1:4">
      <c r="A19" s="105" t="s">
        <v>285</v>
      </c>
      <c r="B19" s="108" t="s">
        <v>42</v>
      </c>
      <c r="C19" s="109">
        <f t="shared" si="0"/>
        <v>1</v>
      </c>
      <c r="D19" s="218" t="s">
        <v>277</v>
      </c>
    </row>
    <row r="20" spans="1:4" ht="38.25">
      <c r="A20" s="105" t="s">
        <v>286</v>
      </c>
      <c r="B20" s="108" t="s">
        <v>42</v>
      </c>
      <c r="C20" s="109">
        <f t="shared" si="0"/>
        <v>1</v>
      </c>
      <c r="D20" s="204" t="s">
        <v>270</v>
      </c>
    </row>
    <row r="21" spans="1:4">
      <c r="A21" s="105" t="s">
        <v>287</v>
      </c>
      <c r="B21" s="108" t="s">
        <v>24</v>
      </c>
      <c r="C21" s="109">
        <f t="shared" si="0"/>
        <v>1</v>
      </c>
      <c r="D21" s="167" t="s">
        <v>263</v>
      </c>
    </row>
    <row r="22" spans="1:4">
      <c r="A22" s="106" t="s">
        <v>288</v>
      </c>
      <c r="B22" s="108" t="s">
        <v>42</v>
      </c>
      <c r="C22" s="109">
        <f t="shared" si="0"/>
        <v>1</v>
      </c>
      <c r="D22" s="303" t="s">
        <v>270</v>
      </c>
    </row>
    <row r="23" spans="1:4">
      <c r="A23" s="106" t="s">
        <v>289</v>
      </c>
      <c r="B23" s="108" t="s">
        <v>290</v>
      </c>
      <c r="C23" s="109">
        <f t="shared" si="0"/>
        <v>1</v>
      </c>
      <c r="D23" s="304"/>
    </row>
    <row r="24" spans="1:4">
      <c r="A24" s="106" t="s">
        <v>291</v>
      </c>
      <c r="B24" s="108">
        <v>14</v>
      </c>
      <c r="C24" s="109">
        <f t="shared" si="0"/>
        <v>1</v>
      </c>
      <c r="D24" s="304"/>
    </row>
    <row r="25" spans="1:4">
      <c r="A25" s="106" t="s">
        <v>292</v>
      </c>
      <c r="B25" s="108" t="s">
        <v>42</v>
      </c>
      <c r="C25" s="109">
        <f t="shared" si="0"/>
        <v>1</v>
      </c>
      <c r="D25" s="304"/>
    </row>
    <row r="26" spans="1:4">
      <c r="A26" s="106" t="s">
        <v>293</v>
      </c>
      <c r="B26" s="108" t="s">
        <v>42</v>
      </c>
      <c r="C26" s="109">
        <f t="shared" si="0"/>
        <v>1</v>
      </c>
      <c r="D26" s="304"/>
    </row>
    <row r="27" spans="1:4">
      <c r="A27" s="106" t="s">
        <v>294</v>
      </c>
      <c r="B27" s="108" t="s">
        <v>42</v>
      </c>
      <c r="C27" s="109">
        <f t="shared" si="0"/>
        <v>1</v>
      </c>
      <c r="D27" s="304"/>
    </row>
    <row r="28" spans="1:4">
      <c r="A28" s="106" t="s">
        <v>295</v>
      </c>
      <c r="B28" s="108" t="s">
        <v>42</v>
      </c>
      <c r="C28" s="109">
        <f t="shared" si="0"/>
        <v>1</v>
      </c>
      <c r="D28" s="304"/>
    </row>
    <row r="29" spans="1:4">
      <c r="A29" s="106" t="s">
        <v>296</v>
      </c>
      <c r="B29" s="108" t="s">
        <v>42</v>
      </c>
      <c r="C29" s="109">
        <f t="shared" si="0"/>
        <v>1</v>
      </c>
      <c r="D29" s="304"/>
    </row>
    <row r="30" spans="1:4">
      <c r="A30" s="103" t="s">
        <v>297</v>
      </c>
      <c r="B30" s="108" t="s">
        <v>24</v>
      </c>
      <c r="C30" s="109">
        <f t="shared" si="0"/>
        <v>1</v>
      </c>
      <c r="D30" s="167" t="s">
        <v>263</v>
      </c>
    </row>
    <row r="31" spans="1:4">
      <c r="A31" s="105" t="s">
        <v>298</v>
      </c>
      <c r="B31" s="108" t="s">
        <v>42</v>
      </c>
      <c r="C31" s="109">
        <f t="shared" si="0"/>
        <v>1</v>
      </c>
      <c r="D31" s="204" t="s">
        <v>270</v>
      </c>
    </row>
    <row r="32" spans="1:4">
      <c r="A32" s="105" t="s">
        <v>299</v>
      </c>
      <c r="B32" s="108" t="s">
        <v>42</v>
      </c>
      <c r="C32" s="109">
        <f t="shared" si="0"/>
        <v>1</v>
      </c>
      <c r="D32" s="204" t="s">
        <v>270</v>
      </c>
    </row>
    <row r="33" spans="1:4">
      <c r="A33" s="103" t="s">
        <v>300</v>
      </c>
      <c r="B33" s="108" t="s">
        <v>24</v>
      </c>
      <c r="C33" s="109">
        <f t="shared" si="0"/>
        <v>1</v>
      </c>
      <c r="D33" s="167" t="s">
        <v>263</v>
      </c>
    </row>
    <row r="34" spans="1:4">
      <c r="A34" s="105" t="s">
        <v>301</v>
      </c>
      <c r="B34" s="108" t="s">
        <v>42</v>
      </c>
      <c r="C34" s="109">
        <f t="shared" si="0"/>
        <v>1</v>
      </c>
      <c r="D34" s="218" t="s">
        <v>277</v>
      </c>
    </row>
    <row r="35" spans="1:4">
      <c r="A35" s="105" t="s">
        <v>302</v>
      </c>
      <c r="B35" s="108" t="s">
        <v>42</v>
      </c>
      <c r="C35" s="109">
        <f t="shared" si="0"/>
        <v>1</v>
      </c>
      <c r="D35" s="206" t="s">
        <v>63</v>
      </c>
    </row>
    <row r="36" spans="1:4" ht="31.5">
      <c r="A36" s="137" t="s">
        <v>303</v>
      </c>
      <c r="B36" s="138" t="s">
        <v>30</v>
      </c>
      <c r="D36" s="167" t="s">
        <v>263</v>
      </c>
    </row>
    <row r="37" spans="1:4">
      <c r="A37" s="103" t="s">
        <v>304</v>
      </c>
      <c r="B37" s="162" t="s">
        <v>305</v>
      </c>
      <c r="C37" s="109">
        <f t="shared" ref="C37:C41" si="1">IF(TRIM(A37)="","",IF(TRIM(B37)="",0,1))</f>
        <v>1</v>
      </c>
      <c r="D37" s="166" t="s">
        <v>54</v>
      </c>
    </row>
    <row r="38" spans="1:4" ht="25.5">
      <c r="A38" s="103" t="s">
        <v>306</v>
      </c>
      <c r="B38" s="108" t="s">
        <v>307</v>
      </c>
      <c r="C38" s="109">
        <f t="shared" si="1"/>
        <v>1</v>
      </c>
      <c r="D38" s="166" t="s">
        <v>54</v>
      </c>
    </row>
    <row r="39" spans="1:4">
      <c r="A39" s="103" t="s">
        <v>308</v>
      </c>
      <c r="B39" s="162" t="s">
        <v>305</v>
      </c>
      <c r="C39" s="109">
        <f t="shared" si="1"/>
        <v>1</v>
      </c>
      <c r="D39" s="166" t="s">
        <v>54</v>
      </c>
    </row>
    <row r="40" spans="1:4" ht="153">
      <c r="A40" s="103" t="s">
        <v>309</v>
      </c>
      <c r="B40" s="108" t="s">
        <v>310</v>
      </c>
      <c r="C40" s="109">
        <f t="shared" si="1"/>
        <v>1</v>
      </c>
      <c r="D40" s="168" t="s">
        <v>311</v>
      </c>
    </row>
    <row r="41" spans="1:4">
      <c r="A41" s="103" t="s">
        <v>312</v>
      </c>
      <c r="B41" s="108" t="s">
        <v>313</v>
      </c>
      <c r="C41" s="109">
        <f t="shared" si="1"/>
        <v>1</v>
      </c>
      <c r="D41" s="168" t="s">
        <v>118</v>
      </c>
    </row>
    <row r="42" spans="1:4" ht="31.5">
      <c r="A42" s="137" t="s">
        <v>314</v>
      </c>
      <c r="B42" s="138" t="s">
        <v>30</v>
      </c>
      <c r="D42" s="169" t="s">
        <v>263</v>
      </c>
    </row>
    <row r="43" spans="1:4" ht="165.75">
      <c r="A43" s="107" t="s">
        <v>315</v>
      </c>
      <c r="B43" s="207" t="s">
        <v>316</v>
      </c>
      <c r="C43" s="12">
        <f t="shared" ref="C43:C50" si="2">IF(TRIM(A43)="","",IF(TRIM(B43)="",0,1))</f>
        <v>1</v>
      </c>
      <c r="D43" s="170" t="s">
        <v>63</v>
      </c>
    </row>
    <row r="44" spans="1:4">
      <c r="A44" s="107" t="s">
        <v>317</v>
      </c>
      <c r="B44" s="100" t="s">
        <v>318</v>
      </c>
      <c r="C44" s="12">
        <f t="shared" si="2"/>
        <v>1</v>
      </c>
      <c r="D44" s="170" t="s">
        <v>63</v>
      </c>
    </row>
    <row r="45" spans="1:4" ht="409.5">
      <c r="A45" s="107" t="s">
        <v>319</v>
      </c>
      <c r="B45" s="207" t="s">
        <v>320</v>
      </c>
      <c r="C45" s="12">
        <f t="shared" si="2"/>
        <v>1</v>
      </c>
      <c r="D45" s="170" t="s">
        <v>63</v>
      </c>
    </row>
    <row r="46" spans="1:4">
      <c r="A46" s="107" t="s">
        <v>321</v>
      </c>
      <c r="B46" s="100" t="s">
        <v>322</v>
      </c>
      <c r="C46" s="12">
        <f t="shared" si="2"/>
        <v>1</v>
      </c>
      <c r="D46" s="170" t="s">
        <v>63</v>
      </c>
    </row>
    <row r="47" spans="1:4">
      <c r="A47" s="107" t="s">
        <v>323</v>
      </c>
      <c r="B47" s="100" t="s">
        <v>322</v>
      </c>
      <c r="C47" s="12">
        <f t="shared" si="2"/>
        <v>1</v>
      </c>
      <c r="D47" s="170" t="s">
        <v>63</v>
      </c>
    </row>
    <row r="48" spans="1:4">
      <c r="A48" s="107" t="s">
        <v>324</v>
      </c>
      <c r="B48" s="100" t="s">
        <v>322</v>
      </c>
      <c r="C48" s="12">
        <f t="shared" si="2"/>
        <v>1</v>
      </c>
      <c r="D48" s="170" t="s">
        <v>63</v>
      </c>
    </row>
    <row r="49" spans="1:4" ht="25.5">
      <c r="A49" s="107" t="s">
        <v>325</v>
      </c>
      <c r="B49" s="100" t="s">
        <v>22</v>
      </c>
      <c r="C49" s="12">
        <f t="shared" si="2"/>
        <v>1</v>
      </c>
      <c r="D49" s="205" t="s">
        <v>326</v>
      </c>
    </row>
    <row r="50" spans="1:4">
      <c r="A50" s="107" t="s">
        <v>327</v>
      </c>
      <c r="B50" s="100" t="s">
        <v>56</v>
      </c>
      <c r="C50" s="12">
        <f t="shared" si="2"/>
        <v>1</v>
      </c>
      <c r="D50" s="166" t="s">
        <v>54</v>
      </c>
    </row>
    <row r="51" spans="1:4">
      <c r="C51" s="95">
        <f>SUM(C4:C50)/COUNT(C4:C50)</f>
        <v>1</v>
      </c>
    </row>
    <row r="123" spans="1:1">
      <c r="A123" s="1" t="s">
        <v>223</v>
      </c>
    </row>
  </sheetData>
  <sheetProtection formatRows="0"/>
  <autoFilter ref="A3:D51" xr:uid="{00000000-0009-0000-0000-000002000000}"/>
  <mergeCells count="2">
    <mergeCell ref="A1:B1"/>
    <mergeCell ref="D22:D29"/>
  </mergeCells>
  <conditionalFormatting sqref="A43:A50">
    <cfRule type="containsBlanks" dxfId="786" priority="36">
      <formula>LEN(TRIM(A43))=0</formula>
    </cfRule>
  </conditionalFormatting>
  <conditionalFormatting sqref="B4:B35">
    <cfRule type="expression" dxfId="785" priority="27">
      <formula>$B4=""</formula>
    </cfRule>
    <cfRule type="expression" dxfId="784" priority="28">
      <formula>AND($B4&lt;&gt;"",#REF!="")</formula>
    </cfRule>
  </conditionalFormatting>
  <conditionalFormatting sqref="B38 B40:B41">
    <cfRule type="expression" dxfId="783" priority="29">
      <formula>$B38=""</formula>
    </cfRule>
    <cfRule type="expression" dxfId="782" priority="30">
      <formula>AND($B38&lt;&gt;"",#REF!="")</formula>
    </cfRule>
  </conditionalFormatting>
  <conditionalFormatting sqref="B43:B50">
    <cfRule type="expression" dxfId="781" priority="33">
      <formula>$B43=""</formula>
    </cfRule>
    <cfRule type="expression" dxfId="780" priority="160">
      <formula>AND($B43&lt;&gt;"",#REF!="")</formula>
    </cfRule>
  </conditionalFormatting>
  <conditionalFormatting sqref="D4">
    <cfRule type="expression" dxfId="779" priority="26">
      <formula>AND($B4&lt;&gt;"",#REF!="")</formula>
    </cfRule>
  </conditionalFormatting>
  <conditionalFormatting sqref="D4:D9">
    <cfRule type="expression" dxfId="778" priority="22">
      <formula>$B4=""</formula>
    </cfRule>
  </conditionalFormatting>
  <conditionalFormatting sqref="D5">
    <cfRule type="expression" dxfId="777" priority="25">
      <formula>AND($B5&lt;&gt;"",#REF!="")</formula>
    </cfRule>
  </conditionalFormatting>
  <conditionalFormatting sqref="D5:D7">
    <cfRule type="expression" dxfId="776" priority="24">
      <formula>AND($B5&lt;&gt;"",#REF!="")</formula>
    </cfRule>
  </conditionalFormatting>
  <conditionalFormatting sqref="D7">
    <cfRule type="expression" dxfId="775" priority="3">
      <formula>AND($B7&lt;&gt;"",#REF!="")</formula>
    </cfRule>
  </conditionalFormatting>
  <conditionalFormatting sqref="D7:D9">
    <cfRule type="expression" dxfId="774" priority="23">
      <formula>AND($B7&lt;&gt;"",#REF!="")</formula>
    </cfRule>
  </conditionalFormatting>
  <conditionalFormatting sqref="D11:D12">
    <cfRule type="expression" dxfId="773" priority="20">
      <formula>$B11=""</formula>
    </cfRule>
    <cfRule type="expression" dxfId="772" priority="21">
      <formula>AND($B11&lt;&gt;"",#REF!="")</formula>
    </cfRule>
  </conditionalFormatting>
  <conditionalFormatting sqref="D14:D16">
    <cfRule type="expression" dxfId="771" priority="18">
      <formula>$B14=""</formula>
    </cfRule>
    <cfRule type="expression" dxfId="770" priority="19">
      <formula>AND($B14&lt;&gt;"",#REF!="")</formula>
    </cfRule>
  </conditionalFormatting>
  <conditionalFormatting sqref="D18:D20">
    <cfRule type="expression" dxfId="769" priority="16">
      <formula>$B18=""</formula>
    </cfRule>
    <cfRule type="expression" dxfId="768" priority="17">
      <formula>AND($B18&lt;&gt;"",#REF!="")</formula>
    </cfRule>
  </conditionalFormatting>
  <conditionalFormatting sqref="D22">
    <cfRule type="expression" dxfId="767" priority="14">
      <formula>$B22=""</formula>
    </cfRule>
    <cfRule type="expression" dxfId="766" priority="15">
      <formula>AND($B22&lt;&gt;"",#REF!="")</formula>
    </cfRule>
  </conditionalFormatting>
  <conditionalFormatting sqref="D31:D32">
    <cfRule type="expression" dxfId="765" priority="12">
      <formula>$B31=""</formula>
    </cfRule>
    <cfRule type="expression" dxfId="764" priority="13">
      <formula>AND($B31&lt;&gt;"",#REF!="")</formula>
    </cfRule>
  </conditionalFormatting>
  <conditionalFormatting sqref="D34">
    <cfRule type="expression" dxfId="763" priority="10">
      <formula>$B34=""</formula>
    </cfRule>
    <cfRule type="expression" dxfId="762" priority="11">
      <formula>AND($B34&lt;&gt;"",#REF!="")</formula>
    </cfRule>
  </conditionalFormatting>
  <conditionalFormatting sqref="D37:D39">
    <cfRule type="expression" dxfId="761" priority="8">
      <formula>$B37=""</formula>
    </cfRule>
    <cfRule type="expression" dxfId="760" priority="9">
      <formula>AND($B37&lt;&gt;"",#REF!="")</formula>
    </cfRule>
  </conditionalFormatting>
  <conditionalFormatting sqref="D49:D50">
    <cfRule type="expression" dxfId="759" priority="1">
      <formula>$B49=""</formula>
    </cfRule>
    <cfRule type="expression" dxfId="758" priority="2">
      <formula>AND($B49&lt;&gt;"",#REF!="")</formula>
    </cfRule>
  </conditionalFormatting>
  <dataValidations count="1">
    <dataValidation type="list" allowBlank="1" showInputMessage="1" showErrorMessage="1" sqref="D37:D39 D50" xr:uid="{00000000-0002-0000-0200-000000000000}">
      <formula1>"Oui,Non"</formula1>
    </dataValidation>
  </dataValidations>
  <hyperlinks>
    <hyperlink ref="A1" location="Sommaire!A1" display="Retour à la page d'accueil" xr:uid="{00000000-0004-0000-0200-000000000000}"/>
    <hyperlink ref="A1:B1" location="Accueil!A1" display="Retour à la page d'accueil"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23"/>
  <sheetViews>
    <sheetView showGridLines="0" workbookViewId="0">
      <pane ySplit="2" topLeftCell="A3" activePane="bottomLeft" state="frozen"/>
      <selection pane="bottomLeft" sqref="A1:B1"/>
    </sheetView>
  </sheetViews>
  <sheetFormatPr defaultColWidth="10.85546875" defaultRowHeight="12.75"/>
  <cols>
    <col min="1" max="1" width="5.42578125" style="2" customWidth="1"/>
    <col min="2" max="2" width="22" style="2" customWidth="1"/>
    <col min="3" max="3" width="15.7109375" style="2" customWidth="1"/>
    <col min="4" max="4" width="12.140625" style="2" customWidth="1"/>
    <col min="5" max="5" width="11.42578125" style="2" customWidth="1"/>
    <col min="6" max="6" width="17.85546875" style="2" customWidth="1"/>
    <col min="7" max="7" width="18.42578125" style="2" bestFit="1" customWidth="1"/>
    <col min="8" max="8" width="16.42578125" style="2" customWidth="1"/>
    <col min="9" max="9" width="11.140625" style="2" bestFit="1" customWidth="1"/>
    <col min="10" max="10" width="10.7109375" style="2" bestFit="1" customWidth="1"/>
    <col min="11" max="11" width="17.42578125" style="2" bestFit="1" customWidth="1"/>
    <col min="12" max="12" width="13.140625" style="2" bestFit="1" customWidth="1"/>
    <col min="13" max="13" width="10.42578125" style="2" customWidth="1"/>
    <col min="14" max="14" width="16.140625" style="2" customWidth="1"/>
    <col min="15" max="15" width="13.42578125" style="2" bestFit="1" customWidth="1"/>
    <col min="16" max="16" width="19.42578125" style="2" customWidth="1"/>
    <col min="17" max="17" width="9.42578125" style="2" bestFit="1" customWidth="1"/>
    <col min="18" max="18" width="12" style="2" bestFit="1" customWidth="1"/>
    <col min="19" max="19" width="27.42578125" style="2" customWidth="1"/>
    <col min="20" max="16384" width="10.85546875" style="2"/>
  </cols>
  <sheetData>
    <row r="1" spans="1:19" ht="14.25">
      <c r="A1" s="302" t="s">
        <v>26</v>
      </c>
      <c r="B1" s="302"/>
    </row>
    <row r="2" spans="1:19" s="3" customFormat="1" ht="63.75">
      <c r="A2" s="110" t="s">
        <v>328</v>
      </c>
      <c r="B2" s="111" t="s">
        <v>329</v>
      </c>
      <c r="C2" s="111" t="s">
        <v>330</v>
      </c>
      <c r="D2" s="111" t="s">
        <v>331</v>
      </c>
      <c r="E2" s="111" t="s">
        <v>332</v>
      </c>
      <c r="F2" s="111" t="s">
        <v>333</v>
      </c>
      <c r="G2" s="112" t="s">
        <v>334</v>
      </c>
      <c r="H2" s="111" t="s">
        <v>335</v>
      </c>
      <c r="I2" s="111" t="s">
        <v>336</v>
      </c>
      <c r="J2" s="111" t="s">
        <v>337</v>
      </c>
      <c r="K2" s="111" t="s">
        <v>338</v>
      </c>
      <c r="L2" s="111" t="s">
        <v>339</v>
      </c>
      <c r="M2" s="111" t="s">
        <v>340</v>
      </c>
      <c r="N2" s="111" t="s">
        <v>341</v>
      </c>
      <c r="O2" s="111" t="s">
        <v>342</v>
      </c>
      <c r="P2" s="111" t="s">
        <v>343</v>
      </c>
      <c r="Q2" s="111" t="s">
        <v>344</v>
      </c>
      <c r="R2" s="111" t="s">
        <v>345</v>
      </c>
      <c r="S2" s="113" t="s">
        <v>346</v>
      </c>
    </row>
    <row r="3" spans="1:19" ht="25.5">
      <c r="A3" s="12">
        <v>1</v>
      </c>
      <c r="B3" s="21" t="s">
        <v>347</v>
      </c>
      <c r="C3" s="21" t="s">
        <v>60</v>
      </c>
      <c r="D3" s="21" t="s">
        <v>348</v>
      </c>
      <c r="E3" s="21" t="s">
        <v>349</v>
      </c>
      <c r="F3" s="21" t="s">
        <v>350</v>
      </c>
      <c r="G3" s="21" t="s">
        <v>60</v>
      </c>
      <c r="H3" s="21" t="s">
        <v>60</v>
      </c>
      <c r="I3" s="179">
        <v>7380000</v>
      </c>
      <c r="J3" s="21"/>
      <c r="K3" s="21" t="s">
        <v>351</v>
      </c>
      <c r="L3" s="21">
        <v>2022</v>
      </c>
      <c r="M3" s="21"/>
      <c r="N3" s="21" t="s">
        <v>60</v>
      </c>
      <c r="O3" s="21" t="s">
        <v>352</v>
      </c>
      <c r="P3" s="21" t="s">
        <v>24</v>
      </c>
      <c r="Q3" s="21" t="s">
        <v>353</v>
      </c>
      <c r="R3" s="21" t="s">
        <v>354</v>
      </c>
      <c r="S3" s="21"/>
    </row>
    <row r="4" spans="1:19" ht="25.5">
      <c r="A4" s="12">
        <v>2</v>
      </c>
      <c r="B4" s="21" t="s">
        <v>355</v>
      </c>
      <c r="C4" s="21" t="s">
        <v>60</v>
      </c>
      <c r="D4" s="21" t="s">
        <v>356</v>
      </c>
      <c r="E4" s="21" t="s">
        <v>349</v>
      </c>
      <c r="F4" s="21" t="s">
        <v>357</v>
      </c>
      <c r="G4" s="21" t="s">
        <v>358</v>
      </c>
      <c r="H4" s="21" t="s">
        <v>60</v>
      </c>
      <c r="I4" s="179">
        <v>13200000</v>
      </c>
      <c r="J4" s="21"/>
      <c r="K4" s="21" t="s">
        <v>359</v>
      </c>
      <c r="L4" s="21">
        <v>2021</v>
      </c>
      <c r="M4" s="21"/>
      <c r="N4" s="21" t="s">
        <v>60</v>
      </c>
      <c r="O4" s="21" t="s">
        <v>352</v>
      </c>
      <c r="P4" s="21" t="s">
        <v>24</v>
      </c>
      <c r="Q4" s="21" t="s">
        <v>353</v>
      </c>
      <c r="R4" s="21" t="s">
        <v>354</v>
      </c>
      <c r="S4" s="21"/>
    </row>
    <row r="5" spans="1:19" ht="25.5">
      <c r="A5" s="12">
        <v>3</v>
      </c>
      <c r="B5" s="21" t="s">
        <v>355</v>
      </c>
      <c r="C5" s="21" t="s">
        <v>60</v>
      </c>
      <c r="D5" s="21" t="s">
        <v>360</v>
      </c>
      <c r="E5" s="21" t="s">
        <v>349</v>
      </c>
      <c r="F5" s="21" t="s">
        <v>357</v>
      </c>
      <c r="G5" s="21" t="s">
        <v>358</v>
      </c>
      <c r="H5" s="21" t="s">
        <v>60</v>
      </c>
      <c r="I5" s="179">
        <v>5436000</v>
      </c>
      <c r="J5" s="21"/>
      <c r="K5" s="21" t="s">
        <v>359</v>
      </c>
      <c r="L5" s="21">
        <v>2021</v>
      </c>
      <c r="M5" s="21"/>
      <c r="N5" s="21" t="s">
        <v>60</v>
      </c>
      <c r="O5" s="21" t="s">
        <v>352</v>
      </c>
      <c r="P5" s="21" t="s">
        <v>24</v>
      </c>
      <c r="Q5" s="21" t="s">
        <v>353</v>
      </c>
      <c r="R5" s="21" t="s">
        <v>354</v>
      </c>
      <c r="S5" s="21"/>
    </row>
    <row r="6" spans="1:19" ht="25.5">
      <c r="A6" s="12">
        <v>4</v>
      </c>
      <c r="B6" s="21" t="s">
        <v>361</v>
      </c>
      <c r="C6" s="21" t="s">
        <v>60</v>
      </c>
      <c r="D6" s="21" t="s">
        <v>362</v>
      </c>
      <c r="E6" s="21" t="s">
        <v>349</v>
      </c>
      <c r="F6" s="21" t="s">
        <v>363</v>
      </c>
      <c r="G6" s="21" t="s">
        <v>358</v>
      </c>
      <c r="H6" s="21" t="s">
        <v>60</v>
      </c>
      <c r="I6" s="179">
        <v>593000</v>
      </c>
      <c r="J6" s="21"/>
      <c r="K6" s="21" t="s">
        <v>359</v>
      </c>
      <c r="L6" s="21">
        <v>2021</v>
      </c>
      <c r="M6" s="21"/>
      <c r="N6" s="21" t="s">
        <v>60</v>
      </c>
      <c r="O6" s="21" t="s">
        <v>352</v>
      </c>
      <c r="P6" s="21" t="s">
        <v>24</v>
      </c>
      <c r="Q6" s="21" t="s">
        <v>353</v>
      </c>
      <c r="R6" s="21" t="s">
        <v>364</v>
      </c>
      <c r="S6" s="21"/>
    </row>
    <row r="7" spans="1:19" ht="38.25">
      <c r="A7" s="12">
        <v>5</v>
      </c>
      <c r="B7" s="21" t="s">
        <v>365</v>
      </c>
      <c r="C7" s="21" t="s">
        <v>60</v>
      </c>
      <c r="D7" s="21" t="s">
        <v>366</v>
      </c>
      <c r="E7" s="21" t="s">
        <v>349</v>
      </c>
      <c r="F7" s="21" t="s">
        <v>367</v>
      </c>
      <c r="G7" s="21" t="s">
        <v>358</v>
      </c>
      <c r="H7" s="21" t="s">
        <v>60</v>
      </c>
      <c r="I7" s="21" t="s">
        <v>368</v>
      </c>
      <c r="J7" s="21"/>
      <c r="K7" s="21" t="s">
        <v>359</v>
      </c>
      <c r="L7" s="21">
        <v>2024</v>
      </c>
      <c r="M7" s="21" t="s">
        <v>60</v>
      </c>
      <c r="N7" s="21" t="s">
        <v>60</v>
      </c>
      <c r="O7" s="21" t="s">
        <v>352</v>
      </c>
      <c r="P7" s="21" t="s">
        <v>24</v>
      </c>
      <c r="Q7" s="21" t="s">
        <v>353</v>
      </c>
      <c r="R7" s="21" t="s">
        <v>364</v>
      </c>
      <c r="S7" s="21"/>
    </row>
    <row r="8" spans="1:19" ht="25.5">
      <c r="A8" s="12">
        <v>6</v>
      </c>
      <c r="B8" s="21" t="s">
        <v>369</v>
      </c>
      <c r="C8" s="21" t="s">
        <v>60</v>
      </c>
      <c r="D8" s="21" t="s">
        <v>370</v>
      </c>
      <c r="E8" s="21" t="s">
        <v>349</v>
      </c>
      <c r="F8" s="21" t="s">
        <v>371</v>
      </c>
      <c r="G8" s="21" t="s">
        <v>372</v>
      </c>
      <c r="H8" s="21" t="s">
        <v>60</v>
      </c>
      <c r="I8" s="179">
        <v>4200000</v>
      </c>
      <c r="J8" s="21"/>
      <c r="K8" s="21" t="s">
        <v>359</v>
      </c>
      <c r="L8" s="21">
        <v>2023</v>
      </c>
      <c r="M8" s="21"/>
      <c r="N8" s="21" t="s">
        <v>60</v>
      </c>
      <c r="O8" s="21" t="s">
        <v>352</v>
      </c>
      <c r="P8" s="21" t="s">
        <v>24</v>
      </c>
      <c r="Q8" s="21" t="s">
        <v>353</v>
      </c>
      <c r="R8" s="21" t="s">
        <v>373</v>
      </c>
      <c r="S8" s="21"/>
    </row>
    <row r="9" spans="1:19" ht="25.5">
      <c r="A9" s="12">
        <v>7</v>
      </c>
      <c r="B9" s="21" t="s">
        <v>374</v>
      </c>
      <c r="C9" s="21" t="s">
        <v>60</v>
      </c>
      <c r="D9" s="21" t="s">
        <v>375</v>
      </c>
      <c r="E9" s="21" t="s">
        <v>349</v>
      </c>
      <c r="F9" s="21" t="s">
        <v>376</v>
      </c>
      <c r="G9" s="21" t="s">
        <v>358</v>
      </c>
      <c r="H9" s="21" t="s">
        <v>60</v>
      </c>
      <c r="I9" s="21" t="s">
        <v>368</v>
      </c>
      <c r="J9" s="21"/>
      <c r="K9" s="21" t="s">
        <v>359</v>
      </c>
      <c r="L9" s="21">
        <v>2024</v>
      </c>
      <c r="M9" s="21" t="s">
        <v>60</v>
      </c>
      <c r="N9" s="21" t="s">
        <v>60</v>
      </c>
      <c r="O9" s="21" t="s">
        <v>352</v>
      </c>
      <c r="P9" s="21" t="s">
        <v>24</v>
      </c>
      <c r="Q9" s="21" t="s">
        <v>353</v>
      </c>
      <c r="R9" s="21" t="s">
        <v>364</v>
      </c>
      <c r="S9" s="21"/>
    </row>
    <row r="10" spans="1:19">
      <c r="A10" s="12">
        <v>8</v>
      </c>
      <c r="B10" s="21"/>
      <c r="C10" s="21"/>
      <c r="D10" s="21"/>
      <c r="E10" s="21"/>
      <c r="F10" s="21"/>
      <c r="G10" s="21"/>
      <c r="H10" s="21"/>
      <c r="I10" s="145"/>
      <c r="J10" s="21"/>
      <c r="K10" s="21"/>
      <c r="L10" s="146"/>
      <c r="M10" s="21"/>
      <c r="N10" s="21"/>
      <c r="O10" s="21"/>
      <c r="P10" s="21"/>
      <c r="Q10" s="21"/>
      <c r="R10" s="21"/>
      <c r="S10" s="21"/>
    </row>
    <row r="11" spans="1:19">
      <c r="A11" s="12">
        <v>9</v>
      </c>
      <c r="B11" s="21"/>
      <c r="C11" s="21"/>
      <c r="D11" s="21"/>
      <c r="E11" s="21"/>
      <c r="F11" s="21"/>
      <c r="G11" s="21"/>
      <c r="H11" s="21"/>
      <c r="I11" s="145"/>
      <c r="J11" s="21"/>
      <c r="K11" s="21"/>
      <c r="L11" s="146"/>
      <c r="M11" s="21"/>
      <c r="N11" s="21"/>
      <c r="O11" s="21"/>
      <c r="P11" s="21"/>
      <c r="Q11" s="21"/>
      <c r="R11" s="21"/>
      <c r="S11" s="21"/>
    </row>
    <row r="12" spans="1:19">
      <c r="A12" s="12">
        <v>10</v>
      </c>
      <c r="B12" s="21"/>
      <c r="C12" s="21"/>
      <c r="D12" s="21"/>
      <c r="E12" s="21"/>
      <c r="F12" s="21"/>
      <c r="G12" s="21"/>
      <c r="H12" s="21"/>
      <c r="I12" s="145"/>
      <c r="J12" s="21"/>
      <c r="K12" s="21"/>
      <c r="L12" s="146"/>
      <c r="M12" s="21"/>
      <c r="N12" s="21"/>
      <c r="O12" s="21"/>
      <c r="P12" s="21"/>
      <c r="Q12" s="21"/>
      <c r="R12" s="21"/>
      <c r="S12" s="21"/>
    </row>
    <row r="13" spans="1:19">
      <c r="A13" s="12">
        <v>11</v>
      </c>
      <c r="B13" s="21"/>
      <c r="C13" s="21"/>
      <c r="D13" s="21"/>
      <c r="E13" s="21"/>
      <c r="F13" s="21"/>
      <c r="G13" s="21"/>
      <c r="H13" s="21"/>
      <c r="I13" s="145"/>
      <c r="J13" s="21"/>
      <c r="K13" s="21"/>
      <c r="L13" s="146"/>
      <c r="M13" s="21"/>
      <c r="N13" s="21"/>
      <c r="O13" s="21"/>
      <c r="P13" s="21"/>
      <c r="Q13" s="21"/>
      <c r="R13" s="21"/>
      <c r="S13" s="21"/>
    </row>
    <row r="14" spans="1:19">
      <c r="A14" s="12">
        <v>12</v>
      </c>
      <c r="B14" s="21"/>
      <c r="C14" s="21"/>
      <c r="D14" s="21"/>
      <c r="E14" s="21"/>
      <c r="F14" s="21"/>
      <c r="G14" s="21"/>
      <c r="H14" s="21"/>
      <c r="I14" s="145"/>
      <c r="J14" s="21"/>
      <c r="K14" s="21"/>
      <c r="L14" s="146"/>
      <c r="M14" s="21"/>
      <c r="N14" s="21"/>
      <c r="O14" s="21"/>
      <c r="P14" s="21"/>
      <c r="Q14" s="21"/>
      <c r="R14" s="21"/>
      <c r="S14" s="21"/>
    </row>
    <row r="15" spans="1:19">
      <c r="A15" s="12">
        <v>13</v>
      </c>
      <c r="B15" s="21"/>
      <c r="C15" s="21"/>
      <c r="D15" s="21"/>
      <c r="E15" s="21"/>
      <c r="F15" s="21"/>
      <c r="G15" s="21"/>
      <c r="H15" s="21"/>
      <c r="I15" s="145"/>
      <c r="J15" s="21"/>
      <c r="K15" s="21"/>
      <c r="L15" s="146"/>
      <c r="M15" s="21"/>
      <c r="N15" s="21"/>
      <c r="O15" s="21"/>
      <c r="P15" s="21"/>
      <c r="Q15" s="21"/>
      <c r="R15" s="21"/>
      <c r="S15" s="21"/>
    </row>
    <row r="16" spans="1:19">
      <c r="A16" s="12">
        <v>14</v>
      </c>
      <c r="B16" s="21"/>
      <c r="C16" s="21"/>
      <c r="D16" s="21"/>
      <c r="E16" s="21"/>
      <c r="F16" s="21"/>
      <c r="G16" s="21"/>
      <c r="H16" s="21"/>
      <c r="I16" s="145"/>
      <c r="J16" s="21"/>
      <c r="K16" s="21"/>
      <c r="L16" s="146"/>
      <c r="M16" s="21"/>
      <c r="N16" s="21"/>
      <c r="O16" s="21"/>
      <c r="P16" s="21"/>
      <c r="Q16" s="21"/>
      <c r="R16" s="21"/>
      <c r="S16" s="21"/>
    </row>
    <row r="17" spans="1:19">
      <c r="A17" s="12">
        <v>15</v>
      </c>
      <c r="B17" s="21"/>
      <c r="C17" s="21"/>
      <c r="D17" s="21"/>
      <c r="E17" s="21"/>
      <c r="F17" s="21"/>
      <c r="G17" s="21"/>
      <c r="H17" s="21"/>
      <c r="I17" s="145"/>
      <c r="J17" s="21"/>
      <c r="K17" s="21"/>
      <c r="L17" s="146"/>
      <c r="M17" s="21"/>
      <c r="N17" s="21"/>
      <c r="O17" s="21"/>
      <c r="P17" s="21"/>
      <c r="Q17" s="21"/>
      <c r="R17" s="21"/>
      <c r="S17" s="21"/>
    </row>
    <row r="18" spans="1:19">
      <c r="A18" s="12">
        <v>16</v>
      </c>
      <c r="B18" s="21"/>
      <c r="C18" s="21"/>
      <c r="D18" s="21"/>
      <c r="E18" s="21"/>
      <c r="F18" s="21"/>
      <c r="G18" s="21"/>
      <c r="H18" s="21"/>
      <c r="I18" s="145"/>
      <c r="J18" s="21"/>
      <c r="K18" s="21"/>
      <c r="L18" s="146"/>
      <c r="M18" s="21"/>
      <c r="N18" s="21"/>
      <c r="O18" s="21"/>
      <c r="P18" s="21"/>
      <c r="Q18" s="21"/>
      <c r="R18" s="21"/>
      <c r="S18" s="21"/>
    </row>
    <row r="19" spans="1:19">
      <c r="A19" s="12">
        <v>17</v>
      </c>
      <c r="B19" s="21"/>
      <c r="C19" s="21"/>
      <c r="D19" s="21"/>
      <c r="E19" s="21"/>
      <c r="F19" s="21"/>
      <c r="G19" s="21"/>
      <c r="H19" s="21"/>
      <c r="I19" s="145"/>
      <c r="J19" s="21"/>
      <c r="K19" s="21"/>
      <c r="L19" s="146"/>
      <c r="M19" s="21"/>
      <c r="N19" s="21"/>
      <c r="O19" s="21"/>
      <c r="P19" s="21"/>
      <c r="Q19" s="21"/>
      <c r="R19" s="21"/>
      <c r="S19" s="21"/>
    </row>
    <row r="20" spans="1:19">
      <c r="A20" s="12">
        <v>18</v>
      </c>
      <c r="B20" s="21"/>
      <c r="C20" s="21"/>
      <c r="D20" s="21"/>
      <c r="E20" s="21"/>
      <c r="F20" s="21"/>
      <c r="G20" s="21"/>
      <c r="H20" s="21"/>
      <c r="I20" s="145"/>
      <c r="J20" s="21"/>
      <c r="K20" s="21"/>
      <c r="L20" s="146"/>
      <c r="M20" s="21"/>
      <c r="N20" s="21"/>
      <c r="O20" s="21"/>
      <c r="P20" s="21"/>
      <c r="Q20" s="21"/>
      <c r="R20" s="21"/>
      <c r="S20" s="21"/>
    </row>
    <row r="21" spans="1:19">
      <c r="A21" s="12">
        <v>19</v>
      </c>
      <c r="B21" s="21"/>
      <c r="C21" s="21"/>
      <c r="D21" s="21"/>
      <c r="E21" s="21"/>
      <c r="F21" s="21"/>
      <c r="G21" s="21"/>
      <c r="H21" s="21"/>
      <c r="I21" s="145"/>
      <c r="J21" s="21"/>
      <c r="K21" s="21"/>
      <c r="L21" s="146"/>
      <c r="M21" s="21"/>
      <c r="N21" s="21"/>
      <c r="O21" s="21"/>
      <c r="P21" s="21"/>
      <c r="Q21" s="21"/>
      <c r="R21" s="21"/>
      <c r="S21" s="21"/>
    </row>
    <row r="22" spans="1:19">
      <c r="A22" s="12">
        <v>20</v>
      </c>
      <c r="B22" s="21"/>
      <c r="C22" s="21"/>
      <c r="D22" s="21"/>
      <c r="E22" s="21"/>
      <c r="F22" s="21"/>
      <c r="G22" s="21"/>
      <c r="H22" s="21"/>
      <c r="I22" s="145"/>
      <c r="J22" s="21"/>
      <c r="K22" s="21"/>
      <c r="L22" s="146"/>
      <c r="M22" s="21"/>
      <c r="N22" s="21"/>
      <c r="O22" s="21"/>
      <c r="P22" s="21"/>
      <c r="Q22" s="21"/>
      <c r="R22" s="21"/>
      <c r="S22" s="21"/>
    </row>
    <row r="23" spans="1:19">
      <c r="A23" s="12">
        <v>21</v>
      </c>
      <c r="B23" s="21"/>
      <c r="C23" s="21"/>
      <c r="D23" s="21"/>
      <c r="E23" s="21"/>
      <c r="F23" s="21"/>
      <c r="G23" s="21"/>
      <c r="H23" s="21"/>
      <c r="I23" s="145"/>
      <c r="J23" s="21"/>
      <c r="K23" s="21"/>
      <c r="L23" s="146"/>
      <c r="M23" s="21"/>
      <c r="N23" s="21"/>
      <c r="O23" s="21"/>
      <c r="P23" s="21"/>
      <c r="Q23" s="21"/>
      <c r="R23" s="21"/>
      <c r="S23" s="21"/>
    </row>
    <row r="24" spans="1:19">
      <c r="A24" s="12">
        <v>22</v>
      </c>
      <c r="B24" s="21"/>
      <c r="C24" s="21"/>
      <c r="D24" s="21"/>
      <c r="E24" s="21"/>
      <c r="F24" s="21"/>
      <c r="G24" s="21"/>
      <c r="H24" s="21"/>
      <c r="I24" s="145"/>
      <c r="J24" s="21"/>
      <c r="K24" s="21"/>
      <c r="L24" s="146"/>
      <c r="M24" s="21"/>
      <c r="N24" s="21"/>
      <c r="O24" s="21"/>
      <c r="P24" s="21"/>
      <c r="Q24" s="21"/>
      <c r="R24" s="21"/>
      <c r="S24" s="21"/>
    </row>
    <row r="25" spans="1:19">
      <c r="A25" s="12">
        <v>23</v>
      </c>
      <c r="B25" s="21"/>
      <c r="C25" s="21"/>
      <c r="D25" s="21"/>
      <c r="E25" s="21"/>
      <c r="F25" s="21"/>
      <c r="G25" s="21"/>
      <c r="H25" s="21"/>
      <c r="I25" s="145"/>
      <c r="J25" s="21"/>
      <c r="K25" s="21"/>
      <c r="L25" s="146"/>
      <c r="M25" s="21"/>
      <c r="N25" s="21"/>
      <c r="O25" s="21"/>
      <c r="P25" s="21"/>
      <c r="Q25" s="21"/>
      <c r="R25" s="21"/>
      <c r="S25" s="21"/>
    </row>
    <row r="26" spans="1:19">
      <c r="A26" s="12">
        <v>24</v>
      </c>
      <c r="B26" s="21"/>
      <c r="C26" s="21"/>
      <c r="D26" s="21"/>
      <c r="E26" s="21"/>
      <c r="F26" s="21"/>
      <c r="G26" s="21"/>
      <c r="H26" s="21"/>
      <c r="I26" s="145"/>
      <c r="J26" s="21"/>
      <c r="K26" s="21"/>
      <c r="L26" s="146"/>
      <c r="M26" s="21"/>
      <c r="N26" s="21"/>
      <c r="O26" s="21"/>
      <c r="P26" s="21"/>
      <c r="Q26" s="21"/>
      <c r="R26" s="21"/>
      <c r="S26" s="21"/>
    </row>
    <row r="27" spans="1:19">
      <c r="A27" s="12">
        <v>25</v>
      </c>
      <c r="B27" s="21"/>
      <c r="C27" s="21"/>
      <c r="D27" s="21"/>
      <c r="E27" s="21"/>
      <c r="F27" s="21"/>
      <c r="G27" s="21"/>
      <c r="H27" s="21"/>
      <c r="I27" s="145"/>
      <c r="J27" s="21"/>
      <c r="K27" s="21"/>
      <c r="L27" s="146"/>
      <c r="M27" s="21"/>
      <c r="N27" s="21"/>
      <c r="O27" s="21"/>
      <c r="P27" s="21"/>
      <c r="Q27" s="21"/>
      <c r="R27" s="21"/>
      <c r="S27" s="21"/>
    </row>
    <row r="28" spans="1:19">
      <c r="A28" s="12">
        <v>26</v>
      </c>
      <c r="B28" s="21"/>
      <c r="C28" s="21"/>
      <c r="D28" s="21"/>
      <c r="E28" s="21"/>
      <c r="F28" s="21"/>
      <c r="G28" s="21"/>
      <c r="H28" s="21"/>
      <c r="I28" s="145"/>
      <c r="J28" s="21"/>
      <c r="K28" s="21"/>
      <c r="L28" s="146"/>
      <c r="M28" s="21"/>
      <c r="N28" s="21"/>
      <c r="O28" s="21"/>
      <c r="P28" s="21"/>
      <c r="Q28" s="21"/>
      <c r="R28" s="21"/>
      <c r="S28" s="21"/>
    </row>
    <row r="29" spans="1:19">
      <c r="A29" s="12">
        <v>27</v>
      </c>
      <c r="B29" s="21"/>
      <c r="C29" s="21"/>
      <c r="D29" s="21"/>
      <c r="E29" s="21"/>
      <c r="F29" s="21"/>
      <c r="G29" s="21"/>
      <c r="H29" s="21"/>
      <c r="I29" s="145"/>
      <c r="J29" s="21"/>
      <c r="K29" s="21"/>
      <c r="L29" s="146"/>
      <c r="M29" s="21"/>
      <c r="N29" s="21"/>
      <c r="O29" s="21"/>
      <c r="P29" s="21"/>
      <c r="Q29" s="21"/>
      <c r="R29" s="21"/>
      <c r="S29" s="21"/>
    </row>
    <row r="30" spans="1:19">
      <c r="A30" s="12">
        <v>28</v>
      </c>
      <c r="B30" s="21"/>
      <c r="C30" s="21"/>
      <c r="D30" s="21"/>
      <c r="E30" s="21"/>
      <c r="F30" s="21"/>
      <c r="G30" s="21"/>
      <c r="H30" s="21"/>
      <c r="I30" s="145"/>
      <c r="J30" s="21"/>
      <c r="K30" s="21"/>
      <c r="L30" s="146"/>
      <c r="M30" s="21"/>
      <c r="N30" s="21"/>
      <c r="O30" s="21"/>
      <c r="P30" s="21"/>
      <c r="Q30" s="21"/>
      <c r="R30" s="21"/>
      <c r="S30" s="21"/>
    </row>
    <row r="31" spans="1:19">
      <c r="A31" s="12">
        <v>29</v>
      </c>
      <c r="B31" s="21"/>
      <c r="C31" s="21"/>
      <c r="D31" s="21"/>
      <c r="E31" s="21"/>
      <c r="F31" s="21"/>
      <c r="G31" s="21"/>
      <c r="H31" s="21"/>
      <c r="I31" s="145"/>
      <c r="J31" s="21"/>
      <c r="K31" s="21"/>
      <c r="L31" s="146"/>
      <c r="M31" s="21"/>
      <c r="N31" s="21"/>
      <c r="O31" s="21"/>
      <c r="P31" s="21"/>
      <c r="Q31" s="21"/>
      <c r="R31" s="21"/>
      <c r="S31" s="21"/>
    </row>
    <row r="32" spans="1:19">
      <c r="A32" s="12">
        <v>30</v>
      </c>
      <c r="B32" s="21"/>
      <c r="C32" s="21"/>
      <c r="D32" s="21"/>
      <c r="E32" s="21"/>
      <c r="F32" s="21"/>
      <c r="G32" s="21"/>
      <c r="H32" s="21"/>
      <c r="I32" s="145"/>
      <c r="J32" s="21"/>
      <c r="K32" s="21"/>
      <c r="L32" s="146"/>
      <c r="M32" s="21"/>
      <c r="N32" s="21"/>
      <c r="O32" s="21"/>
      <c r="P32" s="21"/>
      <c r="Q32" s="21"/>
      <c r="R32" s="21"/>
      <c r="S32" s="21"/>
    </row>
    <row r="33" spans="1:19">
      <c r="A33" s="12">
        <v>31</v>
      </c>
      <c r="B33" s="21"/>
      <c r="C33" s="21"/>
      <c r="D33" s="21"/>
      <c r="E33" s="21"/>
      <c r="F33" s="21"/>
      <c r="G33" s="21"/>
      <c r="H33" s="21"/>
      <c r="I33" s="145"/>
      <c r="J33" s="21"/>
      <c r="K33" s="21"/>
      <c r="L33" s="146"/>
      <c r="M33" s="21"/>
      <c r="N33" s="21"/>
      <c r="O33" s="21"/>
      <c r="P33" s="21"/>
      <c r="Q33" s="21"/>
      <c r="R33" s="21"/>
      <c r="S33" s="21"/>
    </row>
    <row r="34" spans="1:19">
      <c r="A34" s="12">
        <v>32</v>
      </c>
      <c r="B34" s="21"/>
      <c r="C34" s="21"/>
      <c r="D34" s="21"/>
      <c r="E34" s="21"/>
      <c r="F34" s="21"/>
      <c r="G34" s="21"/>
      <c r="H34" s="21"/>
      <c r="I34" s="145"/>
      <c r="J34" s="21"/>
      <c r="K34" s="21"/>
      <c r="L34" s="146"/>
      <c r="M34" s="21"/>
      <c r="N34" s="21"/>
      <c r="O34" s="21"/>
      <c r="P34" s="21"/>
      <c r="Q34" s="21"/>
      <c r="R34" s="21"/>
      <c r="S34" s="21"/>
    </row>
    <row r="35" spans="1:19">
      <c r="A35" s="12">
        <v>33</v>
      </c>
      <c r="B35" s="21"/>
      <c r="C35" s="21"/>
      <c r="D35" s="21"/>
      <c r="E35" s="21"/>
      <c r="F35" s="21"/>
      <c r="G35" s="21"/>
      <c r="H35" s="21"/>
      <c r="I35" s="145"/>
      <c r="J35" s="21"/>
      <c r="K35" s="21"/>
      <c r="L35" s="146"/>
      <c r="M35" s="21"/>
      <c r="N35" s="21"/>
      <c r="O35" s="21"/>
      <c r="P35" s="21"/>
      <c r="Q35" s="21"/>
      <c r="R35" s="21"/>
      <c r="S35" s="21"/>
    </row>
    <row r="36" spans="1:19">
      <c r="A36" s="12">
        <v>34</v>
      </c>
      <c r="B36" s="21"/>
      <c r="C36" s="21"/>
      <c r="D36" s="21"/>
      <c r="E36" s="21"/>
      <c r="F36" s="21"/>
      <c r="G36" s="21"/>
      <c r="H36" s="21"/>
      <c r="I36" s="145"/>
      <c r="J36" s="21"/>
      <c r="K36" s="21"/>
      <c r="L36" s="146"/>
      <c r="M36" s="21"/>
      <c r="N36" s="21"/>
      <c r="O36" s="21"/>
      <c r="P36" s="21"/>
      <c r="Q36" s="21"/>
      <c r="R36" s="21"/>
      <c r="S36" s="21"/>
    </row>
    <row r="37" spans="1:19">
      <c r="A37" s="12">
        <v>35</v>
      </c>
      <c r="B37" s="21"/>
      <c r="C37" s="21"/>
      <c r="D37" s="21"/>
      <c r="E37" s="21"/>
      <c r="F37" s="21"/>
      <c r="G37" s="21"/>
      <c r="H37" s="21"/>
      <c r="I37" s="145"/>
      <c r="J37" s="21"/>
      <c r="K37" s="21"/>
      <c r="L37" s="146"/>
      <c r="M37" s="21"/>
      <c r="N37" s="21"/>
      <c r="O37" s="21"/>
      <c r="P37" s="21"/>
      <c r="Q37" s="21"/>
      <c r="R37" s="21"/>
      <c r="S37" s="21"/>
    </row>
    <row r="38" spans="1:19">
      <c r="A38" s="12">
        <v>36</v>
      </c>
      <c r="B38" s="21"/>
      <c r="C38" s="21"/>
      <c r="D38" s="21"/>
      <c r="E38" s="21"/>
      <c r="F38" s="21"/>
      <c r="G38" s="21"/>
      <c r="H38" s="21"/>
      <c r="I38" s="145"/>
      <c r="J38" s="21"/>
      <c r="K38" s="21"/>
      <c r="L38" s="146"/>
      <c r="M38" s="21"/>
      <c r="N38" s="21"/>
      <c r="O38" s="21"/>
      <c r="P38" s="21"/>
      <c r="Q38" s="21"/>
      <c r="R38" s="21"/>
      <c r="S38" s="21"/>
    </row>
    <row r="39" spans="1:19">
      <c r="A39" s="12">
        <v>37</v>
      </c>
      <c r="B39" s="21"/>
      <c r="C39" s="21"/>
      <c r="D39" s="21"/>
      <c r="E39" s="21"/>
      <c r="F39" s="21"/>
      <c r="G39" s="21"/>
      <c r="H39" s="21"/>
      <c r="I39" s="145"/>
      <c r="J39" s="21"/>
      <c r="K39" s="21"/>
      <c r="L39" s="146"/>
      <c r="M39" s="21"/>
      <c r="N39" s="21"/>
      <c r="O39" s="21"/>
      <c r="P39" s="21"/>
      <c r="Q39" s="21"/>
      <c r="R39" s="21"/>
      <c r="S39" s="21"/>
    </row>
    <row r="40" spans="1:19">
      <c r="A40" s="12">
        <v>38</v>
      </c>
      <c r="B40" s="21"/>
      <c r="C40" s="21"/>
      <c r="D40" s="21"/>
      <c r="E40" s="21"/>
      <c r="F40" s="21"/>
      <c r="G40" s="21"/>
      <c r="H40" s="21"/>
      <c r="I40" s="145"/>
      <c r="J40" s="21"/>
      <c r="K40" s="21"/>
      <c r="L40" s="146"/>
      <c r="M40" s="21"/>
      <c r="N40" s="21"/>
      <c r="O40" s="21"/>
      <c r="P40" s="21"/>
      <c r="Q40" s="21"/>
      <c r="R40" s="21"/>
      <c r="S40" s="21"/>
    </row>
    <row r="41" spans="1:19">
      <c r="A41" s="12">
        <v>39</v>
      </c>
      <c r="B41" s="21"/>
      <c r="C41" s="21"/>
      <c r="D41" s="21"/>
      <c r="E41" s="21"/>
      <c r="F41" s="21"/>
      <c r="G41" s="21"/>
      <c r="H41" s="21"/>
      <c r="I41" s="145"/>
      <c r="J41" s="21"/>
      <c r="K41" s="21"/>
      <c r="L41" s="146"/>
      <c r="M41" s="21"/>
      <c r="N41" s="21"/>
      <c r="O41" s="21"/>
      <c r="P41" s="21"/>
      <c r="Q41" s="21"/>
      <c r="R41" s="21"/>
      <c r="S41" s="21"/>
    </row>
    <row r="42" spans="1:19">
      <c r="A42" s="12">
        <v>40</v>
      </c>
      <c r="B42" s="21"/>
      <c r="C42" s="21"/>
      <c r="D42" s="21"/>
      <c r="E42" s="21"/>
      <c r="F42" s="21"/>
      <c r="G42" s="21"/>
      <c r="H42" s="21"/>
      <c r="I42" s="145"/>
      <c r="J42" s="21"/>
      <c r="K42" s="21"/>
      <c r="L42" s="146"/>
      <c r="M42" s="21"/>
      <c r="N42" s="21"/>
      <c r="O42" s="21"/>
      <c r="P42" s="21"/>
      <c r="Q42" s="21"/>
      <c r="R42" s="21"/>
      <c r="S42" s="21"/>
    </row>
    <row r="43" spans="1:19">
      <c r="A43" s="12">
        <v>41</v>
      </c>
      <c r="B43" s="21"/>
      <c r="C43" s="21"/>
      <c r="D43" s="21"/>
      <c r="E43" s="21"/>
      <c r="F43" s="21"/>
      <c r="G43" s="21"/>
      <c r="H43" s="21"/>
      <c r="I43" s="145"/>
      <c r="J43" s="21"/>
      <c r="K43" s="21"/>
      <c r="L43" s="146"/>
      <c r="M43" s="21"/>
      <c r="N43" s="21"/>
      <c r="O43" s="21"/>
      <c r="P43" s="21"/>
      <c r="Q43" s="21"/>
      <c r="R43" s="21"/>
      <c r="S43" s="21"/>
    </row>
    <row r="44" spans="1:19">
      <c r="A44" s="12">
        <v>42</v>
      </c>
      <c r="B44" s="21"/>
      <c r="C44" s="21"/>
      <c r="D44" s="21"/>
      <c r="E44" s="21"/>
      <c r="F44" s="21"/>
      <c r="G44" s="21"/>
      <c r="H44" s="21"/>
      <c r="I44" s="145"/>
      <c r="J44" s="21"/>
      <c r="K44" s="21"/>
      <c r="L44" s="146"/>
      <c r="M44" s="21"/>
      <c r="N44" s="21"/>
      <c r="O44" s="21"/>
      <c r="P44" s="21"/>
      <c r="Q44" s="21"/>
      <c r="R44" s="21"/>
      <c r="S44" s="21"/>
    </row>
    <row r="45" spans="1:19">
      <c r="A45" s="12">
        <v>43</v>
      </c>
      <c r="B45" s="21"/>
      <c r="C45" s="21"/>
      <c r="D45" s="21"/>
      <c r="E45" s="21"/>
      <c r="F45" s="21"/>
      <c r="G45" s="21"/>
      <c r="H45" s="21"/>
      <c r="I45" s="145"/>
      <c r="J45" s="21"/>
      <c r="K45" s="21"/>
      <c r="L45" s="146"/>
      <c r="M45" s="21"/>
      <c r="N45" s="21"/>
      <c r="O45" s="21"/>
      <c r="P45" s="21"/>
      <c r="Q45" s="21"/>
      <c r="R45" s="21"/>
      <c r="S45" s="21"/>
    </row>
    <row r="46" spans="1:19">
      <c r="A46" s="12">
        <v>44</v>
      </c>
      <c r="B46" s="21"/>
      <c r="C46" s="21"/>
      <c r="D46" s="21"/>
      <c r="E46" s="21"/>
      <c r="F46" s="21"/>
      <c r="G46" s="21"/>
      <c r="H46" s="21"/>
      <c r="I46" s="145"/>
      <c r="J46" s="21"/>
      <c r="K46" s="21"/>
      <c r="L46" s="146"/>
      <c r="M46" s="21"/>
      <c r="N46" s="21"/>
      <c r="O46" s="21"/>
      <c r="P46" s="21"/>
      <c r="Q46" s="21"/>
      <c r="R46" s="21"/>
      <c r="S46" s="21"/>
    </row>
    <row r="47" spans="1:19">
      <c r="A47" s="12">
        <v>45</v>
      </c>
      <c r="B47" s="21"/>
      <c r="C47" s="21"/>
      <c r="D47" s="21"/>
      <c r="E47" s="21"/>
      <c r="F47" s="21"/>
      <c r="G47" s="21"/>
      <c r="H47" s="21"/>
      <c r="I47" s="145"/>
      <c r="J47" s="21"/>
      <c r="K47" s="21"/>
      <c r="L47" s="146"/>
      <c r="M47" s="21"/>
      <c r="N47" s="21"/>
      <c r="O47" s="21"/>
      <c r="P47" s="21"/>
      <c r="Q47" s="21"/>
      <c r="R47" s="21"/>
      <c r="S47" s="21"/>
    </row>
    <row r="48" spans="1:19">
      <c r="A48" s="12">
        <v>46</v>
      </c>
      <c r="B48" s="21"/>
      <c r="C48" s="21"/>
      <c r="D48" s="21"/>
      <c r="E48" s="21"/>
      <c r="F48" s="21"/>
      <c r="G48" s="21"/>
      <c r="H48" s="21"/>
      <c r="I48" s="145"/>
      <c r="J48" s="21"/>
      <c r="K48" s="21"/>
      <c r="L48" s="146"/>
      <c r="M48" s="21"/>
      <c r="N48" s="21"/>
      <c r="O48" s="21"/>
      <c r="P48" s="21"/>
      <c r="Q48" s="21"/>
      <c r="R48" s="21"/>
      <c r="S48" s="21"/>
    </row>
    <row r="49" spans="1:19">
      <c r="A49" s="12">
        <v>47</v>
      </c>
      <c r="B49" s="21"/>
      <c r="C49" s="21"/>
      <c r="D49" s="21"/>
      <c r="E49" s="21"/>
      <c r="F49" s="21"/>
      <c r="G49" s="21"/>
      <c r="H49" s="21"/>
      <c r="I49" s="145"/>
      <c r="J49" s="21"/>
      <c r="K49" s="21"/>
      <c r="L49" s="146"/>
      <c r="M49" s="21"/>
      <c r="N49" s="21"/>
      <c r="O49" s="21"/>
      <c r="P49" s="21"/>
      <c r="Q49" s="21"/>
      <c r="R49" s="21"/>
      <c r="S49" s="21"/>
    </row>
    <row r="50" spans="1:19">
      <c r="A50" s="12">
        <v>48</v>
      </c>
      <c r="B50" s="21"/>
      <c r="C50" s="21"/>
      <c r="D50" s="21"/>
      <c r="E50" s="21"/>
      <c r="F50" s="21"/>
      <c r="G50" s="21"/>
      <c r="H50" s="21"/>
      <c r="I50" s="145"/>
      <c r="J50" s="21"/>
      <c r="K50" s="21"/>
      <c r="L50" s="146"/>
      <c r="M50" s="21"/>
      <c r="N50" s="21"/>
      <c r="O50" s="21"/>
      <c r="P50" s="21"/>
      <c r="Q50" s="21"/>
      <c r="R50" s="21"/>
      <c r="S50" s="21"/>
    </row>
    <row r="51" spans="1:19">
      <c r="A51" s="12">
        <v>49</v>
      </c>
      <c r="B51" s="21"/>
      <c r="C51" s="21"/>
      <c r="D51" s="21"/>
      <c r="E51" s="21"/>
      <c r="F51" s="21"/>
      <c r="G51" s="21"/>
      <c r="H51" s="21"/>
      <c r="I51" s="145"/>
      <c r="J51" s="21"/>
      <c r="K51" s="21"/>
      <c r="L51" s="146"/>
      <c r="M51" s="21"/>
      <c r="N51" s="21"/>
      <c r="O51" s="21"/>
      <c r="P51" s="21"/>
      <c r="Q51" s="21"/>
      <c r="R51" s="21"/>
      <c r="S51" s="21"/>
    </row>
    <row r="52" spans="1:19">
      <c r="A52" s="12">
        <v>50</v>
      </c>
      <c r="B52" s="21"/>
      <c r="C52" s="21"/>
      <c r="D52" s="21"/>
      <c r="E52" s="21"/>
      <c r="F52" s="21"/>
      <c r="G52" s="21"/>
      <c r="H52" s="21"/>
      <c r="I52" s="145"/>
      <c r="J52" s="21"/>
      <c r="K52" s="21"/>
      <c r="L52" s="146"/>
      <c r="M52" s="21"/>
      <c r="N52" s="21"/>
      <c r="O52" s="21"/>
      <c r="P52" s="21"/>
      <c r="Q52" s="21"/>
      <c r="R52" s="21"/>
      <c r="S52" s="21"/>
    </row>
    <row r="53" spans="1:19">
      <c r="A53" s="12">
        <v>51</v>
      </c>
      <c r="B53" s="21"/>
      <c r="C53" s="21"/>
      <c r="D53" s="21"/>
      <c r="E53" s="21"/>
      <c r="F53" s="21"/>
      <c r="G53" s="21"/>
      <c r="H53" s="21"/>
      <c r="I53" s="145"/>
      <c r="J53" s="21"/>
      <c r="K53" s="21"/>
      <c r="L53" s="146"/>
      <c r="M53" s="21"/>
      <c r="N53" s="21"/>
      <c r="O53" s="21"/>
      <c r="P53" s="21"/>
      <c r="Q53" s="21"/>
      <c r="R53" s="21"/>
      <c r="S53" s="21"/>
    </row>
    <row r="54" spans="1:19">
      <c r="A54" s="12">
        <v>52</v>
      </c>
      <c r="B54" s="21"/>
      <c r="C54" s="21"/>
      <c r="D54" s="21"/>
      <c r="E54" s="21"/>
      <c r="F54" s="21"/>
      <c r="G54" s="21"/>
      <c r="H54" s="21"/>
      <c r="I54" s="145"/>
      <c r="J54" s="21"/>
      <c r="K54" s="21"/>
      <c r="L54" s="146"/>
      <c r="M54" s="21"/>
      <c r="N54" s="21"/>
      <c r="O54" s="21"/>
      <c r="P54" s="21"/>
      <c r="Q54" s="21"/>
      <c r="R54" s="21"/>
      <c r="S54" s="21"/>
    </row>
    <row r="55" spans="1:19">
      <c r="A55" s="12">
        <v>53</v>
      </c>
      <c r="B55" s="21"/>
      <c r="C55" s="21"/>
      <c r="D55" s="21"/>
      <c r="E55" s="21"/>
      <c r="F55" s="21"/>
      <c r="G55" s="21"/>
      <c r="H55" s="21"/>
      <c r="I55" s="145"/>
      <c r="J55" s="21"/>
      <c r="K55" s="21"/>
      <c r="L55" s="146"/>
      <c r="M55" s="21"/>
      <c r="N55" s="21"/>
      <c r="O55" s="21"/>
      <c r="P55" s="21"/>
      <c r="Q55" s="21"/>
      <c r="R55" s="21"/>
      <c r="S55" s="21"/>
    </row>
    <row r="56" spans="1:19">
      <c r="A56" s="12">
        <v>54</v>
      </c>
      <c r="B56" s="21"/>
      <c r="C56" s="21"/>
      <c r="D56" s="21"/>
      <c r="E56" s="21"/>
      <c r="F56" s="21"/>
      <c r="G56" s="21"/>
      <c r="H56" s="21"/>
      <c r="I56" s="145"/>
      <c r="J56" s="21"/>
      <c r="K56" s="21"/>
      <c r="L56" s="146"/>
      <c r="M56" s="21"/>
      <c r="N56" s="21"/>
      <c r="O56" s="21"/>
      <c r="P56" s="21"/>
      <c r="Q56" s="21"/>
      <c r="R56" s="21"/>
      <c r="S56" s="21"/>
    </row>
    <row r="57" spans="1:19">
      <c r="A57" s="12">
        <v>55</v>
      </c>
      <c r="B57" s="21"/>
      <c r="C57" s="21"/>
      <c r="D57" s="21"/>
      <c r="E57" s="21"/>
      <c r="F57" s="21"/>
      <c r="G57" s="21"/>
      <c r="H57" s="21"/>
      <c r="I57" s="145"/>
      <c r="J57" s="21"/>
      <c r="K57" s="21"/>
      <c r="L57" s="146"/>
      <c r="M57" s="21"/>
      <c r="N57" s="21"/>
      <c r="O57" s="21"/>
      <c r="P57" s="21"/>
      <c r="Q57" s="21"/>
      <c r="R57" s="21"/>
      <c r="S57" s="21"/>
    </row>
    <row r="58" spans="1:19">
      <c r="A58" s="12">
        <v>56</v>
      </c>
      <c r="B58" s="21"/>
      <c r="C58" s="21"/>
      <c r="D58" s="21"/>
      <c r="E58" s="21"/>
      <c r="F58" s="21"/>
      <c r="G58" s="21"/>
      <c r="H58" s="21"/>
      <c r="I58" s="145"/>
      <c r="J58" s="21"/>
      <c r="K58" s="21"/>
      <c r="L58" s="146"/>
      <c r="M58" s="21"/>
      <c r="N58" s="21"/>
      <c r="O58" s="21"/>
      <c r="P58" s="21"/>
      <c r="Q58" s="21"/>
      <c r="R58" s="21"/>
      <c r="S58" s="21"/>
    </row>
    <row r="59" spans="1:19">
      <c r="A59" s="12">
        <v>57</v>
      </c>
      <c r="B59" s="21"/>
      <c r="C59" s="21"/>
      <c r="D59" s="21"/>
      <c r="E59" s="21"/>
      <c r="F59" s="21"/>
      <c r="G59" s="21"/>
      <c r="H59" s="21"/>
      <c r="I59" s="145"/>
      <c r="J59" s="21"/>
      <c r="K59" s="21"/>
      <c r="L59" s="146"/>
      <c r="M59" s="21"/>
      <c r="N59" s="21"/>
      <c r="O59" s="21"/>
      <c r="P59" s="21"/>
      <c r="Q59" s="21"/>
      <c r="R59" s="21"/>
      <c r="S59" s="21"/>
    </row>
    <row r="60" spans="1:19">
      <c r="A60" s="12">
        <v>58</v>
      </c>
      <c r="B60" s="21"/>
      <c r="C60" s="21"/>
      <c r="D60" s="21"/>
      <c r="E60" s="21"/>
      <c r="F60" s="21"/>
      <c r="G60" s="21"/>
      <c r="H60" s="21"/>
      <c r="I60" s="145"/>
      <c r="J60" s="21"/>
      <c r="K60" s="21"/>
      <c r="L60" s="146"/>
      <c r="M60" s="21"/>
      <c r="N60" s="21"/>
      <c r="O60" s="21"/>
      <c r="P60" s="21"/>
      <c r="Q60" s="21"/>
      <c r="R60" s="21"/>
      <c r="S60" s="21"/>
    </row>
    <row r="61" spans="1:19">
      <c r="A61" s="12">
        <v>59</v>
      </c>
      <c r="B61" s="21"/>
      <c r="C61" s="21"/>
      <c r="D61" s="21"/>
      <c r="E61" s="21"/>
      <c r="F61" s="21"/>
      <c r="G61" s="21"/>
      <c r="H61" s="21"/>
      <c r="I61" s="145"/>
      <c r="J61" s="21"/>
      <c r="K61" s="21"/>
      <c r="L61" s="146"/>
      <c r="M61" s="21"/>
      <c r="N61" s="21"/>
      <c r="O61" s="21"/>
      <c r="P61" s="21"/>
      <c r="Q61" s="21"/>
      <c r="R61" s="21"/>
      <c r="S61" s="21"/>
    </row>
    <row r="62" spans="1:19">
      <c r="A62" s="12">
        <v>60</v>
      </c>
      <c r="B62" s="21"/>
      <c r="C62" s="21"/>
      <c r="D62" s="21"/>
      <c r="E62" s="21"/>
      <c r="F62" s="21"/>
      <c r="G62" s="21"/>
      <c r="H62" s="21"/>
      <c r="I62" s="145"/>
      <c r="J62" s="21"/>
      <c r="K62" s="21"/>
      <c r="L62" s="146"/>
      <c r="M62" s="21"/>
      <c r="N62" s="21"/>
      <c r="O62" s="21"/>
      <c r="P62" s="21"/>
      <c r="Q62" s="21"/>
      <c r="R62" s="21"/>
      <c r="S62" s="21"/>
    </row>
    <row r="63" spans="1:19">
      <c r="A63" s="12">
        <v>61</v>
      </c>
      <c r="B63" s="21"/>
      <c r="C63" s="21"/>
      <c r="D63" s="21"/>
      <c r="E63" s="21"/>
      <c r="F63" s="21"/>
      <c r="G63" s="21"/>
      <c r="H63" s="21"/>
      <c r="I63" s="145"/>
      <c r="J63" s="21"/>
      <c r="K63" s="21"/>
      <c r="L63" s="146"/>
      <c r="M63" s="21"/>
      <c r="N63" s="21"/>
      <c r="O63" s="21"/>
      <c r="P63" s="21"/>
      <c r="Q63" s="21"/>
      <c r="R63" s="21"/>
      <c r="S63" s="21"/>
    </row>
    <row r="64" spans="1:19">
      <c r="A64" s="12">
        <v>62</v>
      </c>
      <c r="B64" s="21"/>
      <c r="C64" s="21"/>
      <c r="D64" s="21"/>
      <c r="E64" s="21"/>
      <c r="F64" s="21"/>
      <c r="G64" s="21"/>
      <c r="H64" s="21"/>
      <c r="I64" s="145"/>
      <c r="J64" s="21"/>
      <c r="K64" s="21"/>
      <c r="L64" s="146"/>
      <c r="M64" s="21"/>
      <c r="N64" s="21"/>
      <c r="O64" s="21"/>
      <c r="P64" s="21"/>
      <c r="Q64" s="21"/>
      <c r="R64" s="21"/>
      <c r="S64" s="21"/>
    </row>
    <row r="65" spans="1:19">
      <c r="A65" s="12">
        <v>63</v>
      </c>
      <c r="B65" s="21"/>
      <c r="C65" s="21"/>
      <c r="D65" s="21"/>
      <c r="E65" s="21"/>
      <c r="F65" s="21"/>
      <c r="G65" s="21"/>
      <c r="H65" s="21"/>
      <c r="I65" s="145"/>
      <c r="J65" s="21"/>
      <c r="K65" s="21"/>
      <c r="L65" s="146"/>
      <c r="M65" s="21"/>
      <c r="N65" s="21"/>
      <c r="O65" s="21"/>
      <c r="P65" s="21"/>
      <c r="Q65" s="21"/>
      <c r="R65" s="21"/>
      <c r="S65" s="21"/>
    </row>
    <row r="66" spans="1:19">
      <c r="A66" s="12">
        <v>64</v>
      </c>
      <c r="B66" s="21"/>
      <c r="C66" s="21"/>
      <c r="D66" s="21"/>
      <c r="E66" s="21"/>
      <c r="F66" s="21"/>
      <c r="G66" s="21"/>
      <c r="H66" s="21"/>
      <c r="I66" s="145"/>
      <c r="J66" s="21"/>
      <c r="K66" s="21"/>
      <c r="L66" s="146"/>
      <c r="M66" s="21"/>
      <c r="N66" s="21"/>
      <c r="O66" s="21"/>
      <c r="P66" s="21"/>
      <c r="Q66" s="21"/>
      <c r="R66" s="21"/>
      <c r="S66" s="21"/>
    </row>
    <row r="67" spans="1:19">
      <c r="A67" s="12">
        <v>65</v>
      </c>
      <c r="B67" s="21"/>
      <c r="C67" s="21"/>
      <c r="D67" s="21"/>
      <c r="E67" s="21"/>
      <c r="F67" s="21"/>
      <c r="G67" s="21"/>
      <c r="H67" s="21"/>
      <c r="I67" s="145"/>
      <c r="J67" s="21"/>
      <c r="K67" s="21"/>
      <c r="L67" s="146"/>
      <c r="M67" s="21"/>
      <c r="N67" s="21"/>
      <c r="O67" s="21"/>
      <c r="P67" s="21"/>
      <c r="Q67" s="21"/>
      <c r="R67" s="21"/>
      <c r="S67" s="21"/>
    </row>
    <row r="68" spans="1:19">
      <c r="A68" s="12">
        <v>66</v>
      </c>
      <c r="B68" s="21"/>
      <c r="C68" s="21"/>
      <c r="D68" s="21"/>
      <c r="E68" s="21"/>
      <c r="F68" s="21"/>
      <c r="G68" s="21"/>
      <c r="H68" s="21"/>
      <c r="I68" s="145"/>
      <c r="J68" s="21"/>
      <c r="K68" s="21"/>
      <c r="L68" s="146"/>
      <c r="M68" s="21"/>
      <c r="N68" s="21"/>
      <c r="O68" s="21"/>
      <c r="P68" s="21"/>
      <c r="Q68" s="21"/>
      <c r="R68" s="21"/>
      <c r="S68" s="21"/>
    </row>
    <row r="69" spans="1:19">
      <c r="A69" s="12">
        <v>67</v>
      </c>
      <c r="B69" s="21"/>
      <c r="C69" s="21"/>
      <c r="D69" s="21"/>
      <c r="E69" s="21"/>
      <c r="F69" s="21"/>
      <c r="G69" s="21"/>
      <c r="H69" s="21"/>
      <c r="I69" s="145"/>
      <c r="J69" s="21"/>
      <c r="K69" s="21"/>
      <c r="L69" s="146"/>
      <c r="M69" s="21"/>
      <c r="N69" s="21"/>
      <c r="O69" s="21"/>
      <c r="P69" s="21"/>
      <c r="Q69" s="21"/>
      <c r="R69" s="21"/>
      <c r="S69" s="21"/>
    </row>
    <row r="70" spans="1:19">
      <c r="A70" s="12">
        <v>68</v>
      </c>
      <c r="B70" s="21"/>
      <c r="C70" s="21"/>
      <c r="D70" s="21"/>
      <c r="E70" s="21"/>
      <c r="F70" s="21"/>
      <c r="G70" s="21"/>
      <c r="H70" s="21"/>
      <c r="I70" s="145"/>
      <c r="J70" s="21"/>
      <c r="K70" s="21"/>
      <c r="L70" s="146"/>
      <c r="M70" s="21"/>
      <c r="N70" s="21"/>
      <c r="O70" s="21"/>
      <c r="P70" s="21"/>
      <c r="Q70" s="21"/>
      <c r="R70" s="21"/>
      <c r="S70" s="21"/>
    </row>
    <row r="71" spans="1:19">
      <c r="A71" s="12">
        <v>69</v>
      </c>
      <c r="B71" s="21"/>
      <c r="C71" s="21"/>
      <c r="D71" s="21"/>
      <c r="E71" s="21"/>
      <c r="F71" s="21"/>
      <c r="G71" s="21"/>
      <c r="H71" s="21"/>
      <c r="I71" s="145"/>
      <c r="J71" s="21"/>
      <c r="K71" s="21"/>
      <c r="L71" s="146"/>
      <c r="M71" s="21"/>
      <c r="N71" s="21"/>
      <c r="O71" s="21"/>
      <c r="P71" s="21"/>
      <c r="Q71" s="21"/>
      <c r="R71" s="21"/>
      <c r="S71" s="21"/>
    </row>
    <row r="72" spans="1:19">
      <c r="A72" s="12">
        <v>70</v>
      </c>
      <c r="B72" s="21"/>
      <c r="C72" s="21"/>
      <c r="D72" s="21"/>
      <c r="E72" s="21"/>
      <c r="F72" s="21"/>
      <c r="G72" s="21"/>
      <c r="H72" s="21"/>
      <c r="I72" s="145"/>
      <c r="J72" s="21"/>
      <c r="K72" s="21"/>
      <c r="L72" s="146"/>
      <c r="M72" s="21"/>
      <c r="N72" s="21"/>
      <c r="O72" s="21"/>
      <c r="P72" s="21"/>
      <c r="Q72" s="21"/>
      <c r="R72" s="21"/>
      <c r="S72" s="21"/>
    </row>
    <row r="123" spans="1:1">
      <c r="A123" s="2" t="s">
        <v>223</v>
      </c>
    </row>
  </sheetData>
  <sheetProtection formatRows="0"/>
  <mergeCells count="1">
    <mergeCell ref="A1:B1"/>
  </mergeCells>
  <conditionalFormatting sqref="A3:S72">
    <cfRule type="containsBlanks" dxfId="757" priority="1">
      <formula>LEN(TRIM(A3))=0</formula>
    </cfRule>
  </conditionalFormatting>
  <dataValidations count="4">
    <dataValidation type="list" allowBlank="1" showInputMessage="1" showErrorMessage="1" sqref="K10:K72" xr:uid="{00000000-0002-0000-0300-000000000000}">
      <formula1>"haute,moyenne,faible"</formula1>
    </dataValidation>
    <dataValidation type="list" allowBlank="1" showInputMessage="1" showErrorMessage="1" sqref="G10:G72" xr:uid="{00000000-0002-0000-0300-000001000000}">
      <formula1>"L,S,I,M"</formula1>
    </dataValidation>
    <dataValidation type="list" allowBlank="1" showInputMessage="1" showErrorMessage="1" sqref="P10:P72" xr:uid="{00000000-0002-0000-0300-000002000000}">
      <formula1>"Oui,Non"</formula1>
    </dataValidation>
    <dataValidation type="list" allowBlank="1" showInputMessage="1" showErrorMessage="1" sqref="E10:E72" xr:uid="{00000000-0002-0000-0300-000003000000}">
      <formula1>"La filiale,Le groupe"</formula1>
    </dataValidation>
  </dataValidations>
  <hyperlinks>
    <hyperlink ref="A1" location="Sommaire!A1" display="Retour à la page d'accueil" xr:uid="{00000000-0004-0000-0300-000000000000}"/>
    <hyperlink ref="A1:B1" location="Accueil!A1" display="Retour à la page d'accueil" xr:uid="{00000000-0004-0000-0300-000001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6"/>
  <sheetViews>
    <sheetView showGridLines="0" workbookViewId="0">
      <pane ySplit="1" topLeftCell="A5" activePane="bottomLeft" state="frozen"/>
      <selection pane="bottomLeft" sqref="A1:XFD1048576"/>
    </sheetView>
  </sheetViews>
  <sheetFormatPr defaultColWidth="10.85546875" defaultRowHeight="15"/>
  <cols>
    <col min="1" max="1" width="5.42578125" style="98" customWidth="1"/>
    <col min="2" max="2" width="88.42578125" style="271" bestFit="1" customWidth="1"/>
    <col min="3" max="3" width="137.140625" style="2" bestFit="1" customWidth="1"/>
    <col min="4" max="4" width="37.42578125" style="2" bestFit="1" customWidth="1"/>
    <col min="5" max="5" width="21.28515625" style="2" customWidth="1"/>
    <col min="6" max="6" width="37.42578125" style="2" customWidth="1"/>
    <col min="7" max="7" width="49.5703125" style="2" customWidth="1"/>
    <col min="8" max="8" width="10.42578125" style="2" customWidth="1"/>
    <col min="9" max="9" width="20" style="2" customWidth="1"/>
    <col min="10" max="12" width="7" style="2" customWidth="1"/>
    <col min="13" max="13" width="17.42578125" style="2" bestFit="1" customWidth="1"/>
    <col min="14" max="14" width="28.85546875" style="2" customWidth="1"/>
    <col min="15" max="16384" width="10.85546875" style="2"/>
  </cols>
  <sheetData>
    <row r="1" spans="1:7" ht="14.25">
      <c r="A1" s="302" t="s">
        <v>26</v>
      </c>
      <c r="B1" s="302"/>
    </row>
    <row r="2" spans="1:7" ht="54" customHeight="1">
      <c r="A2" s="273"/>
      <c r="B2" s="270" t="s">
        <v>377</v>
      </c>
      <c r="C2" s="255" t="s">
        <v>378</v>
      </c>
      <c r="D2" s="255" t="s">
        <v>379</v>
      </c>
      <c r="E2" s="255" t="s">
        <v>380</v>
      </c>
      <c r="F2" s="256" t="s">
        <v>381</v>
      </c>
      <c r="G2" s="280" t="s">
        <v>382</v>
      </c>
    </row>
    <row r="3" spans="1:7" ht="27.75" customHeight="1" thickBot="1">
      <c r="A3" s="274"/>
      <c r="B3" s="316" t="s">
        <v>383</v>
      </c>
      <c r="C3" s="317"/>
      <c r="D3" s="317"/>
      <c r="E3" s="317"/>
      <c r="F3" s="317"/>
      <c r="G3" s="317"/>
    </row>
    <row r="4" spans="1:7" thickTop="1">
      <c r="A4" s="318">
        <v>1</v>
      </c>
      <c r="B4" s="320" t="s">
        <v>384</v>
      </c>
      <c r="C4" s="321" t="s">
        <v>385</v>
      </c>
      <c r="D4" s="322" t="s">
        <v>386</v>
      </c>
      <c r="E4" s="323">
        <v>1</v>
      </c>
      <c r="F4" s="257" t="s">
        <v>387</v>
      </c>
      <c r="G4" s="338"/>
    </row>
    <row r="5" spans="1:7" thickBot="1">
      <c r="A5" s="319"/>
      <c r="B5" s="320"/>
      <c r="C5" s="321"/>
      <c r="D5" s="322"/>
      <c r="E5" s="323"/>
      <c r="F5" s="257" t="s">
        <v>388</v>
      </c>
      <c r="G5" s="329"/>
    </row>
    <row r="6" spans="1:7" thickTop="1">
      <c r="A6" s="318">
        <v>3</v>
      </c>
      <c r="B6" s="320" t="s">
        <v>389</v>
      </c>
      <c r="C6" s="321" t="s">
        <v>390</v>
      </c>
      <c r="D6" s="322" t="s">
        <v>391</v>
      </c>
      <c r="E6" s="323">
        <v>1</v>
      </c>
      <c r="F6" s="257" t="s">
        <v>392</v>
      </c>
      <c r="G6" s="335"/>
    </row>
    <row r="7" spans="1:7" thickBot="1">
      <c r="A7" s="319"/>
      <c r="B7" s="320"/>
      <c r="C7" s="321"/>
      <c r="D7" s="322"/>
      <c r="E7" s="323"/>
      <c r="F7" s="257" t="s">
        <v>393</v>
      </c>
      <c r="G7" s="336"/>
    </row>
    <row r="8" spans="1:7" thickTop="1">
      <c r="A8" s="318">
        <v>5</v>
      </c>
      <c r="B8" s="320" t="s">
        <v>394</v>
      </c>
      <c r="C8" s="321" t="s">
        <v>395</v>
      </c>
      <c r="D8" s="322" t="s">
        <v>396</v>
      </c>
      <c r="E8" s="323">
        <v>1</v>
      </c>
      <c r="F8" s="257" t="s">
        <v>397</v>
      </c>
      <c r="G8" s="338"/>
    </row>
    <row r="9" spans="1:7" ht="14.25">
      <c r="A9" s="319"/>
      <c r="B9" s="320"/>
      <c r="C9" s="321"/>
      <c r="D9" s="322"/>
      <c r="E9" s="323"/>
      <c r="F9" s="257" t="s">
        <v>398</v>
      </c>
      <c r="G9" s="329"/>
    </row>
    <row r="10" spans="1:7" ht="15.75">
      <c r="A10" s="274">
        <v>6</v>
      </c>
      <c r="B10" s="272"/>
      <c r="C10" s="258"/>
      <c r="D10" s="259" t="s">
        <v>399</v>
      </c>
      <c r="E10" s="260">
        <v>1</v>
      </c>
      <c r="F10" s="257" t="s">
        <v>400</v>
      </c>
      <c r="G10" s="329"/>
    </row>
    <row r="11" spans="1:7" thickBot="1">
      <c r="A11" s="318">
        <v>7</v>
      </c>
      <c r="B11" s="320"/>
      <c r="C11" s="321"/>
      <c r="D11" s="322" t="s">
        <v>401</v>
      </c>
      <c r="E11" s="323">
        <v>0.9</v>
      </c>
      <c r="F11" s="257" t="s">
        <v>402</v>
      </c>
      <c r="G11" s="329"/>
    </row>
    <row r="12" spans="1:7" thickTop="1">
      <c r="A12" s="319"/>
      <c r="B12" s="320"/>
      <c r="C12" s="321"/>
      <c r="D12" s="322"/>
      <c r="E12" s="323"/>
      <c r="F12" s="257" t="s">
        <v>403</v>
      </c>
      <c r="G12" s="335"/>
    </row>
    <row r="13" spans="1:7" ht="14.25">
      <c r="A13" s="318">
        <v>8</v>
      </c>
      <c r="B13" s="320" t="s">
        <v>404</v>
      </c>
      <c r="C13" s="321" t="s">
        <v>405</v>
      </c>
      <c r="D13" s="322" t="s">
        <v>406</v>
      </c>
      <c r="E13" s="323">
        <v>1</v>
      </c>
      <c r="F13" s="257" t="s">
        <v>407</v>
      </c>
      <c r="G13" s="336"/>
    </row>
    <row r="14" spans="1:7" ht="28.5">
      <c r="A14" s="319"/>
      <c r="B14" s="320"/>
      <c r="C14" s="321"/>
      <c r="D14" s="322"/>
      <c r="E14" s="323"/>
      <c r="F14" s="257" t="s">
        <v>408</v>
      </c>
      <c r="G14" s="336"/>
    </row>
    <row r="15" spans="1:7" thickBot="1">
      <c r="A15" s="318">
        <v>9</v>
      </c>
      <c r="B15" s="320" t="s">
        <v>409</v>
      </c>
      <c r="C15" s="321" t="s">
        <v>410</v>
      </c>
      <c r="D15" s="322" t="s">
        <v>411</v>
      </c>
      <c r="E15" s="323">
        <v>1</v>
      </c>
      <c r="F15" s="257" t="s">
        <v>412</v>
      </c>
      <c r="G15" s="336"/>
    </row>
    <row r="16" spans="1:7" thickTop="1">
      <c r="A16" s="319"/>
      <c r="B16" s="320"/>
      <c r="C16" s="321"/>
      <c r="D16" s="322"/>
      <c r="E16" s="323"/>
      <c r="F16" s="257" t="s">
        <v>413</v>
      </c>
      <c r="G16" s="338"/>
    </row>
    <row r="17" spans="1:7" thickBot="1">
      <c r="A17" s="318">
        <v>11</v>
      </c>
      <c r="B17" s="320" t="s">
        <v>414</v>
      </c>
      <c r="C17" s="321" t="s">
        <v>415</v>
      </c>
      <c r="D17" s="322" t="s">
        <v>416</v>
      </c>
      <c r="E17" s="323">
        <v>1</v>
      </c>
      <c r="F17" s="257" t="s">
        <v>417</v>
      </c>
      <c r="G17" s="329"/>
    </row>
    <row r="18" spans="1:7" thickTop="1">
      <c r="A18" s="319"/>
      <c r="B18" s="320"/>
      <c r="C18" s="321"/>
      <c r="D18" s="322"/>
      <c r="E18" s="323"/>
      <c r="F18" s="257" t="s">
        <v>418</v>
      </c>
      <c r="G18" s="335"/>
    </row>
    <row r="19" spans="1:7" ht="15.75">
      <c r="A19" s="274">
        <v>12</v>
      </c>
      <c r="B19" s="272" t="s">
        <v>419</v>
      </c>
      <c r="C19" s="262" t="s">
        <v>420</v>
      </c>
      <c r="D19" s="263" t="s">
        <v>421</v>
      </c>
      <c r="E19" s="264">
        <v>0.8</v>
      </c>
      <c r="F19" s="261" t="s">
        <v>422</v>
      </c>
      <c r="G19" s="336"/>
    </row>
    <row r="20" spans="1:7" ht="16.5" thickBot="1">
      <c r="A20" s="274">
        <v>14</v>
      </c>
      <c r="B20" s="272" t="s">
        <v>423</v>
      </c>
      <c r="C20" s="258" t="s">
        <v>424</v>
      </c>
      <c r="D20" s="259" t="s">
        <v>421</v>
      </c>
      <c r="E20" s="260">
        <v>1</v>
      </c>
      <c r="F20" s="257" t="s">
        <v>425</v>
      </c>
      <c r="G20" s="336"/>
    </row>
    <row r="21" spans="1:7" ht="15" customHeight="1" thickTop="1">
      <c r="A21" s="318">
        <v>15</v>
      </c>
      <c r="B21" s="320" t="s">
        <v>426</v>
      </c>
      <c r="C21" s="321" t="s">
        <v>427</v>
      </c>
      <c r="D21" s="322" t="s">
        <v>428</v>
      </c>
      <c r="E21" s="323">
        <v>1</v>
      </c>
      <c r="F21" s="257" t="s">
        <v>429</v>
      </c>
      <c r="G21" s="338"/>
    </row>
    <row r="22" spans="1:7" ht="14.25" customHeight="1">
      <c r="A22" s="319"/>
      <c r="B22" s="320"/>
      <c r="C22" s="321"/>
      <c r="D22" s="322"/>
      <c r="E22" s="323"/>
      <c r="F22" s="257" t="s">
        <v>430</v>
      </c>
      <c r="G22" s="329"/>
    </row>
    <row r="23" spans="1:7" ht="15.75">
      <c r="A23" s="274">
        <v>16</v>
      </c>
      <c r="B23" s="272" t="s">
        <v>431</v>
      </c>
      <c r="C23" s="258" t="s">
        <v>432</v>
      </c>
      <c r="D23" s="259" t="s">
        <v>433</v>
      </c>
      <c r="E23" s="260">
        <v>1</v>
      </c>
      <c r="F23" s="257" t="s">
        <v>434</v>
      </c>
      <c r="G23" s="329"/>
    </row>
    <row r="24" spans="1:7" ht="14.25" customHeight="1">
      <c r="A24" s="318">
        <v>18</v>
      </c>
      <c r="B24" s="320" t="s">
        <v>435</v>
      </c>
      <c r="C24" s="321" t="s">
        <v>436</v>
      </c>
      <c r="D24" s="322" t="s">
        <v>437</v>
      </c>
      <c r="E24" s="323">
        <v>1</v>
      </c>
      <c r="F24" s="257" t="s">
        <v>438</v>
      </c>
      <c r="G24" s="336"/>
    </row>
    <row r="25" spans="1:7" ht="14.25" customHeight="1">
      <c r="A25" s="319"/>
      <c r="B25" s="320"/>
      <c r="C25" s="321"/>
      <c r="D25" s="322"/>
      <c r="E25" s="323"/>
      <c r="F25" s="257" t="s">
        <v>439</v>
      </c>
      <c r="G25" s="336"/>
    </row>
    <row r="26" spans="1:7" ht="16.5" thickBot="1">
      <c r="A26" s="274">
        <v>19</v>
      </c>
      <c r="B26" s="272" t="s">
        <v>440</v>
      </c>
      <c r="C26" s="258" t="s">
        <v>441</v>
      </c>
      <c r="D26" s="259" t="s">
        <v>442</v>
      </c>
      <c r="E26" s="260">
        <v>1</v>
      </c>
      <c r="F26" s="257" t="s">
        <v>443</v>
      </c>
      <c r="G26" s="336"/>
    </row>
    <row r="27" spans="1:7" ht="17.25" thickTop="1" thickBot="1">
      <c r="A27" s="324">
        <v>20</v>
      </c>
      <c r="B27" s="327" t="s">
        <v>444</v>
      </c>
      <c r="C27" s="328" t="s">
        <v>445</v>
      </c>
      <c r="D27" s="329" t="s">
        <v>446</v>
      </c>
      <c r="E27" s="330">
        <v>1</v>
      </c>
      <c r="F27" s="265" t="s">
        <v>447</v>
      </c>
      <c r="G27" s="338"/>
    </row>
    <row r="28" spans="1:7" ht="17.25" thickTop="1" thickBot="1">
      <c r="A28" s="325"/>
      <c r="B28" s="327"/>
      <c r="C28" s="328"/>
      <c r="D28" s="329"/>
      <c r="E28" s="331"/>
      <c r="F28" s="266" t="s">
        <v>448</v>
      </c>
      <c r="G28" s="329"/>
    </row>
    <row r="29" spans="1:7" ht="17.25" thickTop="1" thickBot="1">
      <c r="A29" s="325"/>
      <c r="B29" s="327"/>
      <c r="C29" s="328"/>
      <c r="D29" s="329"/>
      <c r="E29" s="331"/>
      <c r="F29" s="266" t="s">
        <v>449</v>
      </c>
      <c r="G29" s="329"/>
    </row>
    <row r="30" spans="1:7" ht="33" thickTop="1" thickBot="1">
      <c r="A30" s="326"/>
      <c r="B30" s="327"/>
      <c r="C30" s="328"/>
      <c r="D30" s="329"/>
      <c r="E30" s="331"/>
      <c r="F30" s="266" t="s">
        <v>450</v>
      </c>
      <c r="G30" s="329"/>
    </row>
    <row r="31" spans="1:7" ht="17.25" thickTop="1" thickBot="1">
      <c r="A31" s="324">
        <v>21</v>
      </c>
      <c r="B31" s="333" t="s">
        <v>451</v>
      </c>
      <c r="C31" s="309" t="s">
        <v>452</v>
      </c>
      <c r="D31" s="335" t="s">
        <v>446</v>
      </c>
      <c r="E31" s="314">
        <v>1</v>
      </c>
      <c r="F31" s="268" t="s">
        <v>453</v>
      </c>
      <c r="G31" s="335"/>
    </row>
    <row r="32" spans="1:7" ht="17.25" thickTop="1" thickBot="1">
      <c r="A32" s="325"/>
      <c r="B32" s="334"/>
      <c r="C32" s="310"/>
      <c r="D32" s="336"/>
      <c r="E32" s="315"/>
      <c r="F32" s="268" t="s">
        <v>454</v>
      </c>
      <c r="G32" s="336"/>
    </row>
    <row r="33" spans="1:7" ht="33" thickTop="1" thickBot="1">
      <c r="A33" s="325"/>
      <c r="B33" s="334"/>
      <c r="C33" s="310"/>
      <c r="D33" s="336"/>
      <c r="E33" s="315"/>
      <c r="F33" s="268" t="s">
        <v>455</v>
      </c>
      <c r="G33" s="336"/>
    </row>
    <row r="34" spans="1:7" ht="17.25" thickTop="1" thickBot="1">
      <c r="A34" s="326"/>
      <c r="B34" s="334"/>
      <c r="C34" s="310"/>
      <c r="D34" s="336"/>
      <c r="E34" s="315"/>
      <c r="F34" s="268"/>
      <c r="G34" s="336"/>
    </row>
    <row r="35" spans="1:7" ht="33" thickTop="1" thickBot="1">
      <c r="A35" s="324">
        <v>22</v>
      </c>
      <c r="B35" s="353" t="s">
        <v>456</v>
      </c>
      <c r="C35" s="342" t="s">
        <v>457</v>
      </c>
      <c r="D35" s="338" t="s">
        <v>458</v>
      </c>
      <c r="E35" s="332">
        <v>0.9</v>
      </c>
      <c r="F35" s="266" t="s">
        <v>459</v>
      </c>
      <c r="G35" s="338"/>
    </row>
    <row r="36" spans="1:7" ht="17.25" thickTop="1" thickBot="1">
      <c r="A36" s="325"/>
      <c r="B36" s="354"/>
      <c r="C36" s="328"/>
      <c r="D36" s="329"/>
      <c r="E36" s="331"/>
      <c r="F36" s="266" t="s">
        <v>460</v>
      </c>
      <c r="G36" s="329"/>
    </row>
    <row r="37" spans="1:7" ht="17.25" thickTop="1" thickBot="1">
      <c r="A37" s="325"/>
      <c r="B37" s="354"/>
      <c r="C37" s="328"/>
      <c r="D37" s="329"/>
      <c r="E37" s="331"/>
      <c r="F37" s="266" t="s">
        <v>461</v>
      </c>
      <c r="G37" s="329"/>
    </row>
    <row r="38" spans="1:7" ht="17.25" thickTop="1" thickBot="1">
      <c r="A38" s="326"/>
      <c r="B38" s="354"/>
      <c r="C38" s="328"/>
      <c r="D38" s="329"/>
      <c r="E38" s="331"/>
      <c r="F38" s="266"/>
      <c r="G38" s="329"/>
    </row>
    <row r="39" spans="1:7" ht="17.25" thickTop="1" thickBot="1">
      <c r="A39" s="324">
        <v>23</v>
      </c>
      <c r="B39" s="333" t="s">
        <v>462</v>
      </c>
      <c r="C39" s="309" t="s">
        <v>463</v>
      </c>
      <c r="D39" s="311" t="s">
        <v>464</v>
      </c>
      <c r="E39" s="313">
        <v>1</v>
      </c>
      <c r="F39" s="268" t="s">
        <v>465</v>
      </c>
      <c r="G39" s="335"/>
    </row>
    <row r="40" spans="1:7" ht="17.25" thickTop="1" thickBot="1">
      <c r="A40" s="325"/>
      <c r="B40" s="334"/>
      <c r="C40" s="310"/>
      <c r="D40" s="312"/>
      <c r="E40" s="312"/>
      <c r="F40" s="268" t="s">
        <v>466</v>
      </c>
      <c r="G40" s="336"/>
    </row>
    <row r="41" spans="1:7" ht="17.25" thickTop="1" thickBot="1">
      <c r="A41" s="325"/>
      <c r="B41" s="334"/>
      <c r="C41" s="310"/>
      <c r="D41" s="312"/>
      <c r="E41" s="312"/>
      <c r="F41" s="268" t="s">
        <v>467</v>
      </c>
      <c r="G41" s="336"/>
    </row>
    <row r="42" spans="1:7" ht="17.25" thickTop="1" thickBot="1">
      <c r="A42" s="326"/>
      <c r="B42" s="334"/>
      <c r="C42" s="310"/>
      <c r="D42" s="312"/>
      <c r="E42" s="312"/>
      <c r="F42" s="268" t="s">
        <v>468</v>
      </c>
      <c r="G42" s="336"/>
    </row>
    <row r="43" spans="1:7" ht="17.25" thickTop="1" thickBot="1">
      <c r="A43" s="339">
        <v>24</v>
      </c>
      <c r="B43" s="346" t="s">
        <v>469</v>
      </c>
      <c r="C43" s="349" t="s">
        <v>405</v>
      </c>
      <c r="D43" s="338" t="s">
        <v>406</v>
      </c>
      <c r="E43" s="343">
        <v>1</v>
      </c>
      <c r="F43" s="269" t="s">
        <v>470</v>
      </c>
      <c r="G43" s="337"/>
    </row>
    <row r="44" spans="1:7" ht="17.25" thickTop="1" thickBot="1">
      <c r="A44" s="339"/>
      <c r="B44" s="347"/>
      <c r="C44" s="350"/>
      <c r="D44" s="329"/>
      <c r="E44" s="329"/>
      <c r="F44" s="269" t="s">
        <v>471</v>
      </c>
      <c r="G44" s="331"/>
    </row>
    <row r="45" spans="1:7" ht="17.25" thickTop="1" thickBot="1">
      <c r="A45" s="339"/>
      <c r="B45" s="347"/>
      <c r="C45" s="350"/>
      <c r="D45" s="329"/>
      <c r="E45" s="329"/>
      <c r="F45" s="269" t="s">
        <v>472</v>
      </c>
      <c r="G45" s="331"/>
    </row>
    <row r="46" spans="1:7" ht="17.25" thickTop="1" thickBot="1">
      <c r="A46" s="339"/>
      <c r="B46" s="347"/>
      <c r="C46" s="350"/>
      <c r="D46" s="329"/>
      <c r="E46" s="329"/>
      <c r="F46" s="269"/>
      <c r="G46" s="331"/>
    </row>
    <row r="47" spans="1:7" ht="17.25" thickTop="1" thickBot="1">
      <c r="A47" s="339"/>
      <c r="B47" s="348"/>
      <c r="C47" s="351"/>
      <c r="D47" s="352"/>
      <c r="E47" s="352"/>
      <c r="F47" s="269"/>
      <c r="G47" s="356"/>
    </row>
    <row r="48" spans="1:7" ht="17.25" thickTop="1" thickBot="1">
      <c r="A48" s="339">
        <v>25</v>
      </c>
      <c r="B48" s="344" t="s">
        <v>473</v>
      </c>
      <c r="C48" s="309" t="s">
        <v>474</v>
      </c>
      <c r="D48" s="311" t="s">
        <v>475</v>
      </c>
      <c r="E48" s="313">
        <v>1</v>
      </c>
      <c r="F48" s="268" t="s">
        <v>476</v>
      </c>
      <c r="G48" s="355"/>
    </row>
    <row r="49" spans="1:7" ht="17.25" thickTop="1" thickBot="1">
      <c r="A49" s="339"/>
      <c r="B49" s="345"/>
      <c r="C49" s="310"/>
      <c r="D49" s="312"/>
      <c r="E49" s="312"/>
      <c r="F49" s="268" t="s">
        <v>477</v>
      </c>
      <c r="G49" s="315"/>
    </row>
    <row r="50" spans="1:7" ht="17.25" thickTop="1" thickBot="1">
      <c r="A50" s="339"/>
      <c r="B50" s="345"/>
      <c r="C50" s="310"/>
      <c r="D50" s="312"/>
      <c r="E50" s="312"/>
      <c r="F50" s="268" t="s">
        <v>478</v>
      </c>
      <c r="G50" s="315"/>
    </row>
    <row r="51" spans="1:7" ht="17.25" thickTop="1" thickBot="1">
      <c r="A51" s="339"/>
      <c r="B51" s="345"/>
      <c r="C51" s="310"/>
      <c r="D51" s="312"/>
      <c r="E51" s="312"/>
      <c r="F51" s="268" t="s">
        <v>479</v>
      </c>
      <c r="G51" s="315"/>
    </row>
    <row r="52" spans="1:7" ht="17.25" thickTop="1" thickBot="1">
      <c r="A52" s="339">
        <v>26</v>
      </c>
      <c r="B52" s="340" t="s">
        <v>480</v>
      </c>
      <c r="C52" s="342" t="s">
        <v>481</v>
      </c>
      <c r="D52" s="338" t="s">
        <v>482</v>
      </c>
      <c r="E52" s="343">
        <v>1</v>
      </c>
      <c r="F52" s="269" t="s">
        <v>483</v>
      </c>
      <c r="G52" s="337"/>
    </row>
    <row r="53" spans="1:7" ht="33" thickTop="1" thickBot="1">
      <c r="A53" s="339"/>
      <c r="B53" s="341"/>
      <c r="C53" s="328"/>
      <c r="D53" s="329"/>
      <c r="E53" s="329"/>
      <c r="F53" s="269" t="s">
        <v>484</v>
      </c>
      <c r="G53" s="331"/>
    </row>
    <row r="54" spans="1:7" ht="17.25" thickTop="1" thickBot="1">
      <c r="A54" s="305">
        <v>4</v>
      </c>
      <c r="B54" s="307" t="s">
        <v>485</v>
      </c>
      <c r="C54" s="309" t="s">
        <v>486</v>
      </c>
      <c r="D54" s="311" t="s">
        <v>487</v>
      </c>
      <c r="E54" s="313">
        <v>0.9</v>
      </c>
      <c r="F54" s="277" t="s">
        <v>488</v>
      </c>
      <c r="G54" s="314" t="s">
        <v>489</v>
      </c>
    </row>
    <row r="55" spans="1:7" ht="33" thickTop="1" thickBot="1">
      <c r="A55" s="306"/>
      <c r="B55" s="308"/>
      <c r="C55" s="310"/>
      <c r="D55" s="312"/>
      <c r="E55" s="312"/>
      <c r="F55" s="277" t="s">
        <v>490</v>
      </c>
      <c r="G55" s="315"/>
    </row>
    <row r="56" spans="1:7" ht="16.5" thickTop="1">
      <c r="A56" s="306"/>
      <c r="B56" s="308"/>
      <c r="C56" s="310"/>
      <c r="D56" s="312"/>
      <c r="E56" s="312"/>
      <c r="F56" s="277" t="s">
        <v>491</v>
      </c>
      <c r="G56" s="315"/>
    </row>
  </sheetData>
  <sheetProtection formatRows="0"/>
  <mergeCells count="103">
    <mergeCell ref="G18:G20"/>
    <mergeCell ref="G21:G23"/>
    <mergeCell ref="G24:G26"/>
    <mergeCell ref="G4:G5"/>
    <mergeCell ref="G6:G7"/>
    <mergeCell ref="G8:G11"/>
    <mergeCell ref="G12:G15"/>
    <mergeCell ref="G16:G17"/>
    <mergeCell ref="G48:G51"/>
    <mergeCell ref="G43:G47"/>
    <mergeCell ref="G52:G53"/>
    <mergeCell ref="G35:G38"/>
    <mergeCell ref="G31:G34"/>
    <mergeCell ref="G27:G30"/>
    <mergeCell ref="G39:G42"/>
    <mergeCell ref="A52:A53"/>
    <mergeCell ref="B52:B53"/>
    <mergeCell ref="C52:C53"/>
    <mergeCell ref="D52:D53"/>
    <mergeCell ref="E52:E53"/>
    <mergeCell ref="A48:A51"/>
    <mergeCell ref="B48:B51"/>
    <mergeCell ref="C48:C51"/>
    <mergeCell ref="D48:D51"/>
    <mergeCell ref="E48:E51"/>
    <mergeCell ref="A43:A47"/>
    <mergeCell ref="B43:B47"/>
    <mergeCell ref="C43:C47"/>
    <mergeCell ref="D43:D47"/>
    <mergeCell ref="E43:E47"/>
    <mergeCell ref="A35:A38"/>
    <mergeCell ref="B35:B38"/>
    <mergeCell ref="C35:C38"/>
    <mergeCell ref="D35:D38"/>
    <mergeCell ref="E35:E38"/>
    <mergeCell ref="A39:A42"/>
    <mergeCell ref="B39:B42"/>
    <mergeCell ref="C39:C42"/>
    <mergeCell ref="D39:D42"/>
    <mergeCell ref="E39:E42"/>
    <mergeCell ref="A31:A34"/>
    <mergeCell ref="B31:B34"/>
    <mergeCell ref="C31:C34"/>
    <mergeCell ref="D31:D34"/>
    <mergeCell ref="E31:E34"/>
    <mergeCell ref="A27:A30"/>
    <mergeCell ref="B27:B30"/>
    <mergeCell ref="C27:C30"/>
    <mergeCell ref="D27:D30"/>
    <mergeCell ref="E27:E30"/>
    <mergeCell ref="A24:A25"/>
    <mergeCell ref="B24:B25"/>
    <mergeCell ref="C24:C25"/>
    <mergeCell ref="D24:D25"/>
    <mergeCell ref="E24:E25"/>
    <mergeCell ref="A17:A18"/>
    <mergeCell ref="B17:B18"/>
    <mergeCell ref="C17:C18"/>
    <mergeCell ref="D17:D18"/>
    <mergeCell ref="E17:E18"/>
    <mergeCell ref="A21:A22"/>
    <mergeCell ref="B21:B22"/>
    <mergeCell ref="C21:C22"/>
    <mergeCell ref="D21:D22"/>
    <mergeCell ref="E21:E22"/>
    <mergeCell ref="B8:B9"/>
    <mergeCell ref="C8:C9"/>
    <mergeCell ref="D8:D9"/>
    <mergeCell ref="E8:E9"/>
    <mergeCell ref="A15:A16"/>
    <mergeCell ref="B15:B16"/>
    <mergeCell ref="C15:C16"/>
    <mergeCell ref="D15:D16"/>
    <mergeCell ref="E15:E16"/>
    <mergeCell ref="A13:A14"/>
    <mergeCell ref="B13:B14"/>
    <mergeCell ref="C13:C14"/>
    <mergeCell ref="D13:D14"/>
    <mergeCell ref="E13:E14"/>
    <mergeCell ref="A54:A56"/>
    <mergeCell ref="B54:B56"/>
    <mergeCell ref="C54:C56"/>
    <mergeCell ref="D54:D56"/>
    <mergeCell ref="E54:E56"/>
    <mergeCell ref="G54:G56"/>
    <mergeCell ref="A1:B1"/>
    <mergeCell ref="B3:G3"/>
    <mergeCell ref="A4:A5"/>
    <mergeCell ref="B4:B5"/>
    <mergeCell ref="C4:C5"/>
    <mergeCell ref="D4:D5"/>
    <mergeCell ref="E4:E5"/>
    <mergeCell ref="A6:A7"/>
    <mergeCell ref="B6:B7"/>
    <mergeCell ref="C6:C7"/>
    <mergeCell ref="D6:D7"/>
    <mergeCell ref="E6:E7"/>
    <mergeCell ref="A11:A12"/>
    <mergeCell ref="B11:B12"/>
    <mergeCell ref="C11:C12"/>
    <mergeCell ref="D11:D12"/>
    <mergeCell ref="E11:E12"/>
    <mergeCell ref="A8:A9"/>
  </mergeCells>
  <hyperlinks>
    <hyperlink ref="A1" location="Sommaire!A1" display="Retour à la page d'accueil" xr:uid="{00000000-0004-0000-0400-000000000000}"/>
    <hyperlink ref="A1:B1" location="Accueil!A1" display="Retour à la page d'accueil" xr:uid="{00000000-0004-0000-0400-000001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J24"/>
  <sheetViews>
    <sheetView topLeftCell="A4" workbookViewId="0">
      <selection activeCell="G2" sqref="G2"/>
    </sheetView>
  </sheetViews>
  <sheetFormatPr defaultColWidth="10.85546875" defaultRowHeight="15.75"/>
  <cols>
    <col min="1" max="1" width="9.5703125" style="286" bestFit="1" customWidth="1"/>
    <col min="2" max="2" width="29.7109375" style="98" customWidth="1"/>
    <col min="3" max="3" width="38.42578125" style="271" customWidth="1"/>
    <col min="4" max="4" width="18.7109375" style="271" customWidth="1"/>
    <col min="5" max="5" width="18.85546875" style="283" customWidth="1"/>
    <col min="6" max="6" width="27.7109375" style="2" customWidth="1"/>
    <col min="7" max="7" width="17.140625" style="283" customWidth="1"/>
    <col min="8" max="8" width="14.140625" style="2" customWidth="1"/>
    <col min="9" max="9" width="17.7109375" style="2" customWidth="1"/>
    <col min="10" max="10" width="24" style="2" customWidth="1"/>
    <col min="11" max="11" width="20.140625" style="2" customWidth="1"/>
    <col min="12" max="13" width="7" style="2" customWidth="1"/>
    <col min="14" max="14" width="17.42578125" style="2" bestFit="1" customWidth="1"/>
    <col min="15" max="15" width="28.85546875" style="2" customWidth="1"/>
    <col min="16" max="16384" width="10.85546875" style="2"/>
  </cols>
  <sheetData>
    <row r="2" spans="1:10" ht="36">
      <c r="A2" s="287" t="s">
        <v>492</v>
      </c>
      <c r="B2" s="282" t="s">
        <v>377</v>
      </c>
      <c r="C2" s="282" t="s">
        <v>378</v>
      </c>
      <c r="D2" s="282"/>
      <c r="E2" s="282" t="s">
        <v>493</v>
      </c>
      <c r="F2" s="282" t="s">
        <v>494</v>
      </c>
      <c r="G2" s="282" t="s">
        <v>495</v>
      </c>
      <c r="H2" s="282" t="s">
        <v>496</v>
      </c>
      <c r="I2" s="282" t="s">
        <v>497</v>
      </c>
      <c r="J2" s="282" t="s">
        <v>498</v>
      </c>
    </row>
    <row r="3" spans="1:10">
      <c r="A3" s="372">
        <v>5</v>
      </c>
      <c r="B3" s="376" t="s">
        <v>499</v>
      </c>
      <c r="C3" s="366" t="s">
        <v>385</v>
      </c>
      <c r="D3" s="367" t="s">
        <v>500</v>
      </c>
      <c r="E3" s="364"/>
      <c r="F3" s="288" t="s">
        <v>501</v>
      </c>
      <c r="G3" s="368" t="s">
        <v>502</v>
      </c>
      <c r="H3" s="366" t="s">
        <v>503</v>
      </c>
      <c r="I3" s="366" t="s">
        <v>503</v>
      </c>
      <c r="J3" s="366" t="s">
        <v>503</v>
      </c>
    </row>
    <row r="4" spans="1:10" ht="31.5">
      <c r="A4" s="372"/>
      <c r="B4" s="376"/>
      <c r="C4" s="366"/>
      <c r="D4" s="367"/>
      <c r="E4" s="364"/>
      <c r="F4" s="288" t="s">
        <v>504</v>
      </c>
      <c r="G4" s="368"/>
      <c r="H4" s="366"/>
      <c r="I4" s="366"/>
      <c r="J4" s="366"/>
    </row>
    <row r="5" spans="1:10">
      <c r="A5" s="373">
        <v>7</v>
      </c>
      <c r="B5" s="374" t="s">
        <v>505</v>
      </c>
      <c r="C5" s="357" t="s">
        <v>506</v>
      </c>
      <c r="D5" s="367" t="s">
        <v>500</v>
      </c>
      <c r="E5" s="365"/>
      <c r="F5" s="289" t="s">
        <v>470</v>
      </c>
      <c r="G5" s="357" t="s">
        <v>503</v>
      </c>
      <c r="H5" s="357" t="s">
        <v>503</v>
      </c>
      <c r="I5" s="357" t="s">
        <v>503</v>
      </c>
      <c r="J5" s="357" t="s">
        <v>503</v>
      </c>
    </row>
    <row r="6" spans="1:10" ht="31.5">
      <c r="A6" s="373"/>
      <c r="B6" s="374"/>
      <c r="C6" s="357"/>
      <c r="D6" s="367"/>
      <c r="E6" s="365"/>
      <c r="F6" s="289" t="s">
        <v>507</v>
      </c>
      <c r="G6" s="357"/>
      <c r="H6" s="357"/>
      <c r="I6" s="357"/>
      <c r="J6" s="357"/>
    </row>
    <row r="7" spans="1:10">
      <c r="A7" s="372">
        <v>4</v>
      </c>
      <c r="B7" s="370" t="s">
        <v>508</v>
      </c>
      <c r="C7" s="366" t="s">
        <v>509</v>
      </c>
      <c r="D7" s="364" t="s">
        <v>510</v>
      </c>
      <c r="E7" s="364"/>
      <c r="F7" s="288" t="s">
        <v>511</v>
      </c>
      <c r="G7" s="368" t="s">
        <v>512</v>
      </c>
      <c r="H7" s="366" t="s">
        <v>513</v>
      </c>
      <c r="I7" s="366" t="s">
        <v>513</v>
      </c>
      <c r="J7" s="366"/>
    </row>
    <row r="8" spans="1:10">
      <c r="A8" s="372"/>
      <c r="B8" s="370"/>
      <c r="C8" s="366"/>
      <c r="D8" s="364"/>
      <c r="E8" s="364"/>
      <c r="F8" s="288" t="s">
        <v>514</v>
      </c>
      <c r="G8" s="368"/>
      <c r="H8" s="366"/>
      <c r="I8" s="366"/>
      <c r="J8" s="366"/>
    </row>
    <row r="9" spans="1:10" ht="31.5">
      <c r="A9" s="372"/>
      <c r="B9" s="370"/>
      <c r="C9" s="366"/>
      <c r="D9" s="364"/>
      <c r="E9" s="364"/>
      <c r="F9" s="288" t="s">
        <v>515</v>
      </c>
      <c r="G9" s="368"/>
      <c r="H9" s="366"/>
      <c r="I9" s="366"/>
      <c r="J9" s="366"/>
    </row>
    <row r="10" spans="1:10">
      <c r="A10" s="373">
        <v>6</v>
      </c>
      <c r="B10" s="374" t="s">
        <v>516</v>
      </c>
      <c r="C10" s="357" t="s">
        <v>517</v>
      </c>
      <c r="D10" s="367" t="s">
        <v>500</v>
      </c>
      <c r="E10" s="375"/>
      <c r="F10" s="289" t="s">
        <v>518</v>
      </c>
      <c r="G10" s="365" t="s">
        <v>519</v>
      </c>
      <c r="H10" s="357" t="s">
        <v>513</v>
      </c>
      <c r="I10" s="357" t="s">
        <v>513</v>
      </c>
      <c r="J10" s="357"/>
    </row>
    <row r="11" spans="1:10" ht="47.25">
      <c r="A11" s="373"/>
      <c r="B11" s="374"/>
      <c r="C11" s="357"/>
      <c r="D11" s="367"/>
      <c r="E11" s="375"/>
      <c r="F11" s="289" t="s">
        <v>520</v>
      </c>
      <c r="G11" s="365"/>
      <c r="H11" s="357"/>
      <c r="I11" s="357"/>
      <c r="J11" s="357"/>
    </row>
    <row r="12" spans="1:10">
      <c r="A12" s="373"/>
      <c r="B12" s="374"/>
      <c r="C12" s="357"/>
      <c r="D12" s="367"/>
      <c r="E12" s="375"/>
      <c r="F12" s="289" t="s">
        <v>521</v>
      </c>
      <c r="G12" s="365"/>
      <c r="H12" s="357"/>
      <c r="I12" s="357"/>
      <c r="J12" s="357"/>
    </row>
    <row r="13" spans="1:10" ht="31.5">
      <c r="A13" s="373"/>
      <c r="B13" s="374"/>
      <c r="C13" s="357"/>
      <c r="D13" s="367"/>
      <c r="E13" s="375"/>
      <c r="F13" s="289" t="s">
        <v>522</v>
      </c>
      <c r="G13" s="365"/>
      <c r="H13" s="357"/>
      <c r="I13" s="357"/>
      <c r="J13" s="357"/>
    </row>
    <row r="14" spans="1:10">
      <c r="A14" s="372">
        <v>2</v>
      </c>
      <c r="B14" s="370" t="s">
        <v>523</v>
      </c>
      <c r="C14" s="366" t="s">
        <v>405</v>
      </c>
      <c r="D14" s="368" t="s">
        <v>510</v>
      </c>
      <c r="E14" s="364"/>
      <c r="F14" s="288" t="s">
        <v>470</v>
      </c>
      <c r="G14" s="368" t="s">
        <v>512</v>
      </c>
      <c r="H14" s="366" t="s">
        <v>513</v>
      </c>
      <c r="I14" s="366" t="s">
        <v>513</v>
      </c>
      <c r="J14" s="366"/>
    </row>
    <row r="15" spans="1:10" ht="31.5">
      <c r="A15" s="372"/>
      <c r="B15" s="370"/>
      <c r="C15" s="366"/>
      <c r="D15" s="368"/>
      <c r="E15" s="364"/>
      <c r="F15" s="288" t="s">
        <v>471</v>
      </c>
      <c r="G15" s="368"/>
      <c r="H15" s="366"/>
      <c r="I15" s="366"/>
      <c r="J15" s="366"/>
    </row>
    <row r="16" spans="1:10">
      <c r="A16" s="372"/>
      <c r="B16" s="370"/>
      <c r="C16" s="366"/>
      <c r="D16" s="368"/>
      <c r="E16" s="364"/>
      <c r="F16" s="288" t="s">
        <v>472</v>
      </c>
      <c r="G16" s="368"/>
      <c r="H16" s="366"/>
      <c r="I16" s="366"/>
      <c r="J16" s="366"/>
    </row>
    <row r="17" spans="1:10" ht="31.5">
      <c r="A17" s="371">
        <v>1</v>
      </c>
      <c r="B17" s="370" t="s">
        <v>524</v>
      </c>
      <c r="C17" s="357" t="s">
        <v>525</v>
      </c>
      <c r="D17" s="364" t="s">
        <v>510</v>
      </c>
      <c r="E17" s="365"/>
      <c r="F17" s="289" t="s">
        <v>526</v>
      </c>
      <c r="G17" s="365" t="s">
        <v>512</v>
      </c>
      <c r="H17" s="357" t="s">
        <v>503</v>
      </c>
      <c r="I17" s="357" t="s">
        <v>503</v>
      </c>
      <c r="J17" s="357" t="s">
        <v>503</v>
      </c>
    </row>
    <row r="18" spans="1:10">
      <c r="A18" s="371"/>
      <c r="B18" s="370"/>
      <c r="C18" s="357"/>
      <c r="D18" s="364"/>
      <c r="E18" s="365"/>
      <c r="F18" s="289" t="s">
        <v>527</v>
      </c>
      <c r="G18" s="365"/>
      <c r="H18" s="357"/>
      <c r="I18" s="357"/>
      <c r="J18" s="357"/>
    </row>
    <row r="19" spans="1:10" ht="31.5">
      <c r="A19" s="369">
        <v>3</v>
      </c>
      <c r="B19" s="370" t="s">
        <v>528</v>
      </c>
      <c r="C19" s="366" t="s">
        <v>529</v>
      </c>
      <c r="D19" s="364" t="s">
        <v>510</v>
      </c>
      <c r="E19" s="368"/>
      <c r="F19" s="288" t="s">
        <v>530</v>
      </c>
      <c r="G19" s="368" t="s">
        <v>531</v>
      </c>
      <c r="H19" s="366" t="s">
        <v>503</v>
      </c>
      <c r="I19" s="366" t="s">
        <v>503</v>
      </c>
      <c r="J19" s="285"/>
    </row>
    <row r="20" spans="1:10">
      <c r="A20" s="369"/>
      <c r="B20" s="370"/>
      <c r="C20" s="366"/>
      <c r="D20" s="364"/>
      <c r="E20" s="368"/>
      <c r="F20" s="288" t="s">
        <v>532</v>
      </c>
      <c r="G20" s="368"/>
      <c r="H20" s="366"/>
      <c r="I20" s="366"/>
      <c r="J20" s="285"/>
    </row>
    <row r="21" spans="1:10">
      <c r="A21" s="369"/>
      <c r="B21" s="370"/>
      <c r="C21" s="366"/>
      <c r="D21" s="364"/>
      <c r="E21" s="368"/>
      <c r="F21" s="288" t="s">
        <v>533</v>
      </c>
      <c r="G21" s="368"/>
      <c r="H21" s="366"/>
      <c r="I21" s="366"/>
      <c r="J21" s="285"/>
    </row>
    <row r="22" spans="1:10">
      <c r="A22" s="361"/>
      <c r="B22" s="358" t="s">
        <v>534</v>
      </c>
      <c r="C22" s="357"/>
      <c r="D22" s="364"/>
      <c r="E22" s="365"/>
      <c r="F22" s="289"/>
      <c r="G22" s="365"/>
      <c r="H22" s="357"/>
      <c r="I22" s="357"/>
      <c r="J22" s="357"/>
    </row>
    <row r="23" spans="1:10">
      <c r="A23" s="362"/>
      <c r="B23" s="359"/>
      <c r="C23" s="357"/>
      <c r="D23" s="364"/>
      <c r="E23" s="365"/>
      <c r="F23" s="289"/>
      <c r="G23" s="365"/>
      <c r="H23" s="357"/>
      <c r="I23" s="357"/>
      <c r="J23" s="357"/>
    </row>
    <row r="24" spans="1:10">
      <c r="A24" s="363"/>
      <c r="B24" s="360"/>
      <c r="C24" s="284"/>
      <c r="D24" s="291"/>
      <c r="E24" s="290"/>
      <c r="F24" s="289"/>
      <c r="G24" s="290"/>
      <c r="H24" s="284"/>
      <c r="I24" s="284"/>
      <c r="J24" s="284"/>
    </row>
  </sheetData>
  <mergeCells count="71">
    <mergeCell ref="J3:J4"/>
    <mergeCell ref="A5:A6"/>
    <mergeCell ref="B5:B6"/>
    <mergeCell ref="C5:C6"/>
    <mergeCell ref="E5:E6"/>
    <mergeCell ref="G5:G6"/>
    <mergeCell ref="H5:H6"/>
    <mergeCell ref="I5:I6"/>
    <mergeCell ref="J5:J6"/>
    <mergeCell ref="A3:A4"/>
    <mergeCell ref="B3:B4"/>
    <mergeCell ref="C3:C4"/>
    <mergeCell ref="E3:E4"/>
    <mergeCell ref="G3:G4"/>
    <mergeCell ref="J7:J9"/>
    <mergeCell ref="A10:A13"/>
    <mergeCell ref="B10:B13"/>
    <mergeCell ref="C10:C13"/>
    <mergeCell ref="E10:E13"/>
    <mergeCell ref="G10:G13"/>
    <mergeCell ref="H10:H13"/>
    <mergeCell ref="I10:I13"/>
    <mergeCell ref="J10:J13"/>
    <mergeCell ref="A7:A9"/>
    <mergeCell ref="B7:B9"/>
    <mergeCell ref="C7:C9"/>
    <mergeCell ref="E7:E9"/>
    <mergeCell ref="G7:G9"/>
    <mergeCell ref="J14:J16"/>
    <mergeCell ref="A17:A18"/>
    <mergeCell ref="B17:B18"/>
    <mergeCell ref="C17:C18"/>
    <mergeCell ref="E17:E18"/>
    <mergeCell ref="G17:G18"/>
    <mergeCell ref="H17:H18"/>
    <mergeCell ref="I17:I18"/>
    <mergeCell ref="J17:J18"/>
    <mergeCell ref="A14:A16"/>
    <mergeCell ref="B14:B16"/>
    <mergeCell ref="C14:C16"/>
    <mergeCell ref="E14:E16"/>
    <mergeCell ref="G14:G16"/>
    <mergeCell ref="A19:A21"/>
    <mergeCell ref="B19:B21"/>
    <mergeCell ref="C19:C21"/>
    <mergeCell ref="E19:E21"/>
    <mergeCell ref="G19:G21"/>
    <mergeCell ref="H19:H21"/>
    <mergeCell ref="I19:I21"/>
    <mergeCell ref="D3:D4"/>
    <mergeCell ref="D5:D6"/>
    <mergeCell ref="D7:D9"/>
    <mergeCell ref="D10:D13"/>
    <mergeCell ref="D14:D16"/>
    <mergeCell ref="D17:D18"/>
    <mergeCell ref="D19:D21"/>
    <mergeCell ref="H14:H16"/>
    <mergeCell ref="I14:I16"/>
    <mergeCell ref="H7:H9"/>
    <mergeCell ref="I7:I9"/>
    <mergeCell ref="H3:H4"/>
    <mergeCell ref="I3:I4"/>
    <mergeCell ref="H22:H23"/>
    <mergeCell ref="I22:I23"/>
    <mergeCell ref="J22:J23"/>
    <mergeCell ref="B22:B24"/>
    <mergeCell ref="A22:A24"/>
    <mergeCell ref="C22:C23"/>
    <mergeCell ref="D22:D23"/>
    <mergeCell ref="E22:E23"/>
    <mergeCell ref="G22:G23"/>
  </mergeCells>
  <dataValidations disablePrompts="1" count="1">
    <dataValidation type="list" allowBlank="1" showInputMessage="1" showErrorMessage="1" sqref="D3:D6 D10:D13 D17:D18" xr:uid="{00000000-0002-0000-0500-000000000000}">
      <formula1>"In Progress,Completed,Not Star"</formula1>
    </dataValidation>
  </dataValidation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3"/>
  <sheetViews>
    <sheetView topLeftCell="B10" workbookViewId="0">
      <selection activeCell="D7" sqref="D7:D10"/>
    </sheetView>
  </sheetViews>
  <sheetFormatPr defaultColWidth="11" defaultRowHeight="14.25"/>
  <cols>
    <col min="1" max="1" width="11" style="233"/>
    <col min="2" max="2" width="18" style="233" customWidth="1"/>
    <col min="3" max="3" width="38.5703125" style="233" customWidth="1"/>
    <col min="4" max="4" width="45.85546875" style="233" customWidth="1"/>
    <col min="5" max="5" width="28.5703125" style="267" customWidth="1"/>
    <col min="6" max="6" width="31.28515625" style="267" customWidth="1"/>
    <col min="7" max="8" width="34.7109375" style="233" customWidth="1"/>
    <col min="9" max="9" width="40.140625" style="233" customWidth="1"/>
    <col min="10" max="16384" width="11" style="233"/>
  </cols>
  <sheetData>
    <row r="1" spans="1:9" ht="52.5">
      <c r="A1" s="254"/>
      <c r="B1" s="278" t="s">
        <v>492</v>
      </c>
      <c r="C1" s="278" t="s">
        <v>377</v>
      </c>
      <c r="D1" s="278" t="s">
        <v>378</v>
      </c>
      <c r="E1" s="278" t="s">
        <v>379</v>
      </c>
      <c r="F1" s="278" t="s">
        <v>380</v>
      </c>
      <c r="G1" s="279" t="s">
        <v>381</v>
      </c>
      <c r="H1" s="279" t="s">
        <v>495</v>
      </c>
      <c r="I1" s="280" t="s">
        <v>382</v>
      </c>
    </row>
    <row r="2" spans="1:9" ht="29.25" customHeight="1" thickBot="1">
      <c r="A2" s="275"/>
      <c r="B2" s="294"/>
      <c r="C2" s="385" t="s">
        <v>535</v>
      </c>
      <c r="D2" s="386"/>
      <c r="E2" s="386"/>
      <c r="F2" s="386"/>
      <c r="G2" s="386"/>
      <c r="H2" s="386"/>
      <c r="I2" s="386"/>
    </row>
    <row r="3" spans="1:9" ht="28.5" customHeight="1" thickTop="1" thickBot="1">
      <c r="A3" s="305">
        <v>1</v>
      </c>
      <c r="B3" s="377"/>
      <c r="C3" s="393" t="s">
        <v>536</v>
      </c>
      <c r="D3" s="342" t="s">
        <v>537</v>
      </c>
      <c r="E3" s="391" t="s">
        <v>538</v>
      </c>
      <c r="F3" s="332">
        <v>1</v>
      </c>
      <c r="G3" s="276" t="s">
        <v>539</v>
      </c>
      <c r="H3" s="276"/>
      <c r="I3" s="387"/>
    </row>
    <row r="4" spans="1:9" ht="28.5" customHeight="1" thickTop="1" thickBot="1">
      <c r="A4" s="306"/>
      <c r="B4" s="377"/>
      <c r="C4" s="394"/>
      <c r="D4" s="328"/>
      <c r="E4" s="392"/>
      <c r="F4" s="331"/>
      <c r="G4" s="276" t="s">
        <v>540</v>
      </c>
      <c r="H4" s="332" t="s">
        <v>502</v>
      </c>
      <c r="I4" s="388"/>
    </row>
    <row r="5" spans="1:9" ht="28.5" customHeight="1" thickTop="1" thickBot="1">
      <c r="A5" s="306"/>
      <c r="B5" s="377"/>
      <c r="C5" s="394"/>
      <c r="D5" s="328"/>
      <c r="E5" s="392"/>
      <c r="F5" s="331"/>
      <c r="G5" s="276"/>
      <c r="H5" s="331"/>
      <c r="I5" s="388"/>
    </row>
    <row r="6" spans="1:9" ht="28.5" customHeight="1" thickTop="1" thickBot="1">
      <c r="A6" s="389"/>
      <c r="B6" s="377"/>
      <c r="C6" s="394"/>
      <c r="D6" s="328"/>
      <c r="E6" s="392"/>
      <c r="F6" s="331"/>
      <c r="G6" s="276"/>
      <c r="H6" s="331"/>
      <c r="I6" s="388"/>
    </row>
    <row r="7" spans="1:9" ht="17.25" customHeight="1" thickTop="1" thickBot="1">
      <c r="A7" s="305">
        <v>2</v>
      </c>
      <c r="B7" s="377"/>
      <c r="C7" s="383" t="s">
        <v>541</v>
      </c>
      <c r="D7" s="309" t="s">
        <v>542</v>
      </c>
      <c r="E7" s="391" t="s">
        <v>538</v>
      </c>
      <c r="F7" s="314">
        <v>1</v>
      </c>
      <c r="G7" s="277" t="s">
        <v>543</v>
      </c>
      <c r="H7" s="331"/>
      <c r="I7" s="314"/>
    </row>
    <row r="8" spans="1:9" ht="28.5" customHeight="1" thickTop="1" thickBot="1">
      <c r="A8" s="306"/>
      <c r="B8" s="377"/>
      <c r="C8" s="384"/>
      <c r="D8" s="310"/>
      <c r="E8" s="392"/>
      <c r="F8" s="315"/>
      <c r="G8" s="292" t="s">
        <v>544</v>
      </c>
      <c r="H8" s="314" t="s">
        <v>545</v>
      </c>
      <c r="I8" s="315"/>
    </row>
    <row r="9" spans="1:9" ht="28.5" customHeight="1" thickTop="1" thickBot="1">
      <c r="A9" s="306"/>
      <c r="B9" s="377"/>
      <c r="C9" s="384"/>
      <c r="D9" s="310"/>
      <c r="E9" s="392"/>
      <c r="F9" s="315"/>
      <c r="G9" s="292" t="s">
        <v>546</v>
      </c>
      <c r="H9" s="315"/>
      <c r="I9" s="315"/>
    </row>
    <row r="10" spans="1:9" ht="28.5" customHeight="1" thickTop="1" thickBot="1">
      <c r="A10" s="389"/>
      <c r="B10" s="377"/>
      <c r="C10" s="384"/>
      <c r="D10" s="390"/>
      <c r="E10" s="392"/>
      <c r="F10" s="315"/>
      <c r="G10" s="277"/>
      <c r="H10" s="315"/>
      <c r="I10" s="315"/>
    </row>
    <row r="11" spans="1:9" ht="17.25" thickTop="1" thickBot="1">
      <c r="A11" s="305">
        <v>3</v>
      </c>
      <c r="B11" s="382" t="s">
        <v>547</v>
      </c>
      <c r="C11" s="395" t="s">
        <v>548</v>
      </c>
      <c r="D11" s="342" t="s">
        <v>549</v>
      </c>
      <c r="E11" s="378" t="s">
        <v>550</v>
      </c>
      <c r="F11" s="343">
        <v>0.65</v>
      </c>
      <c r="G11" s="276" t="s">
        <v>551</v>
      </c>
      <c r="H11" s="315"/>
      <c r="I11" s="387"/>
    </row>
    <row r="12" spans="1:9" ht="17.25" thickTop="1" thickBot="1">
      <c r="A12" s="306"/>
      <c r="B12" s="382"/>
      <c r="C12" s="396"/>
      <c r="D12" s="328"/>
      <c r="E12" s="379"/>
      <c r="F12" s="329"/>
      <c r="G12" s="276" t="s">
        <v>552</v>
      </c>
      <c r="H12" s="343" t="s">
        <v>553</v>
      </c>
      <c r="I12" s="388"/>
    </row>
    <row r="13" spans="1:9" ht="17.25" thickTop="1" thickBot="1">
      <c r="A13" s="306"/>
      <c r="B13" s="382"/>
      <c r="C13" s="396"/>
      <c r="D13" s="328"/>
      <c r="E13" s="379"/>
      <c r="F13" s="329"/>
      <c r="G13" s="276"/>
      <c r="H13" s="329"/>
      <c r="I13" s="388"/>
    </row>
    <row r="14" spans="1:9" ht="17.25" thickTop="1" thickBot="1">
      <c r="A14" s="389"/>
      <c r="B14" s="382"/>
      <c r="C14" s="396"/>
      <c r="D14" s="328"/>
      <c r="E14" s="379"/>
      <c r="F14" s="329"/>
      <c r="G14" s="276"/>
      <c r="H14" s="329"/>
      <c r="I14" s="388"/>
    </row>
    <row r="15" spans="1:9" ht="33" customHeight="1" thickTop="1" thickBot="1">
      <c r="A15" s="305">
        <v>4</v>
      </c>
      <c r="B15" s="382" t="s">
        <v>554</v>
      </c>
      <c r="C15" s="383" t="s">
        <v>555</v>
      </c>
      <c r="D15" s="309" t="s">
        <v>556</v>
      </c>
      <c r="E15" s="378" t="s">
        <v>550</v>
      </c>
      <c r="F15" s="313">
        <v>0.25</v>
      </c>
      <c r="G15" s="277" t="s">
        <v>557</v>
      </c>
      <c r="H15" s="329"/>
      <c r="I15" s="314"/>
    </row>
    <row r="16" spans="1:9" ht="28.5" customHeight="1" thickTop="1" thickBot="1">
      <c r="A16" s="306"/>
      <c r="B16" s="382"/>
      <c r="C16" s="384"/>
      <c r="D16" s="310"/>
      <c r="E16" s="379"/>
      <c r="F16" s="312"/>
      <c r="G16" s="277" t="s">
        <v>558</v>
      </c>
      <c r="H16" s="313" t="s">
        <v>559</v>
      </c>
      <c r="I16" s="315"/>
    </row>
    <row r="17" spans="1:9" ht="37.5" customHeight="1" thickTop="1" thickBot="1">
      <c r="A17" s="306"/>
      <c r="B17" s="382"/>
      <c r="C17" s="384"/>
      <c r="D17" s="310"/>
      <c r="E17" s="379"/>
      <c r="F17" s="312"/>
      <c r="G17" s="277"/>
      <c r="H17" s="312"/>
      <c r="I17" s="315"/>
    </row>
    <row r="18" spans="1:9" ht="28.5" customHeight="1" thickTop="1" thickBot="1">
      <c r="A18" s="305">
        <v>5</v>
      </c>
      <c r="B18" s="377"/>
      <c r="C18" s="393" t="s">
        <v>560</v>
      </c>
      <c r="D18" s="349" t="s">
        <v>561</v>
      </c>
      <c r="E18" s="378" t="s">
        <v>562</v>
      </c>
      <c r="F18" s="343">
        <v>0.98</v>
      </c>
      <c r="G18" s="276" t="s">
        <v>478</v>
      </c>
      <c r="H18" s="312"/>
      <c r="I18" s="387"/>
    </row>
    <row r="19" spans="1:9" ht="33" thickTop="1" thickBot="1">
      <c r="A19" s="306"/>
      <c r="B19" s="377"/>
      <c r="C19" s="394"/>
      <c r="D19" s="350"/>
      <c r="E19" s="379"/>
      <c r="F19" s="329"/>
      <c r="G19" s="276" t="s">
        <v>563</v>
      </c>
      <c r="H19" s="343" t="s">
        <v>512</v>
      </c>
      <c r="I19" s="388"/>
    </row>
    <row r="20" spans="1:9" ht="28.5" customHeight="1" thickTop="1" thickBot="1">
      <c r="A20" s="306"/>
      <c r="B20" s="377"/>
      <c r="C20" s="394"/>
      <c r="D20" s="350"/>
      <c r="E20" s="379"/>
      <c r="F20" s="329"/>
      <c r="G20" s="276" t="s">
        <v>564</v>
      </c>
      <c r="H20" s="329"/>
      <c r="I20" s="388"/>
    </row>
    <row r="21" spans="1:9" ht="17.25" customHeight="1" thickTop="1" thickBot="1">
      <c r="A21" s="305">
        <v>6</v>
      </c>
      <c r="B21" s="377" t="s">
        <v>565</v>
      </c>
      <c r="C21" s="307" t="s">
        <v>566</v>
      </c>
      <c r="D21" s="309" t="s">
        <v>567</v>
      </c>
      <c r="E21" s="378" t="s">
        <v>550</v>
      </c>
      <c r="F21" s="313">
        <v>0.95</v>
      </c>
      <c r="G21" s="277" t="s">
        <v>568</v>
      </c>
      <c r="H21" s="329"/>
      <c r="I21" s="314"/>
    </row>
    <row r="22" spans="1:9" ht="17.25" customHeight="1" thickTop="1" thickBot="1">
      <c r="A22" s="306"/>
      <c r="B22" s="377"/>
      <c r="C22" s="308"/>
      <c r="D22" s="310"/>
      <c r="E22" s="379"/>
      <c r="F22" s="312"/>
      <c r="G22" s="277" t="s">
        <v>569</v>
      </c>
      <c r="H22" s="313" t="s">
        <v>570</v>
      </c>
      <c r="I22" s="315"/>
    </row>
    <row r="23" spans="1:9" ht="17.25" customHeight="1" thickTop="1" thickBot="1">
      <c r="A23" s="306"/>
      <c r="B23" s="377"/>
      <c r="C23" s="308"/>
      <c r="D23" s="310"/>
      <c r="E23" s="379"/>
      <c r="F23" s="312"/>
      <c r="G23" s="277"/>
      <c r="H23" s="312"/>
      <c r="I23" s="315"/>
    </row>
    <row r="24" spans="1:9" ht="17.25" customHeight="1" thickTop="1" thickBot="1">
      <c r="A24" s="305">
        <v>7</v>
      </c>
      <c r="B24" s="377" t="s">
        <v>571</v>
      </c>
      <c r="C24" s="380" t="s">
        <v>523</v>
      </c>
      <c r="D24" s="349" t="s">
        <v>405</v>
      </c>
      <c r="E24" s="378" t="s">
        <v>562</v>
      </c>
      <c r="F24" s="343">
        <v>0.8</v>
      </c>
      <c r="G24" s="293" t="s">
        <v>470</v>
      </c>
      <c r="H24" s="312"/>
      <c r="I24" s="387"/>
    </row>
    <row r="25" spans="1:9" ht="17.25" customHeight="1" thickTop="1" thickBot="1">
      <c r="A25" s="306"/>
      <c r="B25" s="377"/>
      <c r="C25" s="381"/>
      <c r="D25" s="350"/>
      <c r="E25" s="379"/>
      <c r="F25" s="329"/>
      <c r="G25" s="293" t="s">
        <v>471</v>
      </c>
      <c r="H25" s="343" t="s">
        <v>512</v>
      </c>
      <c r="I25" s="388"/>
    </row>
    <row r="26" spans="1:9" ht="16.5" customHeight="1" thickTop="1" thickBot="1">
      <c r="A26" s="306"/>
      <c r="B26" s="377"/>
      <c r="C26" s="381"/>
      <c r="D26" s="350"/>
      <c r="E26" s="379"/>
      <c r="F26" s="329"/>
      <c r="G26" s="293" t="s">
        <v>472</v>
      </c>
      <c r="H26" s="329"/>
      <c r="I26" s="388"/>
    </row>
    <row r="27" spans="1:9" ht="16.5" customHeight="1" thickTop="1" thickBot="1">
      <c r="A27" s="305">
        <v>8</v>
      </c>
      <c r="B27" s="382" t="s">
        <v>554</v>
      </c>
      <c r="C27" s="383" t="s">
        <v>528</v>
      </c>
      <c r="D27" s="309" t="s">
        <v>529</v>
      </c>
      <c r="E27" s="378" t="s">
        <v>562</v>
      </c>
      <c r="F27" s="313">
        <v>0.7</v>
      </c>
      <c r="G27" s="277" t="s">
        <v>530</v>
      </c>
      <c r="H27" s="329"/>
      <c r="I27" s="368"/>
    </row>
    <row r="28" spans="1:9" ht="28.5" customHeight="1" thickTop="1" thickBot="1">
      <c r="A28" s="306"/>
      <c r="B28" s="382"/>
      <c r="C28" s="384"/>
      <c r="D28" s="310"/>
      <c r="E28" s="379"/>
      <c r="F28" s="312"/>
      <c r="G28" s="277" t="s">
        <v>532</v>
      </c>
      <c r="H28" s="313" t="s">
        <v>570</v>
      </c>
      <c r="I28" s="368"/>
    </row>
    <row r="29" spans="1:9" ht="28.5" customHeight="1" thickTop="1" thickBot="1">
      <c r="A29" s="306"/>
      <c r="B29" s="382"/>
      <c r="C29" s="384"/>
      <c r="D29" s="310"/>
      <c r="E29" s="379"/>
      <c r="F29" s="312"/>
      <c r="G29" s="277" t="s">
        <v>533</v>
      </c>
      <c r="H29" s="312"/>
      <c r="I29" s="368"/>
    </row>
    <row r="30" spans="1:9" ht="15.75" customHeight="1" thickTop="1" thickBot="1">
      <c r="A30" s="305">
        <v>9</v>
      </c>
      <c r="B30" s="377"/>
      <c r="C30" s="346" t="s">
        <v>572</v>
      </c>
      <c r="D30" s="349" t="s">
        <v>509</v>
      </c>
      <c r="E30" s="378" t="s">
        <v>562</v>
      </c>
      <c r="F30" s="343">
        <v>0.9</v>
      </c>
      <c r="G30" s="293" t="s">
        <v>511</v>
      </c>
      <c r="H30" s="312"/>
      <c r="I30" s="346"/>
    </row>
    <row r="31" spans="1:9" ht="28.5" customHeight="1" thickTop="1" thickBot="1">
      <c r="A31" s="306"/>
      <c r="B31" s="377"/>
      <c r="C31" s="347"/>
      <c r="D31" s="350"/>
      <c r="E31" s="379"/>
      <c r="F31" s="329"/>
      <c r="G31" s="293" t="s">
        <v>514</v>
      </c>
      <c r="H31" s="343" t="s">
        <v>512</v>
      </c>
      <c r="I31" s="347"/>
    </row>
    <row r="32" spans="1:9" ht="27.75" customHeight="1" thickTop="1" thickBot="1">
      <c r="A32" s="306"/>
      <c r="B32" s="377"/>
      <c r="C32" s="347"/>
      <c r="D32" s="350"/>
      <c r="E32" s="379"/>
      <c r="F32" s="329"/>
      <c r="G32" s="293" t="s">
        <v>515</v>
      </c>
      <c r="H32" s="329"/>
      <c r="I32" s="347"/>
    </row>
    <row r="33" spans="1:9" ht="17.25" thickTop="1" thickBot="1">
      <c r="A33" s="305">
        <v>10</v>
      </c>
      <c r="B33" s="377"/>
      <c r="C33" s="380" t="s">
        <v>573</v>
      </c>
      <c r="D33" s="349"/>
      <c r="E33" s="378"/>
      <c r="F33" s="343"/>
      <c r="G33" s="293"/>
      <c r="H33" s="343"/>
      <c r="I33" s="346"/>
    </row>
    <row r="34" spans="1:9" ht="17.25" thickTop="1" thickBot="1">
      <c r="A34" s="306"/>
      <c r="B34" s="377"/>
      <c r="C34" s="381"/>
      <c r="D34" s="350"/>
      <c r="E34" s="379"/>
      <c r="F34" s="329"/>
      <c r="G34" s="293"/>
      <c r="H34" s="329"/>
      <c r="I34" s="347"/>
    </row>
    <row r="35" spans="1:9" ht="17.25" thickTop="1" thickBot="1">
      <c r="A35" s="306"/>
      <c r="B35" s="377"/>
      <c r="C35" s="381"/>
      <c r="D35" s="350"/>
      <c r="E35" s="379"/>
      <c r="F35" s="329"/>
      <c r="G35" s="293"/>
      <c r="H35" s="343"/>
      <c r="I35" s="347"/>
    </row>
    <row r="36" spans="1:9" ht="17.25" thickTop="1" thickBot="1">
      <c r="A36" s="305">
        <v>10</v>
      </c>
      <c r="B36" s="377"/>
      <c r="C36" s="346" t="s">
        <v>574</v>
      </c>
      <c r="D36" s="349"/>
      <c r="E36" s="378"/>
      <c r="F36" s="343"/>
      <c r="G36" s="293"/>
      <c r="H36" s="329"/>
      <c r="I36" s="346"/>
    </row>
    <row r="37" spans="1:9" ht="17.25" thickTop="1" thickBot="1">
      <c r="A37" s="306"/>
      <c r="B37" s="377"/>
      <c r="C37" s="347"/>
      <c r="D37" s="350"/>
      <c r="E37" s="379"/>
      <c r="F37" s="329"/>
      <c r="G37" s="293"/>
      <c r="H37" s="343"/>
      <c r="I37" s="347"/>
    </row>
    <row r="38" spans="1:9" ht="16.5" thickTop="1">
      <c r="A38" s="306"/>
      <c r="B38" s="377"/>
      <c r="C38" s="347"/>
      <c r="D38" s="350"/>
      <c r="E38" s="379"/>
      <c r="F38" s="329"/>
      <c r="G38" s="293"/>
      <c r="H38" s="329"/>
      <c r="I38" s="347"/>
    </row>
    <row r="43" spans="1:9" ht="15.75">
      <c r="C43" s="281" t="s">
        <v>575</v>
      </c>
    </row>
  </sheetData>
  <mergeCells count="90">
    <mergeCell ref="A21:A23"/>
    <mergeCell ref="C21:C23"/>
    <mergeCell ref="D21:D23"/>
    <mergeCell ref="E21:E23"/>
    <mergeCell ref="B21:B23"/>
    <mergeCell ref="A24:A26"/>
    <mergeCell ref="E24:E26"/>
    <mergeCell ref="I24:I26"/>
    <mergeCell ref="C24:C26"/>
    <mergeCell ref="D24:D26"/>
    <mergeCell ref="F24:F26"/>
    <mergeCell ref="B24:B26"/>
    <mergeCell ref="A15:A17"/>
    <mergeCell ref="C15:C17"/>
    <mergeCell ref="D15:D17"/>
    <mergeCell ref="E15:E17"/>
    <mergeCell ref="A18:A20"/>
    <mergeCell ref="C18:C20"/>
    <mergeCell ref="D18:D20"/>
    <mergeCell ref="E18:E20"/>
    <mergeCell ref="B15:B17"/>
    <mergeCell ref="B18:B20"/>
    <mergeCell ref="A3:A6"/>
    <mergeCell ref="C3:C6"/>
    <mergeCell ref="D3:D6"/>
    <mergeCell ref="E3:E6"/>
    <mergeCell ref="F3:F6"/>
    <mergeCell ref="B3:B6"/>
    <mergeCell ref="F18:F20"/>
    <mergeCell ref="F21:F23"/>
    <mergeCell ref="I21:I23"/>
    <mergeCell ref="I27:I29"/>
    <mergeCell ref="A7:A10"/>
    <mergeCell ref="C7:C10"/>
    <mergeCell ref="D7:D10"/>
    <mergeCell ref="E7:E10"/>
    <mergeCell ref="F7:F10"/>
    <mergeCell ref="B7:B10"/>
    <mergeCell ref="A11:A14"/>
    <mergeCell ref="C11:C14"/>
    <mergeCell ref="D11:D14"/>
    <mergeCell ref="E11:E14"/>
    <mergeCell ref="F11:F14"/>
    <mergeCell ref="B11:B14"/>
    <mergeCell ref="C2:I2"/>
    <mergeCell ref="I11:I14"/>
    <mergeCell ref="I3:I6"/>
    <mergeCell ref="I7:I10"/>
    <mergeCell ref="F15:F17"/>
    <mergeCell ref="I15:I17"/>
    <mergeCell ref="B27:B29"/>
    <mergeCell ref="B30:B32"/>
    <mergeCell ref="A27:A29"/>
    <mergeCell ref="C27:C29"/>
    <mergeCell ref="D27:D29"/>
    <mergeCell ref="A30:A32"/>
    <mergeCell ref="C30:C32"/>
    <mergeCell ref="D30:D32"/>
    <mergeCell ref="E30:E32"/>
    <mergeCell ref="F30:F32"/>
    <mergeCell ref="H22:H24"/>
    <mergeCell ref="H25:H27"/>
    <mergeCell ref="H28:H30"/>
    <mergeCell ref="H31:H32"/>
    <mergeCell ref="E27:E29"/>
    <mergeCell ref="F27:F29"/>
    <mergeCell ref="I30:I32"/>
    <mergeCell ref="H4:H7"/>
    <mergeCell ref="H8:H11"/>
    <mergeCell ref="H12:H15"/>
    <mergeCell ref="H16:H18"/>
    <mergeCell ref="H19:H21"/>
    <mergeCell ref="I18:I20"/>
    <mergeCell ref="F33:F35"/>
    <mergeCell ref="A36:A38"/>
    <mergeCell ref="B36:B38"/>
    <mergeCell ref="C36:C38"/>
    <mergeCell ref="D36:D38"/>
    <mergeCell ref="E36:E38"/>
    <mergeCell ref="F36:F38"/>
    <mergeCell ref="A33:A35"/>
    <mergeCell ref="B33:B35"/>
    <mergeCell ref="C33:C35"/>
    <mergeCell ref="D33:D35"/>
    <mergeCell ref="E33:E35"/>
    <mergeCell ref="H33:H34"/>
    <mergeCell ref="H35:H36"/>
    <mergeCell ref="H37:H38"/>
    <mergeCell ref="I33:I35"/>
    <mergeCell ref="I36:I38"/>
  </mergeCell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249977111117893"/>
  </sheetPr>
  <dimension ref="A1:F123"/>
  <sheetViews>
    <sheetView showGridLines="0" zoomScaleNormal="100" workbookViewId="0">
      <pane ySplit="6" topLeftCell="A7" activePane="bottomLeft" state="frozen"/>
      <selection pane="bottomLeft" activeCell="F12" sqref="F12"/>
    </sheetView>
  </sheetViews>
  <sheetFormatPr defaultColWidth="11.42578125" defaultRowHeight="14.25"/>
  <cols>
    <col min="1" max="1" width="2.28515625" customWidth="1"/>
    <col min="2" max="2" width="60.140625" style="10" customWidth="1"/>
    <col min="3" max="3" width="29.85546875" style="15" customWidth="1"/>
    <col min="4" max="4" width="86.140625" customWidth="1"/>
    <col min="5" max="5" width="7.42578125" hidden="1" customWidth="1"/>
    <col min="6" max="6" width="29.42578125" customWidth="1"/>
  </cols>
  <sheetData>
    <row r="1" spans="1:6">
      <c r="A1" s="302" t="s">
        <v>26</v>
      </c>
      <c r="B1" s="302"/>
      <c r="C1" s="177" t="s">
        <v>576</v>
      </c>
    </row>
    <row r="2" spans="1:6" ht="36">
      <c r="B2" s="27" t="s">
        <v>577</v>
      </c>
      <c r="C2"/>
    </row>
    <row r="3" spans="1:6">
      <c r="B3" s="13" t="s">
        <v>578</v>
      </c>
    </row>
    <row r="4" spans="1:6">
      <c r="B4" s="13" t="s">
        <v>579</v>
      </c>
    </row>
    <row r="5" spans="1:6" ht="6" customHeight="1"/>
    <row r="6" spans="1:6" ht="15">
      <c r="B6" s="25" t="s">
        <v>580</v>
      </c>
      <c r="C6" s="26" t="s">
        <v>581</v>
      </c>
      <c r="D6" s="26" t="s">
        <v>118</v>
      </c>
      <c r="E6" s="26" t="s">
        <v>31</v>
      </c>
      <c r="F6" s="25" t="s">
        <v>28</v>
      </c>
    </row>
    <row r="7" spans="1:6" ht="25.5">
      <c r="B7" s="6" t="s">
        <v>582</v>
      </c>
      <c r="C7" s="20" t="s">
        <v>583</v>
      </c>
      <c r="D7" s="154" t="s">
        <v>584</v>
      </c>
      <c r="E7" s="12">
        <f>IF(TRIM(B7)="","",IF(TRIM(C7)="",0,1))</f>
        <v>1</v>
      </c>
      <c r="F7" s="164" t="s">
        <v>54</v>
      </c>
    </row>
    <row r="8" spans="1:6" ht="25.5">
      <c r="B8" s="6" t="str">
        <f>IF(C7="COTS","Nom de l'éditeur","")</f>
        <v>Nom de l'éditeur</v>
      </c>
      <c r="C8" s="20" t="s">
        <v>585</v>
      </c>
      <c r="D8" s="21" t="s">
        <v>586</v>
      </c>
      <c r="E8" s="12">
        <f t="shared" ref="E8:E63" si="0">IF(TRIM(B8)="","",IF(TRIM(C8)="",0,1))</f>
        <v>1</v>
      </c>
      <c r="F8" s="164" t="s">
        <v>54</v>
      </c>
    </row>
    <row r="9" spans="1:6">
      <c r="B9" s="6" t="s">
        <v>7</v>
      </c>
      <c r="C9" s="20" t="s">
        <v>587</v>
      </c>
      <c r="D9" s="21"/>
      <c r="E9" s="12">
        <f t="shared" si="0"/>
        <v>1</v>
      </c>
      <c r="F9" s="164" t="s">
        <v>54</v>
      </c>
    </row>
    <row r="10" spans="1:6">
      <c r="B10" s="6" t="s">
        <v>588</v>
      </c>
      <c r="C10" s="177" t="s">
        <v>589</v>
      </c>
      <c r="D10" s="20" t="s">
        <v>589</v>
      </c>
      <c r="E10" s="12">
        <f>IF(TRIM(B10)="","",IF(TRIM(C10)="",0,1))</f>
        <v>1</v>
      </c>
      <c r="F10" s="164" t="s">
        <v>54</v>
      </c>
    </row>
    <row r="11" spans="1:6">
      <c r="B11" s="6" t="s">
        <v>590</v>
      </c>
      <c r="C11" s="177" t="s">
        <v>591</v>
      </c>
      <c r="D11" s="20" t="s">
        <v>591</v>
      </c>
      <c r="E11" s="12">
        <f>IF(TRIM(B11)="","",IF(TRIM(C11)="",0,1))</f>
        <v>1</v>
      </c>
      <c r="F11" s="164" t="s">
        <v>54</v>
      </c>
    </row>
    <row r="12" spans="1:6" ht="357">
      <c r="B12" s="6" t="s">
        <v>592</v>
      </c>
      <c r="C12" s="20" t="s">
        <v>39</v>
      </c>
      <c r="D12" s="24" t="s">
        <v>593</v>
      </c>
      <c r="E12" s="12">
        <f>IF(TRIM(B12)="","",IF(TRIM(C12)="",0,1))</f>
        <v>1</v>
      </c>
      <c r="F12" s="164" t="s">
        <v>54</v>
      </c>
    </row>
    <row r="13" spans="1:6" ht="38.25">
      <c r="B13" s="6" t="s">
        <v>594</v>
      </c>
      <c r="C13" s="185" t="s">
        <v>585</v>
      </c>
      <c r="D13" s="24" t="s">
        <v>595</v>
      </c>
      <c r="E13" s="12">
        <f>IF(TRIM(B13)="","",IF(TRIM(C13)="",0,1))</f>
        <v>1</v>
      </c>
      <c r="F13" s="164" t="s">
        <v>54</v>
      </c>
    </row>
    <row r="14" spans="1:6" s="9" customFormat="1" ht="38.25">
      <c r="B14" s="7" t="s">
        <v>596</v>
      </c>
      <c r="C14" s="177" t="s">
        <v>597</v>
      </c>
      <c r="D14" s="21" t="s">
        <v>598</v>
      </c>
      <c r="E14" s="12">
        <f>IF(TRIM(B14)="","",IF(TRIM(C14)="",0,1))</f>
        <v>1</v>
      </c>
      <c r="F14" s="164" t="s">
        <v>54</v>
      </c>
    </row>
    <row r="15" spans="1:6" ht="102">
      <c r="B15" s="6" t="s">
        <v>599</v>
      </c>
      <c r="C15" s="20" t="s">
        <v>600</v>
      </c>
      <c r="D15" s="21" t="s">
        <v>601</v>
      </c>
      <c r="E15" s="12">
        <f t="shared" si="0"/>
        <v>1</v>
      </c>
      <c r="F15" s="164" t="s">
        <v>54</v>
      </c>
    </row>
    <row r="16" spans="1:6" ht="63.75">
      <c r="B16" s="6" t="s">
        <v>602</v>
      </c>
      <c r="C16" s="20" t="s">
        <v>603</v>
      </c>
      <c r="D16" s="21" t="s">
        <v>604</v>
      </c>
      <c r="E16" s="12">
        <f t="shared" si="0"/>
        <v>1</v>
      </c>
      <c r="F16" s="164" t="s">
        <v>54</v>
      </c>
    </row>
    <row r="17" spans="2:6" ht="51">
      <c r="B17" s="6" t="s">
        <v>605</v>
      </c>
      <c r="C17" s="20" t="s">
        <v>39</v>
      </c>
      <c r="D17" s="21" t="s">
        <v>606</v>
      </c>
      <c r="E17" s="12">
        <f t="shared" ref="E17" si="1">IF(TRIM(B17)="","",IF(TRIM(C17)="",0,1))</f>
        <v>1</v>
      </c>
      <c r="F17" s="164" t="s">
        <v>54</v>
      </c>
    </row>
    <row r="18" spans="2:6" ht="38.25">
      <c r="B18" s="6" t="s">
        <v>607</v>
      </c>
      <c r="C18" s="20" t="s">
        <v>608</v>
      </c>
      <c r="D18" s="21" t="s">
        <v>609</v>
      </c>
      <c r="E18" s="12">
        <f t="shared" ref="E18" si="2">IF(TRIM(B18)="","",IF(TRIM(C18)="",0,1))</f>
        <v>1</v>
      </c>
      <c r="F18" s="164" t="s">
        <v>54</v>
      </c>
    </row>
    <row r="19" spans="2:6" ht="51">
      <c r="B19" s="208" t="s">
        <v>610</v>
      </c>
      <c r="C19" s="20" t="s">
        <v>603</v>
      </c>
      <c r="D19" s="21" t="s">
        <v>611</v>
      </c>
      <c r="E19" s="12">
        <f t="shared" ref="E19" si="3">IF(TRIM(B19)="","",IF(TRIM(C19)="",0,1))</f>
        <v>1</v>
      </c>
      <c r="F19" s="164" t="s">
        <v>612</v>
      </c>
    </row>
    <row r="20" spans="2:6">
      <c r="B20" s="6" t="s">
        <v>613</v>
      </c>
      <c r="C20" s="20">
        <v>2024</v>
      </c>
      <c r="D20" s="155">
        <v>45387</v>
      </c>
      <c r="E20" s="12">
        <f t="shared" si="0"/>
        <v>1</v>
      </c>
      <c r="F20" s="164" t="s">
        <v>54</v>
      </c>
    </row>
    <row r="21" spans="2:6">
      <c r="B21" s="6" t="s">
        <v>614</v>
      </c>
      <c r="C21" s="20" t="s">
        <v>615</v>
      </c>
      <c r="D21" s="21"/>
      <c r="E21" s="12">
        <f t="shared" si="0"/>
        <v>1</v>
      </c>
      <c r="F21" s="164" t="s">
        <v>54</v>
      </c>
    </row>
    <row r="22" spans="2:6" ht="25.5">
      <c r="B22" s="6" t="s">
        <v>616</v>
      </c>
      <c r="C22" s="177" t="s">
        <v>617</v>
      </c>
      <c r="D22" s="21"/>
      <c r="E22" s="12">
        <f t="shared" si="0"/>
        <v>1</v>
      </c>
      <c r="F22" s="164" t="s">
        <v>54</v>
      </c>
    </row>
    <row r="23" spans="2:6">
      <c r="B23" s="6" t="s">
        <v>618</v>
      </c>
      <c r="C23" s="177" t="s">
        <v>619</v>
      </c>
      <c r="D23" s="21"/>
      <c r="E23" s="12">
        <f t="shared" si="0"/>
        <v>1</v>
      </c>
      <c r="F23" s="164" t="s">
        <v>118</v>
      </c>
    </row>
    <row r="24" spans="2:6">
      <c r="B24" s="6" t="s">
        <v>620</v>
      </c>
      <c r="C24" s="20" t="s">
        <v>368</v>
      </c>
      <c r="D24" s="21"/>
      <c r="E24" s="12">
        <f t="shared" si="0"/>
        <v>1</v>
      </c>
      <c r="F24" s="164" t="s">
        <v>54</v>
      </c>
    </row>
    <row r="25" spans="2:6" ht="25.5">
      <c r="B25" s="6" t="s">
        <v>621</v>
      </c>
      <c r="C25" s="20" t="s">
        <v>39</v>
      </c>
      <c r="D25" s="21" t="s">
        <v>622</v>
      </c>
      <c r="E25" s="12">
        <f t="shared" si="0"/>
        <v>1</v>
      </c>
      <c r="F25" s="164" t="s">
        <v>54</v>
      </c>
    </row>
    <row r="26" spans="2:6">
      <c r="B26" s="6" t="str">
        <f>IF(C25="Oui","Si oui, dispose-t-elle d'une version smartphone ou tablette ou les 2  ?","")</f>
        <v>Si oui, dispose-t-elle d'une version smartphone ou tablette ou les 2  ?</v>
      </c>
      <c r="C26" s="22" t="s">
        <v>623</v>
      </c>
      <c r="D26" s="21"/>
      <c r="E26" s="12">
        <f t="shared" si="0"/>
        <v>1</v>
      </c>
      <c r="F26" s="164"/>
    </row>
    <row r="27" spans="2:6" ht="25.5">
      <c r="B27" s="6" t="s">
        <v>624</v>
      </c>
      <c r="C27" s="20" t="s">
        <v>54</v>
      </c>
      <c r="D27" s="21"/>
      <c r="E27" s="12">
        <f t="shared" si="0"/>
        <v>1</v>
      </c>
      <c r="F27" s="164" t="s">
        <v>54</v>
      </c>
    </row>
    <row r="28" spans="2:6">
      <c r="B28" s="208" t="s">
        <v>625</v>
      </c>
      <c r="C28" s="177" t="s">
        <v>626</v>
      </c>
      <c r="D28" s="21"/>
      <c r="E28" s="12">
        <f t="shared" si="0"/>
        <v>1</v>
      </c>
      <c r="F28" s="164" t="s">
        <v>54</v>
      </c>
    </row>
    <row r="29" spans="2:6" ht="51">
      <c r="B29" s="6" t="s">
        <v>627</v>
      </c>
      <c r="C29" s="20" t="s">
        <v>39</v>
      </c>
      <c r="D29" s="197" t="s">
        <v>628</v>
      </c>
      <c r="E29" s="12">
        <f t="shared" si="0"/>
        <v>1</v>
      </c>
      <c r="F29" s="164" t="s">
        <v>629</v>
      </c>
    </row>
    <row r="30" spans="2:6">
      <c r="B30" s="6" t="str">
        <f>IF(C29="Oui","Quel est le ratio  ?","")</f>
        <v>Quel est le ratio  ?</v>
      </c>
      <c r="C30" s="20" t="s">
        <v>368</v>
      </c>
      <c r="D30" s="21"/>
      <c r="E30" s="12">
        <f t="shared" si="0"/>
        <v>1</v>
      </c>
      <c r="F30" s="164" t="s">
        <v>54</v>
      </c>
    </row>
    <row r="31" spans="2:6">
      <c r="B31" s="6" t="s">
        <v>630</v>
      </c>
      <c r="C31" s="20" t="s">
        <v>368</v>
      </c>
      <c r="D31" s="21"/>
      <c r="E31" s="12">
        <f t="shared" si="0"/>
        <v>1</v>
      </c>
      <c r="F31" s="164" t="s">
        <v>54</v>
      </c>
    </row>
    <row r="32" spans="2:6">
      <c r="B32" s="6" t="s">
        <v>631</v>
      </c>
      <c r="C32" s="20" t="s">
        <v>368</v>
      </c>
      <c r="D32" s="21"/>
      <c r="E32" s="12">
        <f t="shared" si="0"/>
        <v>1</v>
      </c>
      <c r="F32" s="164" t="s">
        <v>54</v>
      </c>
    </row>
    <row r="33" spans="2:6">
      <c r="B33" s="6" t="s">
        <v>632</v>
      </c>
      <c r="C33" s="177" t="s">
        <v>633</v>
      </c>
      <c r="D33" s="21"/>
      <c r="E33" s="12">
        <f t="shared" si="0"/>
        <v>1</v>
      </c>
      <c r="F33" s="164" t="s">
        <v>54</v>
      </c>
    </row>
    <row r="34" spans="2:6" ht="38.25">
      <c r="B34" s="6" t="s">
        <v>634</v>
      </c>
      <c r="C34" s="20" t="s">
        <v>368</v>
      </c>
      <c r="D34" s="21"/>
      <c r="E34" s="12">
        <f t="shared" si="0"/>
        <v>1</v>
      </c>
      <c r="F34" s="164" t="s">
        <v>54</v>
      </c>
    </row>
    <row r="35" spans="2:6">
      <c r="B35" s="6" t="s">
        <v>635</v>
      </c>
      <c r="C35" s="20" t="s">
        <v>368</v>
      </c>
      <c r="D35" s="21"/>
      <c r="E35" s="12">
        <f t="shared" si="0"/>
        <v>1</v>
      </c>
      <c r="F35" s="164" t="s">
        <v>54</v>
      </c>
    </row>
    <row r="36" spans="2:6" ht="25.5">
      <c r="B36" s="6" t="s">
        <v>636</v>
      </c>
      <c r="C36" s="20" t="s">
        <v>39</v>
      </c>
      <c r="D36" s="21"/>
      <c r="E36" s="12">
        <f t="shared" si="0"/>
        <v>1</v>
      </c>
      <c r="F36" s="164" t="s">
        <v>54</v>
      </c>
    </row>
    <row r="37" spans="2:6">
      <c r="B37" s="6" t="s">
        <v>637</v>
      </c>
      <c r="C37" s="177" t="s">
        <v>638</v>
      </c>
      <c r="D37" s="21" t="s">
        <v>29</v>
      </c>
      <c r="E37" s="12">
        <f t="shared" si="0"/>
        <v>1</v>
      </c>
      <c r="F37" s="164" t="s">
        <v>54</v>
      </c>
    </row>
    <row r="38" spans="2:6" ht="25.5">
      <c r="B38" s="6" t="s">
        <v>639</v>
      </c>
      <c r="C38" s="177" t="s">
        <v>640</v>
      </c>
      <c r="D38" s="21" t="s">
        <v>641</v>
      </c>
      <c r="E38" s="12">
        <f>IF(TRIM(B38)="","",IF(TRIM(C38)="",0,1))</f>
        <v>1</v>
      </c>
      <c r="F38" s="164" t="s">
        <v>54</v>
      </c>
    </row>
    <row r="39" spans="2:6" ht="54.6" customHeight="1">
      <c r="B39" s="7" t="s">
        <v>642</v>
      </c>
      <c r="C39" s="197" t="s">
        <v>643</v>
      </c>
      <c r="D39" s="222" t="s">
        <v>644</v>
      </c>
      <c r="E39" s="12">
        <f t="shared" si="0"/>
        <v>1</v>
      </c>
      <c r="F39" s="164" t="s">
        <v>645</v>
      </c>
    </row>
    <row r="40" spans="2:6" ht="56.45" customHeight="1">
      <c r="B40" s="7" t="s">
        <v>646</v>
      </c>
      <c r="C40" s="221" t="s">
        <v>647</v>
      </c>
      <c r="D40" s="21" t="s">
        <v>648</v>
      </c>
      <c r="E40" s="12">
        <f t="shared" si="0"/>
        <v>1</v>
      </c>
      <c r="F40" s="164" t="s">
        <v>645</v>
      </c>
    </row>
    <row r="41" spans="2:6" ht="38.25">
      <c r="B41" s="208" t="s">
        <v>649</v>
      </c>
      <c r="C41" s="20" t="s">
        <v>623</v>
      </c>
      <c r="D41" s="21" t="s">
        <v>650</v>
      </c>
      <c r="E41" s="12">
        <f t="shared" si="0"/>
        <v>1</v>
      </c>
      <c r="F41" s="164" t="s">
        <v>651</v>
      </c>
    </row>
    <row r="42" spans="2:6" ht="38.25">
      <c r="B42" s="6" t="str">
        <f>IF(C41="Les 2","A quelle proportion chacun ? et existe-t-il un SLA interne entre Group IT et la filiale ? S'il existe, pouvez-vous le partager
vous pouvez décrire dans la partie détails les responsabilités de chaque partie","")</f>
        <v>A quelle proportion chacun ? et existe-t-il un SLA interne entre Group IT et la filiale ? S'il existe, pouvez-vous le partager
vous pouvez décrire dans la partie détails les responsabilités de chaque partie</v>
      </c>
      <c r="C42" s="185" t="s">
        <v>54</v>
      </c>
      <c r="D42" s="23"/>
      <c r="E42" s="12">
        <f t="shared" si="0"/>
        <v>1</v>
      </c>
      <c r="F42" s="164" t="s">
        <v>54</v>
      </c>
    </row>
    <row r="43" spans="2:6" ht="25.5">
      <c r="B43" s="6" t="s">
        <v>652</v>
      </c>
      <c r="C43" s="20" t="s">
        <v>54</v>
      </c>
      <c r="D43" s="21"/>
      <c r="E43" s="12">
        <f t="shared" si="0"/>
        <v>1</v>
      </c>
      <c r="F43" s="164" t="s">
        <v>54</v>
      </c>
    </row>
    <row r="44" spans="2:6">
      <c r="B44" s="6" t="s">
        <v>653</v>
      </c>
      <c r="C44" s="20" t="s">
        <v>54</v>
      </c>
      <c r="D44" s="21"/>
      <c r="E44" s="12">
        <f t="shared" si="0"/>
        <v>1</v>
      </c>
      <c r="F44" s="164" t="s">
        <v>54</v>
      </c>
    </row>
    <row r="45" spans="2:6">
      <c r="B45" s="6" t="s">
        <v>654</v>
      </c>
      <c r="C45" s="20" t="s">
        <v>655</v>
      </c>
      <c r="D45" s="21" t="s">
        <v>656</v>
      </c>
      <c r="E45" s="12">
        <f t="shared" si="0"/>
        <v>1</v>
      </c>
      <c r="F45" s="164" t="s">
        <v>54</v>
      </c>
    </row>
    <row r="46" spans="2:6">
      <c r="B46" s="6" t="str">
        <f>IF(C45="Cloud","Si c'est sur le Cloud, est-ce entièrement SaaS ou Infra gérée par l'équipe locale ?","")</f>
        <v/>
      </c>
      <c r="C46" s="20"/>
      <c r="D46" s="24"/>
      <c r="E46" s="12" t="str">
        <f t="shared" si="0"/>
        <v/>
      </c>
      <c r="F46" s="164" t="s">
        <v>54</v>
      </c>
    </row>
    <row r="47" spans="2:6" ht="38.25">
      <c r="B47" s="7" t="s">
        <v>657</v>
      </c>
      <c r="C47" s="215" t="s">
        <v>54</v>
      </c>
      <c r="D47" s="195"/>
      <c r="E47" s="12">
        <f t="shared" si="0"/>
        <v>1</v>
      </c>
      <c r="F47" s="164" t="s">
        <v>658</v>
      </c>
    </row>
    <row r="48" spans="2:6">
      <c r="B48" s="6" t="str">
        <f>IF(C45="On-site","Comment sont acquis les serveurs (achat/location/sous-traitance) ?","")</f>
        <v>Comment sont acquis les serveurs (achat/location/sous-traitance) ?</v>
      </c>
      <c r="C48" s="20" t="s">
        <v>659</v>
      </c>
      <c r="D48" s="24"/>
      <c r="E48" s="12">
        <f t="shared" si="0"/>
        <v>1</v>
      </c>
      <c r="F48" s="164"/>
    </row>
    <row r="49" spans="2:6">
      <c r="B49" s="6" t="s">
        <v>660</v>
      </c>
      <c r="C49" s="20" t="s">
        <v>661</v>
      </c>
      <c r="D49" s="24"/>
      <c r="E49" s="12">
        <f t="shared" si="0"/>
        <v>1</v>
      </c>
      <c r="F49" s="164" t="s">
        <v>54</v>
      </c>
    </row>
    <row r="50" spans="2:6">
      <c r="B50" s="6" t="s">
        <v>662</v>
      </c>
      <c r="C50" s="177" t="s">
        <v>663</v>
      </c>
      <c r="D50" s="24"/>
      <c r="E50" s="12">
        <f t="shared" si="0"/>
        <v>1</v>
      </c>
      <c r="F50" s="164" t="s">
        <v>54</v>
      </c>
    </row>
    <row r="51" spans="2:6">
      <c r="B51" s="6" t="s">
        <v>664</v>
      </c>
      <c r="C51" s="177" t="s">
        <v>665</v>
      </c>
      <c r="D51" s="24"/>
      <c r="E51" s="12">
        <f t="shared" si="0"/>
        <v>1</v>
      </c>
      <c r="F51" s="164" t="s">
        <v>54</v>
      </c>
    </row>
    <row r="52" spans="2:6">
      <c r="B52" s="6" t="s">
        <v>666</v>
      </c>
      <c r="C52" s="20" t="s">
        <v>54</v>
      </c>
      <c r="D52" s="24"/>
      <c r="E52" s="12">
        <f t="shared" si="0"/>
        <v>1</v>
      </c>
      <c r="F52" s="164" t="s">
        <v>667</v>
      </c>
    </row>
    <row r="53" spans="2:6">
      <c r="B53" s="6" t="str">
        <f>IF(C52="Oui","Entièrement ou partiellement ? Actif-Actif ou Actif-Passif ?","")</f>
        <v/>
      </c>
      <c r="C53" s="20" t="s">
        <v>668</v>
      </c>
      <c r="D53" s="24"/>
      <c r="E53" s="12" t="str">
        <f t="shared" si="0"/>
        <v/>
      </c>
      <c r="F53" s="164" t="s">
        <v>54</v>
      </c>
    </row>
    <row r="54" spans="2:6">
      <c r="B54" s="208" t="s">
        <v>669</v>
      </c>
      <c r="C54" s="20" t="s">
        <v>39</v>
      </c>
      <c r="D54" s="24"/>
      <c r="E54" s="12">
        <f t="shared" si="0"/>
        <v>1</v>
      </c>
      <c r="F54" s="164" t="s">
        <v>670</v>
      </c>
    </row>
    <row r="55" spans="2:6">
      <c r="B55" s="6" t="s">
        <v>671</v>
      </c>
      <c r="C55" s="20" t="s">
        <v>672</v>
      </c>
      <c r="D55" s="24"/>
      <c r="E55" s="12">
        <f t="shared" si="0"/>
        <v>1</v>
      </c>
      <c r="F55" s="164" t="s">
        <v>54</v>
      </c>
    </row>
    <row r="56" spans="2:6" ht="25.5">
      <c r="B56" s="7" t="s">
        <v>673</v>
      </c>
      <c r="C56" s="209" t="s">
        <v>368</v>
      </c>
      <c r="D56" s="197" t="s">
        <v>674</v>
      </c>
      <c r="E56" s="12">
        <f t="shared" si="0"/>
        <v>1</v>
      </c>
      <c r="F56" s="164" t="s">
        <v>675</v>
      </c>
    </row>
    <row r="57" spans="2:6" ht="25.5">
      <c r="B57" s="7" t="s">
        <v>676</v>
      </c>
      <c r="C57" s="20" t="s">
        <v>677</v>
      </c>
      <c r="D57" s="21"/>
      <c r="E57" s="12">
        <f t="shared" si="0"/>
        <v>1</v>
      </c>
      <c r="F57" s="164" t="s">
        <v>54</v>
      </c>
    </row>
    <row r="58" spans="2:6" ht="38.25">
      <c r="B58" s="6" t="s">
        <v>678</v>
      </c>
      <c r="C58" s="20" t="s">
        <v>54</v>
      </c>
      <c r="D58" s="24"/>
      <c r="E58" s="12">
        <f t="shared" si="0"/>
        <v>1</v>
      </c>
      <c r="F58" s="164" t="s">
        <v>54</v>
      </c>
    </row>
    <row r="59" spans="2:6">
      <c r="B59" s="6" t="s">
        <v>679</v>
      </c>
      <c r="C59" s="177" t="s">
        <v>39</v>
      </c>
      <c r="D59" s="223" t="s">
        <v>56</v>
      </c>
      <c r="E59" s="12">
        <f t="shared" si="0"/>
        <v>1</v>
      </c>
      <c r="F59" s="164" t="s">
        <v>54</v>
      </c>
    </row>
    <row r="60" spans="2:6" ht="38.25">
      <c r="B60" s="6" t="str">
        <f>IF(C59="Oui","A quelle fréquence sont-elles exécutées?","")</f>
        <v>A quelle fréquence sont-elles exécutées?</v>
      </c>
      <c r="C60" s="177" t="s">
        <v>680</v>
      </c>
      <c r="D60" s="24"/>
      <c r="E60" s="12">
        <f t="shared" si="0"/>
        <v>1</v>
      </c>
      <c r="F60" s="164" t="s">
        <v>681</v>
      </c>
    </row>
    <row r="61" spans="2:6" ht="25.5">
      <c r="B61" s="6" t="str">
        <f>IF(C59="Oui","Avez-vous une politique de rétention en place ? Si oui, pouvez-vous me la partager?","")</f>
        <v>Avez-vous une politique de rétention en place ? Si oui, pouvez-vous me la partager?</v>
      </c>
      <c r="C61" s="177" t="s">
        <v>39</v>
      </c>
      <c r="D61" s="223" t="s">
        <v>56</v>
      </c>
      <c r="E61" s="12">
        <f t="shared" si="0"/>
        <v>1</v>
      </c>
      <c r="F61" s="164"/>
    </row>
    <row r="62" spans="2:6">
      <c r="B62" s="6" t="str">
        <f>IF(C59="Oui","Quelle est la solution de sauvegarde/récupération utilisée ?","")</f>
        <v>Quelle est la solution de sauvegarde/récupération utilisée ?</v>
      </c>
      <c r="C62" s="177" t="s">
        <v>682</v>
      </c>
      <c r="D62" s="24"/>
      <c r="E62" s="12">
        <f t="shared" si="0"/>
        <v>1</v>
      </c>
      <c r="F62" s="164"/>
    </row>
    <row r="63" spans="2:6" ht="25.5">
      <c r="B63" s="6" t="str">
        <f>IF(C59="Oui","Quelle est la taille totale estimée des sauvegardes ?","")</f>
        <v>Quelle est la taille totale estimée des sauvegardes ?</v>
      </c>
      <c r="C63" s="177" t="s">
        <v>683</v>
      </c>
      <c r="D63" s="223" t="s">
        <v>684</v>
      </c>
      <c r="E63" s="12">
        <f t="shared" si="0"/>
        <v>1</v>
      </c>
      <c r="F63" s="164"/>
    </row>
    <row r="123" spans="1:1">
      <c r="A123" t="s">
        <v>223</v>
      </c>
    </row>
  </sheetData>
  <sheetProtection formatRows="0"/>
  <autoFilter ref="A6:F63" xr:uid="{00000000-0009-0000-0000-000007000000}"/>
  <mergeCells count="1">
    <mergeCell ref="A1:B1"/>
  </mergeCells>
  <conditionalFormatting sqref="B33">
    <cfRule type="containsBlanks" dxfId="756" priority="52">
      <formula>LEN(TRIM(B33))=0</formula>
    </cfRule>
  </conditionalFormatting>
  <conditionalFormatting sqref="B58 B59:C63">
    <cfRule type="containsBlanks" dxfId="755" priority="27">
      <formula>LEN(TRIM(B58))=0</formula>
    </cfRule>
  </conditionalFormatting>
  <conditionalFormatting sqref="B8:C9 B12:C12 B13">
    <cfRule type="containsBlanks" dxfId="754" priority="61">
      <formula>LEN(TRIM(B8))=0</formula>
    </cfRule>
  </conditionalFormatting>
  <conditionalFormatting sqref="B15:C32">
    <cfRule type="containsBlanks" dxfId="753" priority="7">
      <formula>LEN(TRIM(B15))=0</formula>
    </cfRule>
  </conditionalFormatting>
  <conditionalFormatting sqref="B36:C36 B37:B38 B35">
    <cfRule type="containsBlanks" dxfId="752" priority="64">
      <formula>LEN(TRIM(B35))=0</formula>
    </cfRule>
  </conditionalFormatting>
  <conditionalFormatting sqref="B41:C46">
    <cfRule type="containsBlanks" dxfId="751" priority="48">
      <formula>LEN(TRIM(B41))=0</formula>
    </cfRule>
  </conditionalFormatting>
  <conditionalFormatting sqref="B48:C55">
    <cfRule type="containsBlanks" dxfId="750" priority="22">
      <formula>LEN(TRIM(B48))=0</formula>
    </cfRule>
  </conditionalFormatting>
  <conditionalFormatting sqref="B10:D11">
    <cfRule type="containsBlanks" dxfId="749" priority="25">
      <formula>LEN(TRIM(B10))=0</formula>
    </cfRule>
  </conditionalFormatting>
  <conditionalFormatting sqref="C1">
    <cfRule type="containsBlanks" dxfId="748" priority="33">
      <formula>LEN(TRIM(C1))=0</formula>
    </cfRule>
  </conditionalFormatting>
  <conditionalFormatting sqref="C13:C14">
    <cfRule type="containsBlanks" dxfId="747" priority="11">
      <formula>LEN(TRIM(C13))=0</formula>
    </cfRule>
  </conditionalFormatting>
  <conditionalFormatting sqref="C33">
    <cfRule type="containsBlanks" dxfId="746" priority="30">
      <formula>LEN(TRIM(C33))=0</formula>
    </cfRule>
  </conditionalFormatting>
  <conditionalFormatting sqref="C37:C38">
    <cfRule type="containsBlanks" dxfId="745" priority="31">
      <formula>LEN(TRIM(C37))=0</formula>
    </cfRule>
  </conditionalFormatting>
  <conditionalFormatting sqref="C57:C58">
    <cfRule type="containsBlanks" dxfId="744" priority="21">
      <formula>LEN(TRIM(C57))=0</formula>
    </cfRule>
  </conditionalFormatting>
  <conditionalFormatting sqref="D20">
    <cfRule type="containsBlanks" dxfId="743" priority="35">
      <formula>LEN(TRIM(D20))=0</formula>
    </cfRule>
  </conditionalFormatting>
  <conditionalFormatting sqref="D34">
    <cfRule type="containsBlanks" dxfId="742" priority="75">
      <formula>LEN(TRIM(D34))=0</formula>
    </cfRule>
  </conditionalFormatting>
  <conditionalFormatting sqref="D56:D57">
    <cfRule type="containsBlanks" dxfId="741" priority="77">
      <formula>LEN(TRIM(D56))=0</formula>
    </cfRule>
  </conditionalFormatting>
  <conditionalFormatting sqref="F7:F8">
    <cfRule type="expression" dxfId="740" priority="43">
      <formula>AND($B7&lt;&gt;"",#REF!="")</formula>
    </cfRule>
  </conditionalFormatting>
  <conditionalFormatting sqref="F7:F63">
    <cfRule type="expression" dxfId="739" priority="17">
      <formula>$B7=""</formula>
    </cfRule>
  </conditionalFormatting>
  <conditionalFormatting sqref="F9:F11">
    <cfRule type="expression" dxfId="738" priority="19">
      <formula>AND($B9&lt;&gt;"",#REF!="")</formula>
    </cfRule>
  </conditionalFormatting>
  <conditionalFormatting sqref="F12:F20">
    <cfRule type="expression" dxfId="737" priority="18">
      <formula>AND($B12&lt;&gt;"",#REF!="")</formula>
    </cfRule>
  </conditionalFormatting>
  <conditionalFormatting sqref="F21">
    <cfRule type="expression" dxfId="736" priority="20">
      <formula>AND($B21&lt;&gt;"",#REF!="")</formula>
    </cfRule>
  </conditionalFormatting>
  <conditionalFormatting sqref="F22">
    <cfRule type="expression" dxfId="735" priority="16">
      <formula>AND($B22&lt;&gt;"",#REF!="")</formula>
    </cfRule>
  </conditionalFormatting>
  <conditionalFormatting sqref="F22:F23">
    <cfRule type="expression" dxfId="734" priority="15">
      <formula>AND($B22&lt;&gt;"",#REF!="")</formula>
    </cfRule>
  </conditionalFormatting>
  <conditionalFormatting sqref="F24:F63">
    <cfRule type="expression" dxfId="733" priority="13">
      <formula>AND($B24&lt;&gt;"",#REF!="")</formula>
    </cfRule>
  </conditionalFormatting>
  <conditionalFormatting sqref="C56 C34:C35">
    <cfRule type="containsBlanks" dxfId="732" priority="5">
      <formula>LEN(TRIM(C34))=0</formula>
    </cfRule>
  </conditionalFormatting>
  <conditionalFormatting sqref="C39:C40">
    <cfRule type="expression" dxfId="731" priority="4">
      <formula>AND($B39&lt;&gt;"",$C39="")</formula>
    </cfRule>
  </conditionalFormatting>
  <conditionalFormatting sqref="C39:C40">
    <cfRule type="expression" dxfId="730" priority="3">
      <formula>$B39=""</formula>
    </cfRule>
  </conditionalFormatting>
  <conditionalFormatting sqref="D39:D40">
    <cfRule type="expression" dxfId="729" priority="1">
      <formula>$B39=""</formula>
    </cfRule>
  </conditionalFormatting>
  <conditionalFormatting sqref="D39:D40">
    <cfRule type="containsBlanks" dxfId="728" priority="2">
      <formula>LEN(TRIM(D39))=0</formula>
    </cfRule>
  </conditionalFormatting>
  <dataValidations count="15">
    <dataValidation type="list" allowBlank="1" showInputMessage="1" showErrorMessage="1" sqref="C7" xr:uid="{00000000-0002-0000-0700-000000000000}">
      <formula1>"COTS,Développement interne"</formula1>
    </dataValidation>
    <dataValidation type="list" allowBlank="1" showInputMessage="1" showErrorMessage="1" sqref="C23" xr:uid="{00000000-0002-0000-0700-000001000000}">
      <formula1>"Très haut,Haut,Moyen,Faible,Inexistant"</formula1>
    </dataValidation>
    <dataValidation type="list" allowBlank="1" showInputMessage="1" showErrorMessage="1" sqref="C14" xr:uid="{00000000-0002-0000-0700-000002000000}">
      <formula1>"Primoridal,Critique,Moyen,Faible"</formula1>
    </dataValidation>
    <dataValidation type="list" allowBlank="1" showInputMessage="1" showErrorMessage="1" sqref="C29 C36 C58:C59 C52 C54 C27 C47 C43:C44 C25 C12" xr:uid="{00000000-0002-0000-0700-000003000000}">
      <formula1>"Oui,Non"</formula1>
    </dataValidation>
    <dataValidation type="list" allowBlank="1" showInputMessage="1" showErrorMessage="1" sqref="C33" xr:uid="{00000000-0002-0000-0700-000004000000}">
      <formula1>"Nominatives,Partagées"</formula1>
    </dataValidation>
    <dataValidation type="list" allowBlank="1" showInputMessage="1" showErrorMessage="1" sqref="C37" xr:uid="{00000000-0002-0000-0700-000005000000}">
      <formula1>"Global,Dédié"</formula1>
    </dataValidation>
    <dataValidation type="list" allowBlank="1" showInputMessage="1" showErrorMessage="1" sqref="C45" xr:uid="{00000000-0002-0000-0700-000006000000}">
      <formula1>"On-site,Cloud"</formula1>
    </dataValidation>
    <dataValidation type="list" allowBlank="1" showInputMessage="1" showErrorMessage="1" sqref="C46" xr:uid="{00000000-0002-0000-0700-000007000000}">
      <formula1>"SaaS,Infra gérée"</formula1>
    </dataValidation>
    <dataValidation type="list" allowBlank="1" showInputMessage="1" showErrorMessage="1" sqref="C48" xr:uid="{00000000-0002-0000-0700-000008000000}">
      <formula1>"Achat,Location,Sous-traitance"</formula1>
    </dataValidation>
    <dataValidation type="list" allowBlank="1" showInputMessage="1" showErrorMessage="1" sqref="C38" xr:uid="{00000000-0002-0000-0700-000009000000}">
      <formula1>"Oui et oui,Oui et non,Non pour les 2"</formula1>
    </dataValidation>
    <dataValidation type="list" allowBlank="1" showInputMessage="1" showErrorMessage="1" sqref="C26" xr:uid="{00000000-0002-0000-0700-00000A000000}">
      <formula1>"Smartphone,Tablette,Les 2"</formula1>
    </dataValidation>
    <dataValidation type="list" allowBlank="1" showInputMessage="1" showErrorMessage="1" sqref="C16:C19" xr:uid="{00000000-0002-0000-0700-00000B000000}">
      <formula1>"Oui,Non il fait l'objet d'une solution séparée,Non nous n'en avons pas"</formula1>
    </dataValidation>
    <dataValidation type="list" allowBlank="1" showInputMessage="1" showErrorMessage="1" sqref="C41" xr:uid="{00000000-0002-0000-0700-00000C000000}">
      <formula1>"IT Groupe,IT Local,Les 2"</formula1>
    </dataValidation>
    <dataValidation type="list" allowBlank="1" showInputMessage="1" showErrorMessage="1" sqref="F21:F23 F36 F57:F58" xr:uid="{00000000-0002-0000-0700-00000D000000}">
      <formula1>"Oui,Non,Détails"</formula1>
    </dataValidation>
    <dataValidation type="list" allowBlank="1" showInputMessage="1" showErrorMessage="1" sqref="F53 F20 F7:F18 F62:F63 F48:F51 F30:F35 F55 F24:F28 F37:F38 F59 F42:F46" xr:uid="{00000000-0002-0000-0700-00000E000000}">
      <formula1>"Oui,Non,Pourquoi?"</formula1>
    </dataValidation>
  </dataValidations>
  <hyperlinks>
    <hyperlink ref="A1" location="Sommaire!A1" display="Retour à la page d'accueil" xr:uid="{00000000-0004-0000-0700-000000000000}"/>
    <hyperlink ref="A1:B1" location="Accueil!A1" display="Retour à la page d'accueil" xr:uid="{00000000-0004-0000-0700-000001000000}"/>
  </hyperlinks>
  <pageMargins left="0.7" right="0.7" top="0.75" bottom="0.75"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499984740745262"/>
  </sheetPr>
  <dimension ref="A1:F123"/>
  <sheetViews>
    <sheetView showGridLines="0" workbookViewId="0">
      <pane ySplit="6" topLeftCell="A7" activePane="bottomLeft" state="frozen"/>
      <selection pane="bottomLeft" sqref="A1:B1"/>
    </sheetView>
  </sheetViews>
  <sheetFormatPr defaultColWidth="11.42578125" defaultRowHeight="14.25"/>
  <cols>
    <col min="1" max="1" width="2.28515625" customWidth="1"/>
    <col min="2" max="2" width="63.140625" style="10" customWidth="1"/>
    <col min="3" max="3" width="32.42578125" style="15" customWidth="1"/>
    <col min="4" max="4" width="44.42578125" customWidth="1"/>
    <col min="5" max="5" width="6.28515625" hidden="1" customWidth="1"/>
    <col min="6" max="6" width="37.140625" customWidth="1"/>
  </cols>
  <sheetData>
    <row r="1" spans="1:6">
      <c r="A1" s="302" t="s">
        <v>26</v>
      </c>
      <c r="B1" s="302"/>
    </row>
    <row r="2" spans="1:6" ht="36">
      <c r="B2" s="28" t="s">
        <v>685</v>
      </c>
      <c r="C2" s="114" t="s">
        <v>686</v>
      </c>
    </row>
    <row r="3" spans="1:6">
      <c r="B3" s="13" t="s">
        <v>578</v>
      </c>
    </row>
    <row r="4" spans="1:6">
      <c r="B4" s="13" t="s">
        <v>579</v>
      </c>
    </row>
    <row r="6" spans="1:6" ht="15">
      <c r="B6" s="29" t="s">
        <v>580</v>
      </c>
      <c r="C6" s="30" t="s">
        <v>581</v>
      </c>
      <c r="D6" s="30" t="s">
        <v>118</v>
      </c>
      <c r="E6" s="30" t="s">
        <v>31</v>
      </c>
      <c r="F6" s="30" t="s">
        <v>28</v>
      </c>
    </row>
    <row r="7" spans="1:6">
      <c r="B7" s="6" t="str">
        <f>IF(C2="Oui existant","COTS ou Développement interne? (Commercial Off-The-Shelf solution)","Vous prévoyez quel type de solution?: COTS ou Développement interne? (Commercial Off-The-Shelf solution)")</f>
        <v>COTS ou Développement interne? (Commercial Off-The-Shelf solution)</v>
      </c>
      <c r="C7" s="185" t="s">
        <v>687</v>
      </c>
      <c r="D7" s="21"/>
      <c r="E7" s="12">
        <f>IF(TRIM(B7)="","",IF(TRIM(C7)="",0,1))</f>
        <v>1</v>
      </c>
      <c r="F7" s="164" t="s">
        <v>54</v>
      </c>
    </row>
    <row r="8" spans="1:6">
      <c r="B8" s="6" t="str">
        <f>IF(C7="COTS","Nom de l'éditeur","")</f>
        <v/>
      </c>
      <c r="C8" s="20" t="s">
        <v>688</v>
      </c>
      <c r="D8" s="20"/>
      <c r="E8" s="12" t="str">
        <f t="shared" ref="E8:E61" si="0">IF(TRIM(B8)="","",IF(TRIM(C8)="",0,1))</f>
        <v/>
      </c>
      <c r="F8" s="164" t="s">
        <v>54</v>
      </c>
    </row>
    <row r="9" spans="1:6" ht="38.25">
      <c r="B9" s="6" t="str">
        <f>IF(C2="Oui existant","Nom de la solution",IF(AND(C7&lt;&gt;"Non prévu",C7&lt;&gt;""),"Nom de la solution (si déjà identifiée)",""))</f>
        <v>Nom de la solution</v>
      </c>
      <c r="C9" s="20" t="s">
        <v>689</v>
      </c>
      <c r="D9" s="244" t="s">
        <v>690</v>
      </c>
      <c r="E9" s="12">
        <f t="shared" si="0"/>
        <v>1</v>
      </c>
      <c r="F9" s="164" t="s">
        <v>54</v>
      </c>
    </row>
    <row r="10" spans="1:6">
      <c r="B10" s="6" t="str">
        <f>IF(C2="Oui existant","Quelle est la version/release de l'application ?",IF(C7="COTS","Quelle est la version/release qui sera implémentée ?",""))</f>
        <v>Quelle est la version/release de l'application ?</v>
      </c>
      <c r="C10" s="20" t="s">
        <v>691</v>
      </c>
      <c r="D10" s="20"/>
      <c r="E10" s="12">
        <f>IF(TRIM(B10)="","",IF(TRIM(C10)="",0,1))</f>
        <v>1</v>
      </c>
      <c r="F10" s="164" t="s">
        <v>54</v>
      </c>
    </row>
    <row r="11" spans="1:6">
      <c r="B11" s="6" t="str">
        <f>IF(C2="Oui existant","Quelle est la dernière version de l'application ?",IF(C7="COTS","Quelle est la dernière version de cette nouvelle solution ?",""))</f>
        <v>Quelle est la dernière version de l'application ?</v>
      </c>
      <c r="C11" s="20" t="s">
        <v>691</v>
      </c>
      <c r="D11" s="20"/>
      <c r="E11" s="12">
        <f>IF(TRIM(B11)="","",IF(TRIM(C11)="",0,1))</f>
        <v>1</v>
      </c>
      <c r="F11" s="164" t="s">
        <v>54</v>
      </c>
    </row>
    <row r="12" spans="1:6">
      <c r="B12" s="6" t="str">
        <f>IF(C2="Oui existant","Etes-vous au courant d’une évolution majeure en cours sur cette application","")</f>
        <v>Etes-vous au courant d’une évolution majeure en cours sur cette application</v>
      </c>
      <c r="C12" s="20" t="s">
        <v>54</v>
      </c>
      <c r="D12" s="20"/>
      <c r="E12" s="12">
        <f>IF(TRIM(B12)="","",IF(TRIM(C12)="",0,1))</f>
        <v>1</v>
      </c>
      <c r="F12" s="164" t="s">
        <v>54</v>
      </c>
    </row>
    <row r="13" spans="1:6">
      <c r="B13" s="6" t="str">
        <f>IF(C2="Oui existant","Qui contrôle les évolutions sur cette Application ?","")</f>
        <v>Qui contrôle les évolutions sur cette Application ?</v>
      </c>
      <c r="C13" s="185" t="s">
        <v>692</v>
      </c>
      <c r="D13" s="20"/>
      <c r="E13" s="12">
        <f>IF(TRIM(B13)="","",IF(TRIM(C13)="",0,1))</f>
        <v>1</v>
      </c>
      <c r="F13" s="164" t="s">
        <v>54</v>
      </c>
    </row>
    <row r="14" spans="1:6" s="9" customFormat="1" ht="25.5">
      <c r="B14" s="7" t="str">
        <f>IF(C2="Oui existant","Quelle est la criticité de cette application ? combien de temps peut-on supporter son indisponibilité (colonne détail) ?","Quelle est la criticité de ce besoin ?")</f>
        <v>Quelle est la criticité de cette application ? combien de temps peut-on supporter son indisponibilité (colonne détail) ?</v>
      </c>
      <c r="C14" s="20" t="s">
        <v>619</v>
      </c>
      <c r="D14" s="21"/>
      <c r="E14" s="12">
        <f>IF(TRIM(B14)="","",IF(TRIM(C14)="",0,1))</f>
        <v>1</v>
      </c>
      <c r="F14" s="164" t="s">
        <v>54</v>
      </c>
    </row>
    <row r="15" spans="1:6">
      <c r="B15" s="6" t="str">
        <f>IF(C7="COTS","Est-ce un module du CBS ou une  solution séparée?","")</f>
        <v/>
      </c>
      <c r="C15" s="20"/>
      <c r="D15" s="20"/>
      <c r="E15" s="12" t="str">
        <f t="shared" si="0"/>
        <v/>
      </c>
      <c r="F15" s="164" t="s">
        <v>54</v>
      </c>
    </row>
    <row r="16" spans="1:6">
      <c r="B16" s="6" t="str">
        <f>IF(C2="Oui existant","Quand l’application a-t-elle été implémentée ?",IF(AND(C7&lt;&gt;"Non prévu",C7&lt;&gt;""),"Quand l’application sera-t-elle implémentée ?",""))</f>
        <v>Quand l’application a-t-elle été implémentée ?</v>
      </c>
      <c r="C16" s="20">
        <v>2024</v>
      </c>
      <c r="D16" s="156" t="s">
        <v>693</v>
      </c>
      <c r="E16" s="12">
        <f t="shared" si="0"/>
        <v>1</v>
      </c>
      <c r="F16" s="164" t="s">
        <v>54</v>
      </c>
    </row>
    <row r="17" spans="2:6">
      <c r="B17" s="6" t="str">
        <f>IF(C2="Oui existant","Qui l'a implémenté ?",IF(AND(C7&lt;&gt;"Non prévu",C7&lt;&gt;""),"Qui doit l'implémenter ?",""))</f>
        <v>Qui l'a implémenté ?</v>
      </c>
      <c r="C17" s="20" t="s">
        <v>688</v>
      </c>
      <c r="D17" s="20"/>
      <c r="E17" s="12">
        <f t="shared" si="0"/>
        <v>1</v>
      </c>
      <c r="F17" s="164" t="s">
        <v>54</v>
      </c>
    </row>
    <row r="18" spans="2:6" ht="38.25">
      <c r="B18" s="6" t="str">
        <f>IF(C2="Oui existant","Quels sont les processus fonctionnels couverts ?",IF(AND(C7&lt;&gt;"Non prévu",C7&lt;&gt;""),"Quels sont les processus fonctionnels qui doivent être couverts ?",""))</f>
        <v>Quels sont les processus fonctionnels couverts ?</v>
      </c>
      <c r="C18" s="20" t="s">
        <v>694</v>
      </c>
      <c r="D18" s="20"/>
      <c r="E18" s="12">
        <f t="shared" si="0"/>
        <v>1</v>
      </c>
      <c r="F18" s="164" t="s">
        <v>54</v>
      </c>
    </row>
    <row r="19" spans="2:6">
      <c r="B19" s="6" t="str">
        <f>IF(C2="Oui existant","Est-ce que la solution est integrée au CBS ?",IF(AND(C7&lt;&gt;"Non prévu",C7&lt;&gt;""),"Est-ce que la solution sera integrée au CBS ?",""))</f>
        <v>Est-ce que la solution est integrée au CBS ?</v>
      </c>
      <c r="C19" s="20" t="s">
        <v>54</v>
      </c>
      <c r="D19" s="20"/>
      <c r="E19" s="12">
        <f t="shared" ref="E19:E20" si="1">IF(TRIM(B19)="","",IF(TRIM(C19)="",0,1))</f>
        <v>1</v>
      </c>
      <c r="F19" s="164" t="s">
        <v>54</v>
      </c>
    </row>
    <row r="20" spans="2:6">
      <c r="B20" s="6" t="str">
        <f>IF(C19="Oui",IF(C2="Oui existant","Comment et quels sont les processus et données qui transitent ?",IF(AND(C7&lt;&gt;"Non prévu",C7&lt;&gt;""),"Comment et quels seront les processus et données qui vont transiter ?","")),"")</f>
        <v/>
      </c>
      <c r="C20" s="20"/>
      <c r="D20" s="20"/>
      <c r="E20" s="12" t="str">
        <f t="shared" si="1"/>
        <v/>
      </c>
      <c r="F20" s="164" t="s">
        <v>54</v>
      </c>
    </row>
    <row r="21" spans="2:6">
      <c r="B21" s="6" t="str">
        <f>IF(C2="Oui existant","Quel est le niveau de personnalisation de l’Application ?",IF(C7="COTS","Quel est le niveau de personnalisation prévu de l’Application ?",""))</f>
        <v>Quel est le niveau de personnalisation de l’Application ?</v>
      </c>
      <c r="C21" s="185" t="s">
        <v>619</v>
      </c>
      <c r="D21" s="20"/>
      <c r="E21" s="12">
        <f t="shared" si="0"/>
        <v>1</v>
      </c>
      <c r="F21" s="164" t="s">
        <v>54</v>
      </c>
    </row>
    <row r="22" spans="2:6">
      <c r="B22" s="6" t="str">
        <f>IF(C2="Oui existant","Quelle(s) technologie(s) sous-jacente(s) ?","")</f>
        <v>Quelle(s) technologie(s) sous-jacente(s) ?</v>
      </c>
      <c r="C22" s="20" t="s">
        <v>60</v>
      </c>
      <c r="D22" s="20"/>
      <c r="E22" s="12">
        <f t="shared" si="0"/>
        <v>1</v>
      </c>
      <c r="F22" s="164" t="s">
        <v>54</v>
      </c>
    </row>
    <row r="23" spans="2:6">
      <c r="B23" s="6" t="str">
        <f>IF(C2="Oui existant","Est-ce que cette solution dispose d'une interface Mobile?",IF(AND(C7&lt;&gt;"Non prévu",C7&lt;&gt;""),"Est-ce qu'il est prévu une version Mobile ?",""))</f>
        <v>Est-ce que cette solution dispose d'une interface Mobile?</v>
      </c>
      <c r="C23" s="20" t="s">
        <v>54</v>
      </c>
      <c r="D23" s="20"/>
      <c r="E23" s="12">
        <f t="shared" si="0"/>
        <v>1</v>
      </c>
      <c r="F23" s="164" t="s">
        <v>54</v>
      </c>
    </row>
    <row r="24" spans="2:6">
      <c r="B24" s="6" t="str">
        <f>IF(AND(C7&lt;&gt;"Non prévu",C7&lt;&gt;""),IF(C23="Oui","Dispose-t-elle d'une version smartphone ou tablette ou les 2  ?",""),"")</f>
        <v/>
      </c>
      <c r="C24" s="22"/>
      <c r="D24" s="20"/>
      <c r="E24" s="12" t="str">
        <f t="shared" si="0"/>
        <v/>
      </c>
      <c r="F24" s="164" t="s">
        <v>54</v>
      </c>
    </row>
    <row r="25" spans="2:6" ht="25.5">
      <c r="B25" s="249" t="str">
        <f>IF(C2="Oui existant","Est-ce qu'il est prévu de remplacer cette solution par une autre ? Si oui, veuillez mettre le nom de la nouvelle solution et la période prévue dans la colonne détails","")</f>
        <v>Est-ce qu'il est prévu de remplacer cette solution par une autre ? Si oui, veuillez mettre le nom de la nouvelle solution et la période prévue dans la colonne détails</v>
      </c>
      <c r="C25" s="185" t="s">
        <v>54</v>
      </c>
      <c r="D25" s="215" t="s">
        <v>695</v>
      </c>
      <c r="E25" s="12">
        <f t="shared" si="0"/>
        <v>1</v>
      </c>
      <c r="F25" s="164" t="s">
        <v>696</v>
      </c>
    </row>
    <row r="26" spans="2:6">
      <c r="B26" s="249" t="str">
        <f>IF(C2="Oui existant","Quel est le nombre d’utilisateurs finaux de cette application ?",IF(AND(C7&lt;&gt;"Non prévu",C7&lt;&gt;""),"Quel est le nombre d’utilisateurs finaux prévus pour cette application ?",""))</f>
        <v>Quel est le nombre d’utilisateurs finaux de cette application ?</v>
      </c>
      <c r="C26" s="250" t="s">
        <v>697</v>
      </c>
      <c r="D26" s="20"/>
      <c r="E26" s="12">
        <f t="shared" si="0"/>
        <v>1</v>
      </c>
      <c r="F26" s="164" t="s">
        <v>698</v>
      </c>
    </row>
    <row r="27" spans="2:6">
      <c r="B27" s="6" t="str">
        <f>IF(C2="Oui existant","Y a-t-il des utilisateurs du Groupe sur les activités de la filiale ?","")</f>
        <v>Y a-t-il des utilisateurs du Groupe sur les activités de la filiale ?</v>
      </c>
      <c r="C27" s="20" t="s">
        <v>39</v>
      </c>
      <c r="D27" s="20"/>
      <c r="E27" s="12">
        <f t="shared" si="0"/>
        <v>1</v>
      </c>
      <c r="F27" s="164" t="s">
        <v>54</v>
      </c>
    </row>
    <row r="28" spans="2:6">
      <c r="B28" s="6" t="str">
        <f>IF(C27="Oui","Quel est le ratio  ?","")</f>
        <v>Quel est le ratio  ?</v>
      </c>
      <c r="C28" s="20" t="s">
        <v>25</v>
      </c>
      <c r="D28" s="20"/>
      <c r="E28" s="12">
        <f t="shared" si="0"/>
        <v>1</v>
      </c>
      <c r="F28" s="164" t="s">
        <v>54</v>
      </c>
    </row>
    <row r="29" spans="2:6">
      <c r="B29" s="6" t="str">
        <f>IF(C2="Oui existant","Quels ont été les acquisitions de licences détaillées (nombre, date, coût) ?","")</f>
        <v>Quels ont été les acquisitions de licences détaillées (nombre, date, coût) ?</v>
      </c>
      <c r="C29" s="245" t="s">
        <v>368</v>
      </c>
      <c r="D29" s="20"/>
      <c r="E29" s="12">
        <f t="shared" si="0"/>
        <v>1</v>
      </c>
      <c r="F29" s="164" t="s">
        <v>54</v>
      </c>
    </row>
    <row r="30" spans="2:6">
      <c r="B30" s="6" t="str">
        <f>IF(C2="Oui existant","Quel est le nombre actuel de licences détenues par la filiale?",IF(C7="COTS","Combien de licences projettez-vous d'acquérir ?",""))</f>
        <v>Quel est le nombre actuel de licences détenues par la filiale?</v>
      </c>
      <c r="C30" s="245" t="s">
        <v>368</v>
      </c>
      <c r="D30" s="20"/>
      <c r="E30" s="12">
        <f t="shared" si="0"/>
        <v>1</v>
      </c>
      <c r="F30" s="164" t="s">
        <v>54</v>
      </c>
    </row>
    <row r="31" spans="2:6">
      <c r="B31" s="6" t="str">
        <f>IF(C2="Oui existant","Quel type de licences (nominatives/partagées) ?",IF(C7="COTS","Est-ce que ce sera des licences nominatives ou partagées ?",""))</f>
        <v>Quel type de licences (nominatives/partagées) ?</v>
      </c>
      <c r="C31" s="245" t="s">
        <v>368</v>
      </c>
      <c r="D31" s="20"/>
      <c r="E31" s="12">
        <f t="shared" si="0"/>
        <v>1</v>
      </c>
      <c r="F31" s="164" t="s">
        <v>54</v>
      </c>
    </row>
    <row r="32" spans="2:6" ht="38.25">
      <c r="B32" s="6" t="str">
        <f>IF(C2="Oui existant","Des licences supplémentaires sont-elles nécessaires pour l'utilisation de l'application (outil supplémentaire, interfaces, modules complémentaires, …) ? Par module / par utilisateur ?",IF(C7="COTS","Est-ce que vous projettez d'acquérir d'autres licences dans un second temps ? combien et quand ?",""))</f>
        <v>Des licences supplémentaires sont-elles nécessaires pour l'utilisation de l'application (outil supplémentaire, interfaces, modules complémentaires, …) ? Par module / par utilisateur ?</v>
      </c>
      <c r="C32" s="245" t="s">
        <v>368</v>
      </c>
      <c r="D32" s="21" t="s">
        <v>368</v>
      </c>
      <c r="E32" s="12">
        <f t="shared" si="0"/>
        <v>1</v>
      </c>
      <c r="F32" s="164" t="s">
        <v>54</v>
      </c>
    </row>
    <row r="33" spans="2:6">
      <c r="B33" s="6" t="str">
        <f>IF(C2="Oui existant","Quel est le coût du support éditeur ?",IF(C7="COTS","Quel sera le coût du support éditeur ?",""))</f>
        <v>Quel est le coût du support éditeur ?</v>
      </c>
      <c r="C33" s="245" t="s">
        <v>368</v>
      </c>
      <c r="D33" s="20"/>
      <c r="E33" s="12">
        <f t="shared" si="0"/>
        <v>1</v>
      </c>
      <c r="F33" s="164" t="s">
        <v>54</v>
      </c>
    </row>
    <row r="34" spans="2:6" ht="25.5">
      <c r="B34" s="6" t="str">
        <f>IF(C2="Oui existant","Existe-t-il un contrat de support avec un fournisseur ou un partenaire ? Pouvez-vous le partager ?","")</f>
        <v>Existe-t-il un contrat de support avec un fournisseur ou un partenaire ? Pouvez-vous le partager ?</v>
      </c>
      <c r="C34" s="20" t="s">
        <v>54</v>
      </c>
      <c r="D34" s="20"/>
      <c r="E34" s="12">
        <f t="shared" si="0"/>
        <v>1</v>
      </c>
      <c r="F34" s="164" t="s">
        <v>118</v>
      </c>
    </row>
    <row r="35" spans="2:6">
      <c r="B35" s="6" t="str">
        <f>IF(C2="Oui existant","Le contrat est-il global couvrant plusieurs filiales ou dédié à la filiale ?",IF(C7="COTS","Projettez-vous une acquisition individuelle ou groupe ?",""))</f>
        <v>Le contrat est-il global couvrant plusieurs filiales ou dédié à la filiale ?</v>
      </c>
      <c r="C35" s="212" t="s">
        <v>29</v>
      </c>
      <c r="D35" s="20"/>
      <c r="E35" s="12">
        <f t="shared" si="0"/>
        <v>1</v>
      </c>
      <c r="F35" s="164" t="s">
        <v>54</v>
      </c>
    </row>
    <row r="36" spans="2:6" ht="25.5">
      <c r="B36" s="6" t="str">
        <f>IF(C2="Oui existant","Le contrat comprend-il un SLA formel ? Cela inclut-il un engagement de performance ?","")</f>
        <v>Le contrat comprend-il un SLA formel ? Cela inclut-il un engagement de performance ?</v>
      </c>
      <c r="C36" s="212" t="s">
        <v>641</v>
      </c>
      <c r="D36" s="20"/>
      <c r="E36" s="12">
        <f>IF(TRIM(B36)="","",IF(TRIM(C36)="",0,1))</f>
        <v>1</v>
      </c>
      <c r="F36" s="164" t="s">
        <v>63</v>
      </c>
    </row>
    <row r="37" spans="2:6" ht="395.25">
      <c r="B37" s="249" t="str">
        <f>IF(C2="Oui existant","Combien de ETP internes sont dédiés aux support (Niveaux 1, 2 et 3) de cette solution ?
Veuillez décrire dans la colonne détail de quelle entité sont-ils (Holding ou pays), la répartition des principales activités, les compétences et les rôles",IF(AND(C7&lt;&gt;"Non prévu",C7&lt;&gt;""),"Combien de ETP internes projettez-vous de dédier aux support (Niveaux 1, 2 et 3) de cette solution ?",""))</f>
        <v>Combien de ETP internes sont dédiés aux support (Niveaux 1, 2 et 3) de cette solution ?
Veuillez décrire dans la colonne détail de quelle entité sont-ils (Holding ou pays), la répartition des principales activités, les compétences et les rôles</v>
      </c>
      <c r="C37" s="246" t="s">
        <v>699</v>
      </c>
      <c r="D37" s="246" t="s">
        <v>700</v>
      </c>
      <c r="E37" s="12">
        <f t="shared" si="0"/>
        <v>1</v>
      </c>
      <c r="F37" s="164" t="s">
        <v>701</v>
      </c>
    </row>
    <row r="38" spans="2:6" ht="51">
      <c r="B38" s="249" t="str">
        <f>IF(C2="Oui existant","Combien de ETP internes sont dédiés aux changes opérés sur cette solution (incluant Dev, Config, Mise en prod) ?
Veuillez décrire dans la col. détail de quelle entité sont-ils (Holding ou pays), la répartition des activités, les compétences et les rôles",IF(AND(C7&lt;&gt;"Non prévu",C7&lt;&gt;""),"Combien de ETP internes projettez-vous de dédier aux futurs changes sur cette solution (incluant Dev, Config, Mise en prod) ?",""))</f>
        <v>Combien de ETP internes sont dédiés aux changes opérés sur cette solution (incluant Dev, Config, Mise en prod) ?
Veuillez décrire dans la col. détail de quelle entité sont-ils (Holding ou pays), la répartition des activités, les compétences et les rôles</v>
      </c>
      <c r="C38" s="247" t="s">
        <v>702</v>
      </c>
      <c r="D38" s="21" t="s">
        <v>703</v>
      </c>
      <c r="E38" s="12">
        <f t="shared" si="0"/>
        <v>1</v>
      </c>
      <c r="F38" s="164" t="s">
        <v>704</v>
      </c>
    </row>
    <row r="39" spans="2:6" ht="25.5">
      <c r="B39" s="6" t="str">
        <f>IF(C2="Oui existant","Qui administre cette solution et apporte le support aux utilisateurs l'IT Groupe, l'IT local ou les 2 ?",IF(AND(C7&lt;&gt;"Non prévu",C7&lt;&gt;""),"Qui va administrer cette solution et apporter le support aux utilisateurs: l'IT Groupe, l'IT local ou les 2 ?",""))</f>
        <v>Qui administre cette solution et apporte le support aux utilisateurs l'IT Groupe, l'IT local ou les 2 ?</v>
      </c>
      <c r="C39" s="20" t="s">
        <v>705</v>
      </c>
      <c r="D39" s="245" t="s">
        <v>56</v>
      </c>
      <c r="E39" s="12">
        <f t="shared" si="0"/>
        <v>1</v>
      </c>
      <c r="F39" s="164" t="s">
        <v>701</v>
      </c>
    </row>
    <row r="40" spans="2:6">
      <c r="B40" s="6" t="str">
        <f>IF(C39="Les 2","A quelle proportion chacun ? et existe-t-il un SLA interne entre Group IT et la filiale ? S'il existe, pouvez-vous le partager
vous pouvez décrire dans la partie détails les responsabilités de chaque partie","")</f>
        <v/>
      </c>
      <c r="C40" s="20"/>
      <c r="D40" s="21"/>
      <c r="E40" s="12" t="str">
        <f t="shared" si="0"/>
        <v/>
      </c>
      <c r="F40" s="164"/>
    </row>
    <row r="41" spans="2:6" ht="25.5">
      <c r="B41" s="6" t="str">
        <f>IF(C2="Oui existant","Avez-vous un historique des KPI pour la disponibilité et le support de cette application ? Si oui, pouvez-vous les partager","")</f>
        <v>Avez-vous un historique des KPI pour la disponibilité et le support de cette application ? Si oui, pouvez-vous les partager</v>
      </c>
      <c r="C41" s="20" t="s">
        <v>54</v>
      </c>
      <c r="D41" s="20"/>
      <c r="E41" s="12">
        <f t="shared" si="0"/>
        <v>1</v>
      </c>
      <c r="F41" s="164" t="s">
        <v>706</v>
      </c>
    </row>
    <row r="42" spans="2:6">
      <c r="B42" s="6" t="str">
        <f>IF(C2="Oui existant","Existe-t-il un processus de suivi des contrats groupe et tiers ?","")</f>
        <v>Existe-t-il un processus de suivi des contrats groupe et tiers ?</v>
      </c>
      <c r="C42" s="20" t="s">
        <v>54</v>
      </c>
      <c r="D42" s="20"/>
      <c r="E42" s="12">
        <f t="shared" si="0"/>
        <v>1</v>
      </c>
      <c r="F42" s="164" t="s">
        <v>54</v>
      </c>
    </row>
    <row r="43" spans="2:6" ht="25.5">
      <c r="B43" s="6" t="str">
        <f>IF(C2="Oui existant","L'application est-elle installée sur site ou utilisée sur le Cloud (SaaS) ?",IF(AND(C7&lt;&gt;"Non prévu",C7&lt;&gt;""),"La nouvelle solution sera-t-elle installée sur site ou utilisée sur le Cloud (SaaS) ?",""))</f>
        <v>L'application est-elle installée sur site ou utilisée sur le Cloud (SaaS) ?</v>
      </c>
      <c r="C43" s="20" t="s">
        <v>707</v>
      </c>
      <c r="D43" s="245" t="s">
        <v>708</v>
      </c>
      <c r="E43" s="12">
        <f t="shared" si="0"/>
        <v>1</v>
      </c>
      <c r="F43" s="164" t="s">
        <v>709</v>
      </c>
    </row>
    <row r="44" spans="2:6">
      <c r="B44" s="6" t="str">
        <f>IF(AND(C43="Cloud",C7="COTS"),"Est-ce entièrement SaaS ou Infra gérée par l'équipe locale ?","")</f>
        <v/>
      </c>
      <c r="C44" s="213" t="s">
        <v>710</v>
      </c>
      <c r="D44" s="20"/>
      <c r="E44" s="12" t="str">
        <f t="shared" si="0"/>
        <v/>
      </c>
      <c r="F44" s="164"/>
    </row>
    <row r="45" spans="2:6" ht="25.5">
      <c r="B45" s="6" t="str">
        <f>IF(C2="Oui existant","S'agit-il d'une architecture Client/Serveur à 3 niveaux ? Décrivez s'il vous plait","")</f>
        <v>S'agit-il d'une architecture Client/Serveur à 3 niveaux ? Décrivez s'il vous plait</v>
      </c>
      <c r="C45" s="20" t="s">
        <v>54</v>
      </c>
      <c r="D45" s="248" t="s">
        <v>708</v>
      </c>
      <c r="E45" s="12">
        <f t="shared" si="0"/>
        <v>1</v>
      </c>
      <c r="F45" s="164" t="s">
        <v>54</v>
      </c>
    </row>
    <row r="46" spans="2:6">
      <c r="B46" s="6" t="str">
        <f>IF(C43="On-site","Comment sont acquis les serveurs (achat/location/sous-traitance) ?","")</f>
        <v/>
      </c>
      <c r="C46" s="22"/>
      <c r="D46" s="20"/>
      <c r="E46" s="12" t="str">
        <f t="shared" si="0"/>
        <v/>
      </c>
      <c r="F46" s="164"/>
    </row>
    <row r="47" spans="2:6" ht="38.25">
      <c r="B47" s="6" t="str">
        <f>IF(C2="Oui existant","Où sont installés les serveurs ?","")</f>
        <v>Où sont installés les serveurs ?</v>
      </c>
      <c r="C47" s="248" t="s">
        <v>708</v>
      </c>
      <c r="D47" s="20"/>
      <c r="E47" s="12">
        <f t="shared" si="0"/>
        <v>1</v>
      </c>
      <c r="F47" s="164" t="s">
        <v>711</v>
      </c>
    </row>
    <row r="48" spans="2:6" ht="38.25">
      <c r="B48" s="6" t="str">
        <f>IF(C2="Oui existant","Sur quels systèmes (versions) cette application s'exécute-t-elle ?",IF(AND(C7&lt;&gt;"Non prévu",C7&lt;&gt;""),"Sur quels systèmes (versions) cette application sera-t-elle implémentée ?",""))</f>
        <v>Sur quels systèmes (versions) cette application s'exécute-t-elle ?</v>
      </c>
      <c r="C48" s="248" t="s">
        <v>708</v>
      </c>
      <c r="D48" s="20"/>
      <c r="E48" s="12">
        <f t="shared" si="0"/>
        <v>1</v>
      </c>
      <c r="F48" s="164" t="s">
        <v>711</v>
      </c>
    </row>
    <row r="49" spans="2:6" ht="38.25">
      <c r="B49" s="6" t="str">
        <f>IF(C2="Oui existant","Sur quelle base de données cette application tourne-t-elle ?",IF(AND(C7&lt;&gt;"Non prévu",C7&lt;&gt;""),"Sur quelle base de données cette application tournera-t-elle ?",""))</f>
        <v>Sur quelle base de données cette application tourne-t-elle ?</v>
      </c>
      <c r="C49" s="248" t="s">
        <v>708</v>
      </c>
      <c r="D49" s="20"/>
      <c r="E49" s="12">
        <f t="shared" si="0"/>
        <v>1</v>
      </c>
      <c r="F49" s="164" t="s">
        <v>711</v>
      </c>
    </row>
    <row r="50" spans="2:6" ht="25.5">
      <c r="B50" s="6" t="str">
        <f>IF(C2="Oui existant","Existe-t-il une architecture haute disponibilité (réplication) ?",IF(AND(C7&lt;&gt;"Non prévu",C7&lt;&gt;""),"Est-ce qu'il est prévu une architecture haute disponibilité (réplication) ?",""))</f>
        <v>Existe-t-il une architecture haute disponibilité (réplication) ?</v>
      </c>
      <c r="C50" s="22" t="s">
        <v>54</v>
      </c>
      <c r="D50" s="245" t="s">
        <v>708</v>
      </c>
      <c r="E50" s="12">
        <f t="shared" si="0"/>
        <v>1</v>
      </c>
      <c r="F50" s="164" t="s">
        <v>54</v>
      </c>
    </row>
    <row r="51" spans="2:6">
      <c r="B51" s="6" t="str">
        <f>IF(C50="Oui","Entièrement ou partiellement ? Actif-Actif ou Actif-Passif ?","")</f>
        <v/>
      </c>
      <c r="C51" s="22"/>
      <c r="D51" s="20"/>
      <c r="E51" s="12" t="str">
        <f t="shared" si="0"/>
        <v/>
      </c>
      <c r="F51" s="164"/>
    </row>
    <row r="52" spans="2:6" ht="25.5">
      <c r="B52" s="6" t="str">
        <f>IF(C2="Oui existant","Existe-t-il un plan de récupération pour cette application ?","")</f>
        <v>Existe-t-il un plan de récupération pour cette application ?</v>
      </c>
      <c r="C52" s="22" t="s">
        <v>54</v>
      </c>
      <c r="D52" s="245" t="s">
        <v>708</v>
      </c>
      <c r="E52" s="12">
        <f t="shared" si="0"/>
        <v>1</v>
      </c>
      <c r="F52" s="164" t="s">
        <v>706</v>
      </c>
    </row>
    <row r="53" spans="2:6" ht="25.5">
      <c r="B53" s="6" t="str">
        <f>IF(C2="Oui existant","Qui gère les données de la base de données ?",IF(AND(C7&lt;&gt;"Non prévu",C7&lt;&gt;""),"Qui va gèrer les données de la base de données ?",""))</f>
        <v>Qui gère les données de la base de données ?</v>
      </c>
      <c r="C53" s="22" t="s">
        <v>688</v>
      </c>
      <c r="D53" s="245" t="s">
        <v>708</v>
      </c>
      <c r="E53" s="12">
        <f t="shared" si="0"/>
        <v>1</v>
      </c>
      <c r="F53" s="164" t="s">
        <v>54</v>
      </c>
    </row>
    <row r="54" spans="2:6" ht="38.25">
      <c r="B54" s="6" t="str">
        <f>IF(C2="Oui existant","Quelles sont les interfaces existantes de cette application ? Veuillez décrire et partager tout document d'architecture",IF(AND(C7&lt;&gt;"Non prévu",C7&lt;&gt;""),"Quelles sont les interfaces prévues ? Veuillez décrire et partager tout document d'architecture cible",""))</f>
        <v>Quelles sont les interfaces existantes de cette application ? Veuillez décrire et partager tout document d'architecture</v>
      </c>
      <c r="C54" s="245" t="s">
        <v>708</v>
      </c>
      <c r="D54" s="248" t="s">
        <v>708</v>
      </c>
      <c r="E54" s="12">
        <f t="shared" si="0"/>
        <v>1</v>
      </c>
      <c r="F54" s="164" t="s">
        <v>54</v>
      </c>
    </row>
    <row r="55" spans="2:6" ht="38.25">
      <c r="B55" s="6" t="str">
        <f>IF(C2="Oui existant","L'application est-elle complètement en temps réel ou y'a-t-il des batchs la nuit ? Décrivez s'il vous plait",IF(AND(C7&lt;&gt;"Non prévu",C7&lt;&gt;""),"L'application sera-t-elle complètement en temps réel ou y'aura-t-il des batchs la nuit ? Décrivez s'il vous plait",""))</f>
        <v>L'application est-elle complètement en temps réel ou y'a-t-il des batchs la nuit ? Décrivez s'il vous plait</v>
      </c>
      <c r="C55" s="245" t="s">
        <v>708</v>
      </c>
      <c r="D55" s="248" t="s">
        <v>708</v>
      </c>
      <c r="E55" s="12">
        <f t="shared" si="0"/>
        <v>1</v>
      </c>
      <c r="F55" s="164" t="s">
        <v>54</v>
      </c>
    </row>
    <row r="56" spans="2:6" ht="38.25">
      <c r="B56" s="6" t="str">
        <f>IF(C2="Oui existant","Avez-vous connaissance d'un quelconque problème potentiel lié à la continuité de cette application (par exemple départ ou indisponibilité des ressources clés, fin de support, bug critique, ...), si oui lequel dans détails ?","")</f>
        <v>Avez-vous connaissance d'un quelconque problème potentiel lié à la continuité de cette application (par exemple départ ou indisponibilité des ressources clés, fin de support, bug critique, ...), si oui lequel dans détails ?</v>
      </c>
      <c r="C56" s="187" t="s">
        <v>39</v>
      </c>
      <c r="D56" s="188" t="s">
        <v>712</v>
      </c>
      <c r="E56" s="12">
        <f t="shared" si="0"/>
        <v>1</v>
      </c>
      <c r="F56" s="164" t="s">
        <v>54</v>
      </c>
    </row>
    <row r="57" spans="2:6">
      <c r="B57" s="6" t="str">
        <f>IF(C2="Oui existant","Est-ce que des sauvegardes sont réalisées régulièrement ?",IF(AND(C7&lt;&gt;"Non prévu",C7&lt;&gt;""),"Est-ce que des sauvegardes sont prévus dès l'implémentation ?",""))</f>
        <v>Est-ce que des sauvegardes sont réalisées régulièrement ?</v>
      </c>
      <c r="C57" s="22" t="s">
        <v>54</v>
      </c>
      <c r="D57" s="20"/>
      <c r="E57" s="12">
        <f t="shared" si="0"/>
        <v>1</v>
      </c>
      <c r="F57" s="164" t="s">
        <v>706</v>
      </c>
    </row>
    <row r="58" spans="2:6">
      <c r="B58" s="6" t="str">
        <f>IF(C57="Oui","A quelle fréquence sont-elles exécutées?","")</f>
        <v/>
      </c>
      <c r="C58" s="22"/>
      <c r="D58" s="20"/>
      <c r="E58" s="12" t="str">
        <f t="shared" si="0"/>
        <v/>
      </c>
      <c r="F58" s="164"/>
    </row>
    <row r="59" spans="2:6">
      <c r="B59" s="6" t="str">
        <f>IF(C57="Oui","Avez-vous une politique de rétention en place ? Si oui, pouvez-vous me la partager?","")</f>
        <v/>
      </c>
      <c r="C59" s="22"/>
      <c r="D59" s="20"/>
      <c r="E59" s="12" t="str">
        <f t="shared" si="0"/>
        <v/>
      </c>
      <c r="F59" s="164"/>
    </row>
    <row r="60" spans="2:6">
      <c r="B60" s="6" t="str">
        <f>IF(C57="Oui","Quelle est la solution de sauvegarde/récupération utilisée ?","")</f>
        <v/>
      </c>
      <c r="C60" s="22"/>
      <c r="D60" s="20"/>
      <c r="E60" s="12" t="str">
        <f t="shared" si="0"/>
        <v/>
      </c>
      <c r="F60" s="164"/>
    </row>
    <row r="61" spans="2:6">
      <c r="B61" s="6" t="str">
        <f>IF(C57="Oui","Quelle est la taille totale estimée des sauvegardes ?","")</f>
        <v/>
      </c>
      <c r="C61" s="22"/>
      <c r="D61" s="20"/>
      <c r="E61" s="12" t="str">
        <f t="shared" si="0"/>
        <v/>
      </c>
      <c r="F61" s="164"/>
    </row>
    <row r="123" spans="1:1">
      <c r="A123" t="s">
        <v>223</v>
      </c>
    </row>
  </sheetData>
  <sheetProtection formatRows="0"/>
  <mergeCells count="1">
    <mergeCell ref="A1:B1"/>
  </mergeCells>
  <conditionalFormatting sqref="B8:B13">
    <cfRule type="containsBlanks" dxfId="727" priority="116">
      <formula>LEN(TRIM(B8))=0</formula>
    </cfRule>
  </conditionalFormatting>
  <conditionalFormatting sqref="B15:B61">
    <cfRule type="containsBlanks" dxfId="726" priority="61">
      <formula>LEN(TRIM(B15))=0</formula>
    </cfRule>
  </conditionalFormatting>
  <conditionalFormatting sqref="C7">
    <cfRule type="containsBlanks" dxfId="725" priority="42">
      <formula>LEN(TRIM(C7))=0</formula>
    </cfRule>
  </conditionalFormatting>
  <conditionalFormatting sqref="C8:C13">
    <cfRule type="expression" dxfId="724" priority="40">
      <formula>AND($B8&lt;&gt;"",$C8="")</formula>
    </cfRule>
  </conditionalFormatting>
  <conditionalFormatting sqref="C14">
    <cfRule type="containsBlanks" dxfId="723" priority="127">
      <formula>LEN(TRIM(C14))=0</formula>
    </cfRule>
  </conditionalFormatting>
  <conditionalFormatting sqref="C15:C24">
    <cfRule type="expression" dxfId="722" priority="63">
      <formula>AND($B15&lt;&gt;"",$C15="")</formula>
    </cfRule>
  </conditionalFormatting>
  <conditionalFormatting sqref="C19">
    <cfRule type="expression" dxfId="721" priority="62">
      <formula>$B19=""</formula>
    </cfRule>
  </conditionalFormatting>
  <conditionalFormatting sqref="C25:C36">
    <cfRule type="expression" dxfId="720" priority="39">
      <formula>AND($B25&lt;&gt;"",$C25="")</formula>
    </cfRule>
  </conditionalFormatting>
  <conditionalFormatting sqref="C39">
    <cfRule type="expression" dxfId="719" priority="79">
      <formula>AND($B39&lt;&gt;"",$C39="")</formula>
    </cfRule>
  </conditionalFormatting>
  <conditionalFormatting sqref="C39:C43">
    <cfRule type="expression" dxfId="718" priority="57">
      <formula>$B39=""</formula>
    </cfRule>
  </conditionalFormatting>
  <conditionalFormatting sqref="C41:C46 C50:C53">
    <cfRule type="expression" dxfId="717" priority="92">
      <formula>AND($B41&lt;&gt;"",$C41="")</formula>
    </cfRule>
  </conditionalFormatting>
  <conditionalFormatting sqref="C44">
    <cfRule type="expression" dxfId="716" priority="123">
      <formula>$B44=""</formula>
    </cfRule>
  </conditionalFormatting>
  <conditionalFormatting sqref="C45">
    <cfRule type="expression" dxfId="715" priority="74">
      <formula>$B45=""</formula>
    </cfRule>
  </conditionalFormatting>
  <conditionalFormatting sqref="C46 C50:C53">
    <cfRule type="expression" dxfId="714" priority="128">
      <formula>$B46=""</formula>
    </cfRule>
  </conditionalFormatting>
  <conditionalFormatting sqref="C54:C55">
    <cfRule type="expression" dxfId="713" priority="73">
      <formula>AND($B54&lt;&gt;"",$C54="")</formula>
    </cfRule>
  </conditionalFormatting>
  <conditionalFormatting sqref="C54:C56">
    <cfRule type="expression" dxfId="712" priority="7">
      <formula>$B54=""</formula>
    </cfRule>
  </conditionalFormatting>
  <conditionalFormatting sqref="C56:C61">
    <cfRule type="expression" dxfId="711" priority="6">
      <formula>AND($B56&lt;&gt;"",$C56="")</formula>
    </cfRule>
  </conditionalFormatting>
  <conditionalFormatting sqref="C8:D13">
    <cfRule type="expression" dxfId="710" priority="41">
      <formula>$B8=""</formula>
    </cfRule>
  </conditionalFormatting>
  <conditionalFormatting sqref="C15:D24">
    <cfRule type="expression" dxfId="709" priority="80">
      <formula>$B15=""</formula>
    </cfRule>
  </conditionalFormatting>
  <conditionalFormatting sqref="C25:D32 C32:C33">
    <cfRule type="expression" dxfId="708" priority="38">
      <formula>$B25=""</formula>
    </cfRule>
  </conditionalFormatting>
  <conditionalFormatting sqref="C33:D36 D37:D38">
    <cfRule type="expression" dxfId="707" priority="68">
      <formula>$B33=""</formula>
    </cfRule>
  </conditionalFormatting>
  <conditionalFormatting sqref="C57:D61">
    <cfRule type="expression" dxfId="706" priority="54">
      <formula>$B57=""</formula>
    </cfRule>
  </conditionalFormatting>
  <conditionalFormatting sqref="D16">
    <cfRule type="expression" dxfId="705" priority="45">
      <formula>AND($B16&lt;&gt;"",$C16="")</formula>
    </cfRule>
  </conditionalFormatting>
  <conditionalFormatting sqref="D32">
    <cfRule type="containsBlanks" dxfId="704" priority="151">
      <formula>LEN(TRIM(D32))=0</formula>
    </cfRule>
  </conditionalFormatting>
  <conditionalFormatting sqref="D37:D38">
    <cfRule type="containsBlanks" dxfId="703" priority="137">
      <formula>LEN(TRIM(D37))=0</formula>
    </cfRule>
  </conditionalFormatting>
  <conditionalFormatting sqref="D39:D56">
    <cfRule type="expression" dxfId="702" priority="5">
      <formula>$B39=""</formula>
    </cfRule>
  </conditionalFormatting>
  <conditionalFormatting sqref="D40">
    <cfRule type="containsBlanks" dxfId="701" priority="55">
      <formula>LEN(TRIM(D40))=0</formula>
    </cfRule>
  </conditionalFormatting>
  <conditionalFormatting sqref="D45">
    <cfRule type="containsBlanks" dxfId="700" priority="135">
      <formula>LEN(TRIM(D45))=0</formula>
    </cfRule>
  </conditionalFormatting>
  <conditionalFormatting sqref="D54:D55">
    <cfRule type="containsBlanks" dxfId="699" priority="131">
      <formula>LEN(TRIM(D54))=0</formula>
    </cfRule>
  </conditionalFormatting>
  <conditionalFormatting sqref="F7">
    <cfRule type="expression" dxfId="698" priority="25">
      <formula>AND($B7&lt;&gt;"",#REF!="")</formula>
    </cfRule>
  </conditionalFormatting>
  <conditionalFormatting sqref="F7:F28">
    <cfRule type="expression" dxfId="697" priority="18">
      <formula>$B7=""</formula>
    </cfRule>
  </conditionalFormatting>
  <conditionalFormatting sqref="F8:F28">
    <cfRule type="expression" dxfId="696" priority="19">
      <formula>AND($B8&lt;&gt;"",#REF!="")</formula>
    </cfRule>
  </conditionalFormatting>
  <conditionalFormatting sqref="F24">
    <cfRule type="expression" dxfId="695" priority="17">
      <formula>AND($B24&lt;&gt;"",#REF!="")</formula>
    </cfRule>
  </conditionalFormatting>
  <conditionalFormatting sqref="F28:F61">
    <cfRule type="expression" dxfId="694" priority="9">
      <formula>AND($B28&lt;&gt;"",#REF!="")</formula>
    </cfRule>
  </conditionalFormatting>
  <conditionalFormatting sqref="F29:F61">
    <cfRule type="expression" dxfId="693" priority="8">
      <formula>$B29=""</formula>
    </cfRule>
  </conditionalFormatting>
  <conditionalFormatting sqref="C47:C49">
    <cfRule type="expression" dxfId="692" priority="3">
      <formula>$B47=""</formula>
    </cfRule>
  </conditionalFormatting>
  <conditionalFormatting sqref="C47:C49">
    <cfRule type="containsBlanks" dxfId="691" priority="4">
      <formula>LEN(TRIM(C47))=0</formula>
    </cfRule>
  </conditionalFormatting>
  <conditionalFormatting sqref="C37:C38">
    <cfRule type="expression" dxfId="690" priority="2">
      <formula>AND($B37&lt;&gt;"",$C37="")</formula>
    </cfRule>
  </conditionalFormatting>
  <conditionalFormatting sqref="C37:C38">
    <cfRule type="expression" dxfId="689" priority="1">
      <formula>$B37=""</formula>
    </cfRule>
  </conditionalFormatting>
  <dataValidations count="15">
    <dataValidation type="list" allowBlank="1" showInputMessage="1" showErrorMessage="1" sqref="C36" xr:uid="{00000000-0002-0000-0800-000000000000}">
      <formula1>"Oui et oui,Oui et non,Non pour les 2"</formula1>
    </dataValidation>
    <dataValidation type="list" allowBlank="1" showInputMessage="1" showErrorMessage="1" sqref="C46" xr:uid="{00000000-0002-0000-0800-000001000000}">
      <formula1>"Achat,Location,Sous-traitance"</formula1>
    </dataValidation>
    <dataValidation type="list" allowBlank="1" showInputMessage="1" showErrorMessage="1" sqref="C44" xr:uid="{00000000-0002-0000-0800-000002000000}">
      <formula1>"SaaS,Infra gérée"</formula1>
    </dataValidation>
    <dataValidation type="list" allowBlank="1" showInputMessage="1" showErrorMessage="1" sqref="C43" xr:uid="{00000000-0002-0000-0800-000003000000}">
      <formula1>"On-site,Cloud"</formula1>
    </dataValidation>
    <dataValidation type="list" allowBlank="1" showInputMessage="1" showErrorMessage="1" sqref="C35:C36" xr:uid="{00000000-0002-0000-0800-000004000000}">
      <formula1>"Global,Dédié"</formula1>
    </dataValidation>
    <dataValidation type="list" allowBlank="1" showInputMessage="1" showErrorMessage="1" sqref="C27 C34 C25 C50 C52 C12 C45 C59 C19 C41:C42 C23 C56:C57" xr:uid="{00000000-0002-0000-0800-000005000000}">
      <formula1>"Oui,Non"</formula1>
    </dataValidation>
    <dataValidation type="list" allowBlank="1" showInputMessage="1" showErrorMessage="1" sqref="C14" xr:uid="{00000000-0002-0000-0800-000006000000}">
      <formula1>"Primoridal,Critique,Moyen,Faible"</formula1>
    </dataValidation>
    <dataValidation type="list" allowBlank="1" showInputMessage="1" showErrorMessage="1" sqref="C21" xr:uid="{00000000-0002-0000-0800-000007000000}">
      <formula1>"Très haut,Haut,Moyen,Faible, Inexistant"</formula1>
    </dataValidation>
    <dataValidation type="list" allowBlank="1" showInputMessage="1" showErrorMessage="1" sqref="C7" xr:uid="{00000000-0002-0000-0800-000008000000}">
      <formula1>"COTS,Développement interne,Développement externalisé,Non prévu"</formula1>
    </dataValidation>
    <dataValidation type="list" allowBlank="1" showInputMessage="1" showErrorMessage="1" sqref="C2" xr:uid="{00000000-0002-0000-0800-000009000000}">
      <formula1>"Oui existant,Non existant"</formula1>
    </dataValidation>
    <dataValidation type="list" allowBlank="1" showInputMessage="1" showErrorMessage="1" sqref="C15" xr:uid="{00000000-0002-0000-0800-00000A000000}">
      <formula1>"Module du CBS,Solution séparée"</formula1>
    </dataValidation>
    <dataValidation type="list" allowBlank="1" showInputMessage="1" showErrorMessage="1" sqref="C24" xr:uid="{00000000-0002-0000-0800-00000B000000}">
      <formula1>"Smartphone,Tablette,Les 2"</formula1>
    </dataValidation>
    <dataValidation type="list" allowBlank="1" showInputMessage="1" showErrorMessage="1" sqref="C39" xr:uid="{00000000-0002-0000-0800-00000C000000}">
      <formula1>"IT Groupe,IT Local,Les 2"</formula1>
    </dataValidation>
    <dataValidation type="list" allowBlank="1" showInputMessage="1" showErrorMessage="1" sqref="F32 F23:F24 F35:F36 F27:F28 F42 F50 F59:F60 F8:F15 F44 F20 F40 F46 F53:F56" xr:uid="{00000000-0002-0000-0800-00000D000000}">
      <formula1>"Oui,Non,Pourquoi?"</formula1>
    </dataValidation>
    <dataValidation type="list" allowBlank="1" showInputMessage="1" showErrorMessage="1" sqref="F58 F34 F21:F22 F45" xr:uid="{00000000-0002-0000-0800-00000E000000}">
      <formula1>"Oui,Non,Détails"</formula1>
    </dataValidation>
  </dataValidations>
  <hyperlinks>
    <hyperlink ref="A1" location="Sommaire!A1" display="Retour à la page d'accueil" xr:uid="{00000000-0004-0000-0800-000000000000}"/>
    <hyperlink ref="A1:B1" location="Accueil!A1" display="Retour à la page d'accueil" xr:uid="{00000000-0004-0000-0800-000001000000}"/>
  </hyperlinks>
  <pageMargins left="0.7" right="0.7" top="0.75" bottom="0.75" header="0.3" footer="0.3"/>
  <pageSetup paperSize="9" orientation="portrait" horizontalDpi="4294967293"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499984740745262"/>
  </sheetPr>
  <dimension ref="A1:K123"/>
  <sheetViews>
    <sheetView showGridLines="0" zoomScale="90" zoomScaleNormal="90" workbookViewId="0">
      <pane ySplit="6" topLeftCell="A7" activePane="bottomLeft" state="frozen"/>
      <selection pane="bottomLeft" activeCell="B2" sqref="B2:F4"/>
    </sheetView>
  </sheetViews>
  <sheetFormatPr defaultColWidth="11.42578125" defaultRowHeight="14.25"/>
  <cols>
    <col min="1" max="1" width="2.28515625" customWidth="1"/>
    <col min="2" max="2" width="63.140625" style="10" customWidth="1"/>
    <col min="3" max="3" width="32.42578125" style="15" customWidth="1"/>
    <col min="4" max="4" width="22.28515625" customWidth="1"/>
    <col min="5" max="5" width="8.140625" hidden="1" customWidth="1"/>
    <col min="6" max="6" width="26.7109375" customWidth="1"/>
    <col min="7" max="7" width="6.85546875" style="16" customWidth="1"/>
    <col min="8" max="8" width="6.85546875" style="171" customWidth="1"/>
    <col min="9" max="9" width="6.85546875" style="172" customWidth="1"/>
    <col min="10" max="10" width="11.42578125" style="172" customWidth="1"/>
    <col min="11" max="11" width="4.85546875" style="172" bestFit="1" customWidth="1"/>
  </cols>
  <sheetData>
    <row r="1" spans="1:11">
      <c r="A1" s="302" t="s">
        <v>26</v>
      </c>
      <c r="B1" s="302"/>
      <c r="C1" s="177" t="s">
        <v>576</v>
      </c>
    </row>
    <row r="2" spans="1:11" ht="18">
      <c r="B2" s="31" t="s">
        <v>713</v>
      </c>
      <c r="C2" s="115" t="s">
        <v>686</v>
      </c>
    </row>
    <row r="3" spans="1:11">
      <c r="B3" s="13" t="s">
        <v>578</v>
      </c>
    </row>
    <row r="4" spans="1:11">
      <c r="B4" s="13" t="s">
        <v>579</v>
      </c>
    </row>
    <row r="6" spans="1:11" ht="15">
      <c r="B6" s="32" t="s">
        <v>580</v>
      </c>
      <c r="C6" s="33" t="s">
        <v>581</v>
      </c>
      <c r="D6" s="33" t="s">
        <v>118</v>
      </c>
      <c r="E6" s="33" t="s">
        <v>31</v>
      </c>
      <c r="F6" s="33" t="s">
        <v>28</v>
      </c>
      <c r="I6" s="171"/>
      <c r="J6" s="178"/>
      <c r="K6" s="178"/>
    </row>
    <row r="7" spans="1:11">
      <c r="B7" s="6" t="str">
        <f>IF(C2="Oui existant","COTS ou Développement interne? (Commercial Off-The-Shelf solution)","Vous prévoyez quel type de solution?: COTS ou Développement interne? (Commercial Off-The-Shelf solution)")</f>
        <v>COTS ou Développement interne? (Commercial Off-The-Shelf solution)</v>
      </c>
      <c r="C7" s="177" t="s">
        <v>687</v>
      </c>
      <c r="D7" s="21"/>
      <c r="E7" s="12">
        <f>IF(TRIM(B7)="","",IF(TRIM(C7)="",0,1))</f>
        <v>1</v>
      </c>
      <c r="F7" s="164" t="s">
        <v>54</v>
      </c>
      <c r="I7" s="171"/>
    </row>
    <row r="8" spans="1:11">
      <c r="B8" s="6" t="str">
        <f>IF(C7="COTS","Nom de l'éditeur","")</f>
        <v/>
      </c>
      <c r="C8" s="158" t="s">
        <v>714</v>
      </c>
      <c r="D8" s="20"/>
      <c r="E8" s="12" t="str">
        <f t="shared" ref="E8:E61" si="0">IF(TRIM(B8)="","",IF(TRIM(C8)="",0,1))</f>
        <v/>
      </c>
      <c r="F8" s="164" t="s">
        <v>54</v>
      </c>
      <c r="I8" s="171"/>
    </row>
    <row r="9" spans="1:11">
      <c r="B9" s="6" t="str">
        <f>IF(C2="Oui existant","Nom de la solution",IF(AND(C7&lt;&gt;"Non prévu",C7&lt;&gt;""),"Nom de la solution (si déjà identifiée)",""))</f>
        <v>Nom de la solution</v>
      </c>
      <c r="C9" s="177" t="s">
        <v>715</v>
      </c>
      <c r="D9" s="159" t="s">
        <v>367</v>
      </c>
      <c r="E9" s="12">
        <f t="shared" si="0"/>
        <v>1</v>
      </c>
      <c r="F9" s="164" t="s">
        <v>54</v>
      </c>
      <c r="G9" s="397"/>
      <c r="H9" s="398"/>
      <c r="I9" s="398"/>
    </row>
    <row r="10" spans="1:11">
      <c r="B10" s="6" t="str">
        <f>IF(C2="Oui existant","Quelle est la version/release de l'application ?",IF(C7="COTS","Quelle est la version/release qui sera implémentée ?",""))</f>
        <v>Quelle est la version/release de l'application ?</v>
      </c>
      <c r="C10" s="159" t="s">
        <v>716</v>
      </c>
      <c r="D10" s="20"/>
      <c r="E10" s="12">
        <f>IF(TRIM(B10)="","",IF(TRIM(C10)="",0,1))</f>
        <v>1</v>
      </c>
      <c r="F10" s="164" t="s">
        <v>54</v>
      </c>
      <c r="G10" s="397"/>
      <c r="H10" s="398"/>
      <c r="I10" s="398"/>
    </row>
    <row r="11" spans="1:11">
      <c r="B11" s="6" t="str">
        <f>IF(C2="Oui existant","Quelle est la dernière version de l'application ?",IF(C7="COTS","Quelle est la dernière version de cette nouvelle solution ?",""))</f>
        <v>Quelle est la dernière version de l'application ?</v>
      </c>
      <c r="C11" s="159" t="s">
        <v>717</v>
      </c>
      <c r="D11" s="20"/>
      <c r="E11" s="12">
        <f>IF(TRIM(B11)="","",IF(TRIM(C11)="",0,1))</f>
        <v>1</v>
      </c>
      <c r="F11" s="164" t="s">
        <v>54</v>
      </c>
      <c r="G11" s="397"/>
      <c r="H11" s="398"/>
      <c r="I11" s="398"/>
    </row>
    <row r="12" spans="1:11">
      <c r="B12" s="6" t="str">
        <f>IF(C2="Oui existant","Etes-vous au courant d’une évolution majeure en cours sur cette application","")</f>
        <v>Etes-vous au courant d’une évolution majeure en cours sur cette application</v>
      </c>
      <c r="C12" s="20" t="s">
        <v>54</v>
      </c>
      <c r="D12" s="20"/>
      <c r="E12" s="12">
        <f>IF(TRIM(B12)="","",IF(TRIM(C12)="",0,1))</f>
        <v>1</v>
      </c>
      <c r="F12" s="164"/>
      <c r="I12" s="171"/>
    </row>
    <row r="13" spans="1:11">
      <c r="B13" s="6" t="str">
        <f>IF(C2="Oui existant","Qui contrôle les évolutions sur cette Application ?","")</f>
        <v>Qui contrôle les évolutions sur cette Application ?</v>
      </c>
      <c r="C13" s="20" t="s">
        <v>718</v>
      </c>
      <c r="D13" s="20"/>
      <c r="E13" s="12">
        <f>IF(TRIM(B13)="","",IF(TRIM(C13)="",0,1))</f>
        <v>1</v>
      </c>
      <c r="F13" s="164"/>
      <c r="I13" s="171"/>
    </row>
    <row r="14" spans="1:11" s="9" customFormat="1" ht="25.5">
      <c r="B14" s="7" t="str">
        <f>IF(C2="Oui existant","Quelle est la criticité de cette application ? combien de temps peut-on supporter son indisponibilité (colonne détail) ?","Quelle est la criticité de ce besoin ?")</f>
        <v>Quelle est la criticité de cette application ? combien de temps peut-on supporter son indisponibilité (colonne détail) ?</v>
      </c>
      <c r="C14" s="177" t="s">
        <v>619</v>
      </c>
      <c r="D14" s="21" t="s">
        <v>719</v>
      </c>
      <c r="E14" s="12">
        <f>IF(TRIM(B14)="","",IF(TRIM(C14)="",0,1))</f>
        <v>1</v>
      </c>
      <c r="F14" s="164" t="s">
        <v>54</v>
      </c>
      <c r="G14" s="16"/>
      <c r="H14" s="171"/>
      <c r="I14" s="171"/>
      <c r="J14" s="172"/>
      <c r="K14" s="172"/>
    </row>
    <row r="15" spans="1:11">
      <c r="B15" s="6" t="str">
        <f>IF(C7="COTS","Est-ce un module du CBS ou une  solution séparée?","")</f>
        <v/>
      </c>
      <c r="C15" s="20" t="s">
        <v>720</v>
      </c>
      <c r="D15" s="20"/>
      <c r="E15" s="12" t="str">
        <f t="shared" si="0"/>
        <v/>
      </c>
      <c r="F15" s="164" t="s">
        <v>54</v>
      </c>
      <c r="I15" s="171"/>
    </row>
    <row r="16" spans="1:11">
      <c r="B16" s="6" t="str">
        <f>IF(C2="Oui existant","Quand l’application a-t-elle été implémentée ?",IF(AND(C7&lt;&gt;"Non prévu",C7&lt;&gt;""),"Quand l’application sera-t-elle implémentée ?",""))</f>
        <v>Quand l’application a-t-elle été implémentée ?</v>
      </c>
      <c r="C16" s="156" t="s">
        <v>721</v>
      </c>
      <c r="D16" s="211" t="s">
        <v>722</v>
      </c>
      <c r="E16" s="12">
        <f t="shared" si="0"/>
        <v>1</v>
      </c>
      <c r="F16" s="164" t="s">
        <v>723</v>
      </c>
      <c r="I16" s="171"/>
    </row>
    <row r="17" spans="2:9">
      <c r="B17" s="6" t="str">
        <f>IF(C2="Oui existant","Qui l'a implémenté ?",IF(AND(C7&lt;&gt;"Non prévu",C7&lt;&gt;""),"Qui doit l'implémenter ?",""))</f>
        <v>Qui l'a implémenté ?</v>
      </c>
      <c r="C17" s="214" t="s">
        <v>714</v>
      </c>
      <c r="D17" s="20" t="s">
        <v>724</v>
      </c>
      <c r="E17" s="12">
        <f t="shared" si="0"/>
        <v>1</v>
      </c>
      <c r="F17" s="164" t="s">
        <v>725</v>
      </c>
      <c r="I17" s="171"/>
    </row>
    <row r="18" spans="2:9" ht="25.5">
      <c r="B18" s="6" t="str">
        <f>IF(C2="Oui existant","Quels sont les processus fonctionnels couverts ?",IF(AND(C7&lt;&gt;"Non prévu",C7&lt;&gt;""),"Quels sont les processus fonctionnels qui doivent être couverts ?",""))</f>
        <v>Quels sont les processus fonctionnels couverts ?</v>
      </c>
      <c r="C18" s="20" t="s">
        <v>726</v>
      </c>
      <c r="D18" s="215" t="s">
        <v>22</v>
      </c>
      <c r="E18" s="12">
        <f t="shared" si="0"/>
        <v>1</v>
      </c>
      <c r="F18" s="164" t="s">
        <v>727</v>
      </c>
      <c r="I18" s="171"/>
    </row>
    <row r="19" spans="2:9">
      <c r="B19" s="6" t="str">
        <f>IF(C2="Oui existant","Est-ce que la solution est integrée au CBS ?",IF(AND(C7&lt;&gt;"Non prévu",C7&lt;&gt;""),"Est-ce que la solution sera integrée au CBS ?",""))</f>
        <v>Est-ce que la solution est integrée au CBS ?</v>
      </c>
      <c r="C19" s="211" t="s">
        <v>54</v>
      </c>
      <c r="D19" s="20"/>
      <c r="E19" s="12">
        <f t="shared" ref="E19:E20" si="1">IF(TRIM(B19)="","",IF(TRIM(C19)="",0,1))</f>
        <v>1</v>
      </c>
      <c r="F19" s="164" t="s">
        <v>54</v>
      </c>
      <c r="I19" s="171"/>
    </row>
    <row r="20" spans="2:9">
      <c r="B20" s="6" t="str">
        <f>IF(C19="Oui",IF(C2="Oui existant","Comment et quels sont les processus et données qui transitent ?",IF(AND(C7&lt;&gt;"Non prévu",C7&lt;&gt;""),"Comment et quels seront les processus et données qui vont transiter ?","")),"")</f>
        <v/>
      </c>
      <c r="C20" s="20"/>
      <c r="D20" s="20"/>
      <c r="E20" s="12" t="str">
        <f t="shared" si="1"/>
        <v/>
      </c>
      <c r="F20" s="164"/>
      <c r="I20" s="171"/>
    </row>
    <row r="21" spans="2:9">
      <c r="B21" s="6" t="str">
        <f>IF(C2="Oui existant","Quel est le niveau de personnalisation de l’Application ?",IF(C7="COTS","Quel est le niveau de personnalisation prévu de l’Application ?",""))</f>
        <v>Quel est le niveau de personnalisation de l’Application ?</v>
      </c>
      <c r="C21" s="177" t="s">
        <v>728</v>
      </c>
      <c r="D21" s="20" t="s">
        <v>619</v>
      </c>
      <c r="E21" s="12">
        <f t="shared" si="0"/>
        <v>1</v>
      </c>
      <c r="F21" s="164" t="s">
        <v>118</v>
      </c>
      <c r="I21" s="171"/>
    </row>
    <row r="22" spans="2:9">
      <c r="B22" s="6" t="str">
        <f>IF(C2="Oui existant","Quelle(s) technologie(s) sous-jacente(s) ?","")</f>
        <v>Quelle(s) technologie(s) sous-jacente(s) ?</v>
      </c>
      <c r="C22" s="20" t="s">
        <v>25</v>
      </c>
      <c r="D22" s="20"/>
      <c r="E22" s="12">
        <f t="shared" si="0"/>
        <v>1</v>
      </c>
      <c r="F22" s="164"/>
      <c r="I22" s="171"/>
    </row>
    <row r="23" spans="2:9">
      <c r="B23" s="6" t="str">
        <f>IF(C2="Oui existant","Est-ce que cette solution dispose d'une interface Mobile?",IF(AND(C7&lt;&gt;"Non prévu",C7&lt;&gt;""),"Est-ce qu'il est prévu une version Mobile ?",""))</f>
        <v>Est-ce que cette solution dispose d'une interface Mobile?</v>
      </c>
      <c r="C23" s="20" t="s">
        <v>39</v>
      </c>
      <c r="D23" s="20"/>
      <c r="E23" s="12">
        <f t="shared" si="0"/>
        <v>1</v>
      </c>
      <c r="F23" s="164" t="s">
        <v>54</v>
      </c>
      <c r="H23" s="173"/>
      <c r="I23" s="173"/>
    </row>
    <row r="24" spans="2:9">
      <c r="B24" s="6" t="str">
        <f>IF(AND(C7&lt;&gt;"Non prévu",C7&lt;&gt;""),IF(C23="Oui","Dispose-t-elle d'une version smartphone ou tablette ou les 2  ?",""),"")</f>
        <v>Dispose-t-elle d'une version smartphone ou tablette ou les 2  ?</v>
      </c>
      <c r="C24" s="177" t="s">
        <v>729</v>
      </c>
      <c r="D24" s="216" t="s">
        <v>623</v>
      </c>
      <c r="E24" s="12">
        <f t="shared" si="0"/>
        <v>1</v>
      </c>
      <c r="F24" s="164" t="s">
        <v>54</v>
      </c>
      <c r="H24" s="173"/>
      <c r="I24" s="173"/>
    </row>
    <row r="25" spans="2:9" ht="25.5">
      <c r="B25" s="6" t="str">
        <f>IF(C2="Oui existant","Est-ce qu'il est prévu de remplacer cette solution par une autre ? Si oui, veuillez mettre le nom de la nouvelle solution et la période prévue dans la colonne détails","")</f>
        <v>Est-ce qu'il est prévu de remplacer cette solution par une autre ? Si oui, veuillez mettre le nom de la nouvelle solution et la période prévue dans la colonne détails</v>
      </c>
      <c r="C25" s="20" t="s">
        <v>54</v>
      </c>
      <c r="D25" s="20"/>
      <c r="E25" s="12">
        <f t="shared" si="0"/>
        <v>1</v>
      </c>
      <c r="F25" s="164"/>
      <c r="H25" s="173"/>
      <c r="I25" s="173"/>
    </row>
    <row r="26" spans="2:9">
      <c r="B26" s="6" t="str">
        <f>IF(C2="Oui existant","Quel est le nombre d’utilisateurs finaux de cette application ?",IF(AND(C7&lt;&gt;"Non prévu",C7&lt;&gt;""),"Quel est le nombre d’utilisateurs finaux prévus pour cette application ?",""))</f>
        <v>Quel est le nombre d’utilisateurs finaux de cette application ?</v>
      </c>
      <c r="C26" s="59" t="s">
        <v>368</v>
      </c>
      <c r="D26" s="20"/>
      <c r="E26" s="12">
        <f t="shared" si="0"/>
        <v>1</v>
      </c>
      <c r="F26" s="164" t="s">
        <v>118</v>
      </c>
      <c r="I26" s="171"/>
    </row>
    <row r="27" spans="2:9">
      <c r="B27" s="6" t="str">
        <f>IF(C2="Oui existant","Y a-t-il des utilisateurs du Groupe sur les activités de la filiale ?","")</f>
        <v>Y a-t-il des utilisateurs du Groupe sur les activités de la filiale ?</v>
      </c>
      <c r="C27" s="20" t="s">
        <v>54</v>
      </c>
      <c r="D27" s="20"/>
      <c r="E27" s="12">
        <f t="shared" si="0"/>
        <v>1</v>
      </c>
      <c r="F27" s="164"/>
      <c r="I27" s="171"/>
    </row>
    <row r="28" spans="2:9">
      <c r="B28" s="6" t="str">
        <f>IF(C27="Oui","Quel est le ratio  ?","")</f>
        <v/>
      </c>
      <c r="C28" s="20"/>
      <c r="D28" s="20"/>
      <c r="E28" s="12" t="str">
        <f t="shared" si="0"/>
        <v/>
      </c>
      <c r="F28" s="164"/>
      <c r="I28" s="171"/>
    </row>
    <row r="29" spans="2:9">
      <c r="B29" s="6" t="str">
        <f>IF(C2="Oui existant","Quels ont été les acquisitions de licences détaillées (nombre, date, coût) ?","")</f>
        <v>Quels ont été les acquisitions de licences détaillées (nombre, date, coût) ?</v>
      </c>
      <c r="C29" s="20" t="s">
        <v>368</v>
      </c>
      <c r="D29" s="20"/>
      <c r="E29" s="12">
        <f t="shared" si="0"/>
        <v>1</v>
      </c>
      <c r="F29" s="164"/>
      <c r="I29" s="171"/>
    </row>
    <row r="30" spans="2:9">
      <c r="B30" s="6" t="str">
        <f>IF(C2="Oui existant","Quel est le nombre actuel de licences détenues par la filiale?",IF(C7="COTS","Combien de licences projettez-vous d'acquérir ?",""))</f>
        <v>Quel est le nombre actuel de licences détenues par la filiale?</v>
      </c>
      <c r="C30" s="20" t="s">
        <v>368</v>
      </c>
      <c r="D30" s="20"/>
      <c r="E30" s="12">
        <f t="shared" si="0"/>
        <v>1</v>
      </c>
      <c r="F30" s="164" t="s">
        <v>118</v>
      </c>
      <c r="I30" s="171"/>
    </row>
    <row r="31" spans="2:9">
      <c r="B31" s="6" t="str">
        <f>IF(C2="Oui existant","Quel type de licences (nominatives/partagées) ?",IF(C7="COTS","Est-ce que ce sera des licences nominatives ou partagées ?",""))</f>
        <v>Quel type de licences (nominatives/partagées) ?</v>
      </c>
      <c r="C31" s="177" t="s">
        <v>633</v>
      </c>
      <c r="D31" s="20"/>
      <c r="E31" s="12">
        <f t="shared" si="0"/>
        <v>1</v>
      </c>
      <c r="F31" s="164" t="s">
        <v>118</v>
      </c>
      <c r="I31" s="171"/>
    </row>
    <row r="32" spans="2:9" ht="38.25">
      <c r="B32" s="6" t="str">
        <f>IF(C2="Oui existant","Des licences supplémentaires sont-elles nécessaires pour l'utilisation de l'application (outil supplémentaire, interfaces, modules complémentaires, …) ? Par module / par utilisateur ?",IF(C7="COTS","Est-ce que vous projettez d'acquérir d'autres licences dans un second temps ? combien et quand ?",""))</f>
        <v>Des licences supplémentaires sont-elles nécessaires pour l'utilisation de l'application (outil supplémentaire, interfaces, modules complémentaires, …) ? Par module / par utilisateur ?</v>
      </c>
      <c r="C32" s="20" t="s">
        <v>368</v>
      </c>
      <c r="D32" s="21" t="s">
        <v>60</v>
      </c>
      <c r="E32" s="12">
        <f t="shared" si="0"/>
        <v>1</v>
      </c>
      <c r="F32" s="164" t="s">
        <v>54</v>
      </c>
      <c r="I32" s="171"/>
    </row>
    <row r="33" spans="2:9">
      <c r="B33" s="6" t="str">
        <f>IF(C2="Oui existant","Quel est le coût du support éditeur ?",IF(C7="COTS","Quel sera le coût du support éditeur ?",""))</f>
        <v>Quel est le coût du support éditeur ?</v>
      </c>
      <c r="C33" s="20" t="s">
        <v>368</v>
      </c>
      <c r="D33" s="20"/>
      <c r="E33" s="12">
        <f t="shared" si="0"/>
        <v>1</v>
      </c>
      <c r="F33" s="164" t="s">
        <v>54</v>
      </c>
      <c r="I33" s="171"/>
    </row>
    <row r="34" spans="2:9" ht="25.5">
      <c r="B34" s="6" t="str">
        <f>IF(C2="Oui existant","Existe-t-il un contrat de support avec un fournisseur ou un partenaire ? Pouvez-vous le partager ?","")</f>
        <v>Existe-t-il un contrat de support avec un fournisseur ou un partenaire ? Pouvez-vous le partager ?</v>
      </c>
      <c r="C34" s="20" t="s">
        <v>39</v>
      </c>
      <c r="D34" s="20"/>
      <c r="E34" s="12">
        <f t="shared" si="0"/>
        <v>1</v>
      </c>
      <c r="F34" s="164"/>
      <c r="I34" s="171"/>
    </row>
    <row r="35" spans="2:9" ht="25.5">
      <c r="B35" s="6" t="str">
        <f>IF(C2="Oui existant","Le contrat est-il global couvrant plusieurs filiales ou dédié à la filiale ?",IF(C7="COTS","Projettez-vous une acquisition individuelle ou groupe ?",""))</f>
        <v>Le contrat est-il global couvrant plusieurs filiales ou dédié à la filiale ?</v>
      </c>
      <c r="C35" s="20" t="s">
        <v>29</v>
      </c>
      <c r="D35" s="211" t="s">
        <v>730</v>
      </c>
      <c r="E35" s="12">
        <f t="shared" si="0"/>
        <v>1</v>
      </c>
      <c r="F35" s="164" t="s">
        <v>54</v>
      </c>
      <c r="I35" s="171"/>
    </row>
    <row r="36" spans="2:9" ht="25.5">
      <c r="B36" s="6" t="str">
        <f>IF(C2="Oui existant","Le contrat comprend-il un SLA formel ? Cela inclut-il un engagement de performance ?","")</f>
        <v>Le contrat comprend-il un SLA formel ? Cela inclut-il un engagement de performance ?</v>
      </c>
      <c r="C36" s="20" t="s">
        <v>641</v>
      </c>
      <c r="D36" s="211" t="s">
        <v>730</v>
      </c>
      <c r="E36" s="12">
        <f>IF(TRIM(B36)="","",IF(TRIM(C36)="",0,1))</f>
        <v>1</v>
      </c>
      <c r="F36" s="164"/>
      <c r="I36" s="171"/>
    </row>
    <row r="37" spans="2:9" ht="382.5">
      <c r="B37" s="249" t="str">
        <f>IF(C2="Oui existant","Combien de ETP internes sont dédiés aux support (Niveaux 1, 2 et 3) de cette solution ?
Veuillez décrire dans la colonne détail de quelle entité sont-ils (Holding ou pays), la répartition des principales activités, les compétences et les rôles",IF(AND(C7&lt;&gt;"Non prévu",C7&lt;&gt;""),"Combien de ETP internes projettez-vous de dédier aux support (Niveaux 1, 2 et 3) de cette solution ?",""))</f>
        <v>Combien de ETP internes sont dédiés aux support (Niveaux 1, 2 et 3) de cette solution ?
Veuillez décrire dans la colonne détail de quelle entité sont-ils (Holding ou pays), la répartition des principales activités, les compétences et les rôles</v>
      </c>
      <c r="C37" s="235" t="s">
        <v>731</v>
      </c>
      <c r="D37" s="21" t="s">
        <v>732</v>
      </c>
      <c r="E37" s="12">
        <f>IF(TRIM(B37)="","",IF(TRIM(C37)="",0,IF(TRIM(D37)="",0.5,1)))</f>
        <v>1</v>
      </c>
      <c r="F37" s="164" t="s">
        <v>54</v>
      </c>
      <c r="I37" s="171"/>
    </row>
    <row r="38" spans="2:9" ht="51">
      <c r="B38" s="249" t="str">
        <f>IF(C2="Oui existant","Combien de ETP internes sont dédiés aux changes opérés sur cette solution (incluant Dev, Config, Mise en prod) ?
Veuillez décrire dans la col. détail de quelle entité sont-ils (Holding ou pays), la répartition des activités, les compétences et les rôles",IF(AND(C7&lt;&gt;"Non prévu",C7&lt;&gt;""),"Combien de ETP internes projettez-vous de dédier aux futurs changes sur cette solution (incluant Dev, Config, Mise en prod) ?",""))</f>
        <v>Combien de ETP internes sont dédiés aux changes opérés sur cette solution (incluant Dev, Config, Mise en prod) ?
Veuillez décrire dans la col. détail de quelle entité sont-ils (Holding ou pays), la répartition des activités, les compétences et les rôles</v>
      </c>
      <c r="C38" s="221" t="s">
        <v>647</v>
      </c>
      <c r="D38" s="21" t="s">
        <v>732</v>
      </c>
      <c r="E38" s="12">
        <f>IF(TRIM(B38)="","",IF(TRIM(C38)="",0,IF(TRIM(D38)="",0.5,1)))</f>
        <v>1</v>
      </c>
      <c r="F38" s="164" t="s">
        <v>54</v>
      </c>
      <c r="I38" s="171"/>
    </row>
    <row r="39" spans="2:9" ht="114.75">
      <c r="B39" s="249" t="str">
        <f>IF(C2="Oui existant","Qui administre cette solution et apporte le support aux utilisateurs l'IT Groupe, l'IT local ou les 2 ?",IF(AND(C7&lt;&gt;"Non prévu",C7&lt;&gt;""),"Qui va administrer cette solution et apporter le support aux utilisateurs: l'IT Groupe, l'IT local ou les 2 ?",""))</f>
        <v>Qui administre cette solution et apporte le support aux utilisateurs l'IT Groupe, l'IT local ou les 2 ?</v>
      </c>
      <c r="C39" s="20" t="s">
        <v>623</v>
      </c>
      <c r="D39" s="20" t="s">
        <v>650</v>
      </c>
      <c r="E39" s="12">
        <f t="shared" si="0"/>
        <v>1</v>
      </c>
      <c r="F39" s="164" t="s">
        <v>733</v>
      </c>
      <c r="I39" s="171"/>
    </row>
    <row r="40" spans="2:9" ht="38.25">
      <c r="B40" s="6" t="str">
        <f>IF(C39="Les 2","A quelle proportion chacun ? et existe-t-il un SLA interne entre Group IT et la filiale ? S'il existe, pouvez-vous le partager
vous pouvez décrire dans la partie détails les responsabilités de chaque partie","")</f>
        <v>A quelle proportion chacun ? et existe-t-il un SLA interne entre Group IT et la filiale ? S'il existe, pouvez-vous le partager
vous pouvez décrire dans la partie détails les responsabilités de chaque partie</v>
      </c>
      <c r="C40" s="177" t="s">
        <v>734</v>
      </c>
      <c r="D40" s="21" t="s">
        <v>56</v>
      </c>
      <c r="E40" s="12">
        <f t="shared" si="0"/>
        <v>1</v>
      </c>
      <c r="F40" s="164" t="s">
        <v>54</v>
      </c>
      <c r="I40" s="171"/>
    </row>
    <row r="41" spans="2:9" ht="25.5">
      <c r="B41" s="6" t="str">
        <f>IF(C2="Oui existant","Avez-vous un historique des KPI pour la disponibilité et le support de cette application ? Si oui, pouvez-vous les partager","")</f>
        <v>Avez-vous un historique des KPI pour la disponibilité et le support de cette application ? Si oui, pouvez-vous les partager</v>
      </c>
      <c r="C41" s="20" t="s">
        <v>54</v>
      </c>
      <c r="D41" s="20"/>
      <c r="E41" s="12">
        <f t="shared" si="0"/>
        <v>1</v>
      </c>
      <c r="F41" s="164"/>
      <c r="I41" s="171"/>
    </row>
    <row r="42" spans="2:9">
      <c r="B42" s="6" t="str">
        <f>IF(C2="Oui existant","Existe-t-il un processus de suivi des contrats groupe et tiers ?","")</f>
        <v>Existe-t-il un processus de suivi des contrats groupe et tiers ?</v>
      </c>
      <c r="C42" s="20" t="s">
        <v>54</v>
      </c>
      <c r="D42" s="20"/>
      <c r="E42" s="12">
        <f t="shared" si="0"/>
        <v>1</v>
      </c>
      <c r="F42" s="164"/>
      <c r="I42" s="171"/>
    </row>
    <row r="43" spans="2:9">
      <c r="B43" s="6" t="str">
        <f>IF(C2="Oui existant","L'application est-elle installée sur site ou utilisée sur le Cloud (SaaS) ?",IF(AND(C7&lt;&gt;"Non prévu",C7&lt;&gt;""),"La nouvelle solution sera-t-elle installée sur site ou utilisée sur le Cloud (SaaS) ?",""))</f>
        <v>L'application est-elle installée sur site ou utilisée sur le Cloud (SaaS) ?</v>
      </c>
      <c r="C43" s="177" t="s">
        <v>707</v>
      </c>
      <c r="D43" s="20"/>
      <c r="E43" s="12">
        <f t="shared" si="0"/>
        <v>1</v>
      </c>
      <c r="F43" s="164" t="s">
        <v>54</v>
      </c>
      <c r="H43" s="173"/>
      <c r="I43" s="173"/>
    </row>
    <row r="44" spans="2:9">
      <c r="B44" s="6" t="str">
        <f>IF(AND(C43="Cloud",C7="COTS"),"Est-ce entièrement SaaS ou Infra gérée par l'équipe locale ?","")</f>
        <v/>
      </c>
      <c r="C44" s="22"/>
      <c r="D44" s="20"/>
      <c r="E44" s="12" t="str">
        <f t="shared" si="0"/>
        <v/>
      </c>
      <c r="F44" s="164"/>
      <c r="H44" s="173"/>
      <c r="I44" s="173"/>
    </row>
    <row r="45" spans="2:9">
      <c r="B45" s="6" t="str">
        <f>IF(C2="Oui existant","S'agit-il d'une architecture Client/Serveur à 3 niveaux ? Décrivez s'il vous plait","")</f>
        <v>S'agit-il d'une architecture Client/Serveur à 3 niveaux ? Décrivez s'il vous plait</v>
      </c>
      <c r="C45" s="20" t="s">
        <v>54</v>
      </c>
      <c r="D45" s="21" t="s">
        <v>25</v>
      </c>
      <c r="E45" s="12">
        <f>IF(TRIM(B45)="","",IF(TRIM(C45)="",0,IF(TRIM(D45)="",0.5,1)))</f>
        <v>1</v>
      </c>
      <c r="F45" s="164"/>
      <c r="I45" s="171"/>
    </row>
    <row r="46" spans="2:9">
      <c r="B46" s="6" t="str">
        <f>IF(C43="On-site","Comment sont acquis les serveurs (achat/location/sous-traitance) ?","")</f>
        <v/>
      </c>
      <c r="C46" s="22" t="s">
        <v>659</v>
      </c>
      <c r="D46" s="20"/>
      <c r="E46" s="12" t="str">
        <f t="shared" si="0"/>
        <v/>
      </c>
      <c r="F46" s="164" t="s">
        <v>54</v>
      </c>
      <c r="I46" s="171"/>
    </row>
    <row r="47" spans="2:9">
      <c r="B47" s="6" t="str">
        <f>IF(C2="Oui existant","Où sont installés les serveurs ?","")</f>
        <v>Où sont installés les serveurs ?</v>
      </c>
      <c r="C47" s="217" t="s">
        <v>735</v>
      </c>
      <c r="D47" s="20"/>
      <c r="E47" s="12">
        <f t="shared" si="0"/>
        <v>1</v>
      </c>
      <c r="F47" s="164"/>
      <c r="I47" s="171"/>
    </row>
    <row r="48" spans="2:9">
      <c r="B48" s="6" t="str">
        <f>IF(C2="Oui existant","Sur quels systèmes (versions) cette application s'exécute-t-elle ?",IF(AND(C7&lt;&gt;"Non prévu",C7&lt;&gt;""),"Sur quels systèmes (versions) cette application sera-t-elle implémentée ?",""))</f>
        <v>Sur quels systèmes (versions) cette application s'exécute-t-elle ?</v>
      </c>
      <c r="C48" s="177" t="s">
        <v>736</v>
      </c>
      <c r="D48" s="20"/>
      <c r="E48" s="12">
        <f t="shared" si="0"/>
        <v>1</v>
      </c>
      <c r="F48" s="164" t="s">
        <v>737</v>
      </c>
      <c r="I48" s="171"/>
    </row>
    <row r="49" spans="2:9">
      <c r="B49" s="6" t="str">
        <f>IF(C2="Oui existant","Sur quelle base de données cette application tourne-t-elle ?",IF(AND(C7&lt;&gt;"Non prévu",C7&lt;&gt;""),"Sur quelle base de données cette application tournera-t-elle ?",""))</f>
        <v>Sur quelle base de données cette application tourne-t-elle ?</v>
      </c>
      <c r="C49" s="177" t="s">
        <v>738</v>
      </c>
      <c r="D49" s="20"/>
      <c r="E49" s="12">
        <f t="shared" si="0"/>
        <v>1</v>
      </c>
      <c r="F49" s="164" t="s">
        <v>737</v>
      </c>
      <c r="I49" s="171"/>
    </row>
    <row r="50" spans="2:9">
      <c r="B50" s="6" t="str">
        <f>IF(C2="Oui existant","Existe-t-il une architecture haute disponibilité (réplication) ?",IF(AND(C7&lt;&gt;"Non prévu",C7&lt;&gt;""),"Est-ce qu'il est prévu une architecture haute disponibilité (réplication) ?",""))</f>
        <v>Existe-t-il une architecture haute disponibilité (réplication) ?</v>
      </c>
      <c r="C50" s="177" t="s">
        <v>54</v>
      </c>
      <c r="D50" s="20"/>
      <c r="E50" s="12">
        <f t="shared" si="0"/>
        <v>1</v>
      </c>
      <c r="F50" s="164" t="s">
        <v>54</v>
      </c>
      <c r="I50" s="171"/>
    </row>
    <row r="51" spans="2:9">
      <c r="B51" s="6" t="str">
        <f>IF(C50="Oui","Entièrement ou partiellement ? Actif-Actif ou Actif-Passif ?","")</f>
        <v/>
      </c>
      <c r="C51" s="184" t="s">
        <v>739</v>
      </c>
      <c r="D51" s="20"/>
      <c r="E51" s="12" t="str">
        <f t="shared" si="0"/>
        <v/>
      </c>
      <c r="F51" s="164" t="s">
        <v>54</v>
      </c>
      <c r="I51" s="171"/>
    </row>
    <row r="52" spans="2:9">
      <c r="B52" s="6" t="str">
        <f>IF(C2="Oui existant","Existe-t-il un plan de récupération pour cette application ?","")</f>
        <v>Existe-t-il un plan de récupération pour cette application ?</v>
      </c>
      <c r="C52" s="22" t="s">
        <v>54</v>
      </c>
      <c r="D52" s="20"/>
      <c r="E52" s="12">
        <f>IF(TRIM(B52)="","",IF(TRIM(C52)="",0,1))</f>
        <v>1</v>
      </c>
      <c r="F52" s="164"/>
      <c r="I52" s="171"/>
    </row>
    <row r="53" spans="2:9">
      <c r="B53" s="6" t="str">
        <f>IF(C2="Oui existant","Qui gère les données de la base de données ?",IF(AND(C7&lt;&gt;"Non prévu",C7&lt;&gt;""),"Qui va gèrer les données de la base de données ?",""))</f>
        <v>Qui gère les données de la base de données ?</v>
      </c>
      <c r="C53" s="22" t="s">
        <v>740</v>
      </c>
      <c r="D53" s="20"/>
      <c r="E53" s="12">
        <f>IF(TRIM(B53)="","",IF(TRIM(C53)="",0,1))</f>
        <v>1</v>
      </c>
      <c r="F53" s="164" t="s">
        <v>54</v>
      </c>
      <c r="I53" s="171"/>
    </row>
    <row r="54" spans="2:9" ht="25.5">
      <c r="B54" s="6" t="str">
        <f>IF(C2="Oui existant","Quelles sont les interfaces existantes de cette application ? Veuillez décrire et partager tout document d'architecture",IF(AND(C7&lt;&gt;"Non prévu",C7&lt;&gt;""),"Quelles sont les interfaces prévues ? Veuillez décrire et partager tout document d'architecture cible",""))</f>
        <v>Quelles sont les interfaces existantes de cette application ? Veuillez décrire et partager tout document d'architecture</v>
      </c>
      <c r="C54" s="20" t="s">
        <v>60</v>
      </c>
      <c r="D54" s="21" t="s">
        <v>60</v>
      </c>
      <c r="E54" s="12">
        <f>IF(TRIM(B54)="","",IF(TRIM(C54)="",0,IF(TRIM(D54)="",0.5,1)))</f>
        <v>1</v>
      </c>
      <c r="F54" s="164" t="s">
        <v>54</v>
      </c>
      <c r="I54" s="171"/>
    </row>
    <row r="55" spans="2:9" ht="25.5">
      <c r="B55" s="6" t="str">
        <f>IF(C2="Oui existant","L'application est-elle complètement en temps réel ou y'a-t-il des batchs la nuit ? Décrivez s'il vous plait",IF(AND(C7&lt;&gt;"Non prévu",C7&lt;&gt;""),"L'application sera-t-elle complètement en temps réel ou y'aura-t-il des batchs la nuit ? Décrivez s'il vous plait",""))</f>
        <v>L'application est-elle complètement en temps réel ou y'a-t-il des batchs la nuit ? Décrivez s'il vous plait</v>
      </c>
      <c r="C55" s="20" t="s">
        <v>60</v>
      </c>
      <c r="D55" s="21" t="s">
        <v>60</v>
      </c>
      <c r="E55" s="12">
        <f>IF(TRIM(B55)="","",IF(TRIM(C55)="",0,IF(TRIM(D55)="",0.5,1)))</f>
        <v>1</v>
      </c>
      <c r="F55" s="164" t="s">
        <v>54</v>
      </c>
      <c r="I55" s="171"/>
    </row>
    <row r="56" spans="2:9" ht="38.25">
      <c r="B56" s="6" t="str">
        <f>IF(C2="Oui existant","Avez-vous connaissance d'un quelconque problème potentiel lié à la continuité de cette application (par exemple départ ou indisponibilité des ressources clés, fin de support, bug critique, ...), si oui lequel dans détails ?","")</f>
        <v>Avez-vous connaissance d'un quelconque problème potentiel lié à la continuité de cette application (par exemple départ ou indisponibilité des ressources clés, fin de support, bug critique, ...), si oui lequel dans détails ?</v>
      </c>
      <c r="C56" s="22" t="s">
        <v>54</v>
      </c>
      <c r="D56" s="20"/>
      <c r="E56" s="12">
        <f t="shared" si="0"/>
        <v>1</v>
      </c>
      <c r="F56" s="164"/>
      <c r="I56" s="171"/>
    </row>
    <row r="57" spans="2:9">
      <c r="B57" s="6" t="str">
        <f>IF(C2="Oui existant","Est-ce que des sauvegardes sont réalisées régulièrement ?",IF(AND(C7&lt;&gt;"Non prévu",C7&lt;&gt;""),"Est-ce que des sauvegardes sont prévus dès l'implémentation ?",""))</f>
        <v>Est-ce que des sauvegardes sont réalisées régulièrement ?</v>
      </c>
      <c r="C57" s="177" t="s">
        <v>39</v>
      </c>
      <c r="D57" s="20"/>
      <c r="E57" s="12">
        <f t="shared" si="0"/>
        <v>1</v>
      </c>
      <c r="F57" s="164" t="s">
        <v>54</v>
      </c>
      <c r="I57" s="171"/>
    </row>
    <row r="58" spans="2:9">
      <c r="B58" s="6" t="str">
        <f>IF(C57="Oui","A quelle fréquence sont-elles exécutées?","")</f>
        <v>A quelle fréquence sont-elles exécutées?</v>
      </c>
      <c r="C58" s="177" t="s">
        <v>741</v>
      </c>
      <c r="D58" s="20"/>
      <c r="E58" s="12">
        <f t="shared" si="0"/>
        <v>1</v>
      </c>
      <c r="F58" s="164"/>
      <c r="I58" s="171"/>
    </row>
    <row r="59" spans="2:9">
      <c r="B59" s="6" t="str">
        <f>IF(C57="Oui","Avez-vous une politique de rétention en place ? Si oui, pouvez-vous me la partager?","")</f>
        <v>Avez-vous une politique de rétention en place ? Si oui, pouvez-vous me la partager?</v>
      </c>
      <c r="C59" s="177" t="s">
        <v>54</v>
      </c>
      <c r="D59" s="20"/>
      <c r="E59" s="12">
        <f t="shared" si="0"/>
        <v>1</v>
      </c>
      <c r="F59" s="164"/>
      <c r="I59" s="171"/>
    </row>
    <row r="60" spans="2:9">
      <c r="B60" s="6" t="str">
        <f>IF(C57="Oui","Quelle est la solution de sauvegarde/récupération utilisée ?","")</f>
        <v>Quelle est la solution de sauvegarde/récupération utilisée ?</v>
      </c>
      <c r="C60" s="177" t="s">
        <v>742</v>
      </c>
      <c r="D60" s="20"/>
      <c r="E60" s="12">
        <f t="shared" si="0"/>
        <v>1</v>
      </c>
      <c r="F60" s="164"/>
      <c r="I60" s="171"/>
    </row>
    <row r="61" spans="2:9" ht="24" customHeight="1">
      <c r="B61" s="6" t="str">
        <f>IF(C57="Oui","Quelle est la taille totale estimée des sauvegardes ?","")</f>
        <v>Quelle est la taille totale estimée des sauvegardes ?</v>
      </c>
      <c r="C61" s="217" t="s">
        <v>743</v>
      </c>
      <c r="D61" s="20"/>
      <c r="E61" s="12">
        <f t="shared" si="0"/>
        <v>1</v>
      </c>
      <c r="F61" s="164"/>
      <c r="I61" s="171"/>
    </row>
    <row r="62" spans="2:9">
      <c r="I62" s="171"/>
    </row>
    <row r="63" spans="2:9">
      <c r="I63" s="171"/>
    </row>
    <row r="64" spans="2:9">
      <c r="I64" s="171"/>
    </row>
    <row r="65" spans="9:9">
      <c r="I65" s="171"/>
    </row>
    <row r="66" spans="9:9">
      <c r="I66" s="171"/>
    </row>
    <row r="67" spans="9:9">
      <c r="I67" s="171"/>
    </row>
    <row r="123" spans="1:1">
      <c r="A123" t="s">
        <v>223</v>
      </c>
    </row>
  </sheetData>
  <sheetProtection formatRows="0"/>
  <mergeCells count="4">
    <mergeCell ref="A1:B1"/>
    <mergeCell ref="G9:G11"/>
    <mergeCell ref="H9:H11"/>
    <mergeCell ref="I9:I11"/>
  </mergeCells>
  <conditionalFormatting sqref="B8:B13">
    <cfRule type="containsBlanks" dxfId="688" priority="60">
      <formula>LEN(TRIM(B8))=0</formula>
    </cfRule>
  </conditionalFormatting>
  <conditionalFormatting sqref="B15:B61">
    <cfRule type="containsBlanks" dxfId="687" priority="38">
      <formula>LEN(TRIM(B15))=0</formula>
    </cfRule>
  </conditionalFormatting>
  <conditionalFormatting sqref="C1">
    <cfRule type="containsBlanks" dxfId="686" priority="17">
      <formula>LEN(TRIM(C1))=0</formula>
    </cfRule>
  </conditionalFormatting>
  <conditionalFormatting sqref="C7">
    <cfRule type="containsBlanks" dxfId="685" priority="16">
      <formula>LEN(TRIM(C7))=0</formula>
    </cfRule>
  </conditionalFormatting>
  <conditionalFormatting sqref="C9">
    <cfRule type="containsBlanks" dxfId="684" priority="14">
      <formula>LEN(TRIM(C9))=0</formula>
    </cfRule>
  </conditionalFormatting>
  <conditionalFormatting sqref="C14">
    <cfRule type="containsBlanks" dxfId="683" priority="13">
      <formula>LEN(TRIM(C14))=0</formula>
    </cfRule>
  </conditionalFormatting>
  <conditionalFormatting sqref="C17">
    <cfRule type="containsBlanks" dxfId="682" priority="11">
      <formula>LEN(TRIM(C17))=0</formula>
    </cfRule>
  </conditionalFormatting>
  <conditionalFormatting sqref="C18:C20 C8 C10:C13 C15:C16 C22:C23">
    <cfRule type="expression" dxfId="681" priority="45">
      <formula>AND($B8&lt;&gt;"",$C8="")</formula>
    </cfRule>
  </conditionalFormatting>
  <conditionalFormatting sqref="C19">
    <cfRule type="expression" dxfId="680" priority="44">
      <formula>$B19=""</formula>
    </cfRule>
  </conditionalFormatting>
  <conditionalFormatting sqref="C21">
    <cfRule type="containsBlanks" dxfId="679" priority="10">
      <formula>LEN(TRIM(C21))=0</formula>
    </cfRule>
  </conditionalFormatting>
  <conditionalFormatting sqref="C24">
    <cfRule type="containsBlanks" dxfId="678" priority="9">
      <formula>LEN(TRIM(C24))=0</formula>
    </cfRule>
  </conditionalFormatting>
  <conditionalFormatting sqref="C25:C30 C32:C35">
    <cfRule type="expression" dxfId="677" priority="94">
      <formula>AND($B25&lt;&gt;"",$C25="")</formula>
    </cfRule>
  </conditionalFormatting>
  <conditionalFormatting sqref="C31">
    <cfRule type="containsBlanks" dxfId="676" priority="8">
      <formula>LEN(TRIM(C31))=0</formula>
    </cfRule>
  </conditionalFormatting>
  <conditionalFormatting sqref="C36">
    <cfRule type="expression" dxfId="675" priority="47">
      <formula>AND($B36&lt;&gt;"",$C36="")</formula>
    </cfRule>
  </conditionalFormatting>
  <conditionalFormatting sqref="C39 C41:C42">
    <cfRule type="expression" dxfId="674" priority="36">
      <formula>$B39=""</formula>
    </cfRule>
  </conditionalFormatting>
  <conditionalFormatting sqref="C39">
    <cfRule type="expression" dxfId="673" priority="39">
      <formula>AND($B39&lt;&gt;"",$C39="")</formula>
    </cfRule>
  </conditionalFormatting>
  <conditionalFormatting sqref="C40">
    <cfRule type="containsBlanks" dxfId="672" priority="7">
      <formula>LEN(TRIM(C40))=0</formula>
    </cfRule>
  </conditionalFormatting>
  <conditionalFormatting sqref="C43">
    <cfRule type="containsBlanks" dxfId="671" priority="6">
      <formula>LEN(TRIM(C43))=0</formula>
    </cfRule>
  </conditionalFormatting>
  <conditionalFormatting sqref="C44">
    <cfRule type="expression" dxfId="670" priority="116">
      <formula>$B44=""</formula>
    </cfRule>
  </conditionalFormatting>
  <conditionalFormatting sqref="C44:C47 C41:C42">
    <cfRule type="expression" dxfId="669" priority="85">
      <formula>AND($B41&lt;&gt;"",$C41="")</formula>
    </cfRule>
  </conditionalFormatting>
  <conditionalFormatting sqref="C45">
    <cfRule type="expression" dxfId="668" priority="67">
      <formula>$B45=""</formula>
    </cfRule>
  </conditionalFormatting>
  <conditionalFormatting sqref="C46:C47 C51:C53">
    <cfRule type="expression" dxfId="667" priority="121">
      <formula>$B46=""</formula>
    </cfRule>
  </conditionalFormatting>
  <conditionalFormatting sqref="C48:C50">
    <cfRule type="containsBlanks" dxfId="666" priority="5">
      <formula>LEN(TRIM(C48))=0</formula>
    </cfRule>
  </conditionalFormatting>
  <conditionalFormatting sqref="C51:C56 C61">
    <cfRule type="expression" dxfId="665" priority="66">
      <formula>AND($B51&lt;&gt;"",$C51="")</formula>
    </cfRule>
  </conditionalFormatting>
  <conditionalFormatting sqref="C54:C55">
    <cfRule type="expression" dxfId="664" priority="64">
      <formula>$B54=""</formula>
    </cfRule>
  </conditionalFormatting>
  <conditionalFormatting sqref="C56 C61">
    <cfRule type="expression" dxfId="663" priority="76">
      <formula>$B56=""</formula>
    </cfRule>
  </conditionalFormatting>
  <conditionalFormatting sqref="C57:C60">
    <cfRule type="containsBlanks" dxfId="662" priority="3">
      <formula>LEN(TRIM(C57))=0</formula>
    </cfRule>
  </conditionalFormatting>
  <conditionalFormatting sqref="C8:D8 C10:D13 D9">
    <cfRule type="expression" dxfId="661" priority="46">
      <formula>$B8=""</formula>
    </cfRule>
  </conditionalFormatting>
  <conditionalFormatting sqref="C15:D16 C18:D20 C22:D23 D17 D21 D24 C25:D30 D31 C32:D32">
    <cfRule type="expression" dxfId="660" priority="73">
      <formula>$B15=""</formula>
    </cfRule>
  </conditionalFormatting>
  <conditionalFormatting sqref="C33:D35">
    <cfRule type="expression" dxfId="659" priority="153">
      <formula>$B33=""</formula>
    </cfRule>
  </conditionalFormatting>
  <conditionalFormatting sqref="C36:D36 D37:D38">
    <cfRule type="expression" dxfId="658" priority="48">
      <formula>$B36=""</formula>
    </cfRule>
  </conditionalFormatting>
  <conditionalFormatting sqref="D9">
    <cfRule type="expression" dxfId="657" priority="15">
      <formula>AND($B9&lt;&gt;"",$C9="")</formula>
    </cfRule>
  </conditionalFormatting>
  <conditionalFormatting sqref="D17">
    <cfRule type="expression" dxfId="656" priority="12">
      <formula>AND($B17&lt;&gt;"",$C17="")</formula>
    </cfRule>
  </conditionalFormatting>
  <conditionalFormatting sqref="D32">
    <cfRule type="containsBlanks" dxfId="655" priority="144">
      <formula>LEN(TRIM(D32))=0</formula>
    </cfRule>
  </conditionalFormatting>
  <conditionalFormatting sqref="D37:D38">
    <cfRule type="containsBlanks" dxfId="654" priority="130">
      <formula>LEN(TRIM(D37))=0</formula>
    </cfRule>
  </conditionalFormatting>
  <conditionalFormatting sqref="D39:D61">
    <cfRule type="expression" dxfId="653" priority="34">
      <formula>$B39=""</formula>
    </cfRule>
  </conditionalFormatting>
  <conditionalFormatting sqref="D40">
    <cfRule type="containsBlanks" dxfId="652" priority="35">
      <formula>LEN(TRIM(D40))=0</formula>
    </cfRule>
  </conditionalFormatting>
  <conditionalFormatting sqref="D45">
    <cfRule type="containsBlanks" dxfId="651" priority="128">
      <formula>LEN(TRIM(D45))=0</formula>
    </cfRule>
  </conditionalFormatting>
  <conditionalFormatting sqref="D54:D55">
    <cfRule type="containsBlanks" dxfId="650" priority="124">
      <formula>LEN(TRIM(D54))=0</formula>
    </cfRule>
  </conditionalFormatting>
  <conditionalFormatting sqref="F7:F20">
    <cfRule type="expression" dxfId="649" priority="33">
      <formula>AND($B7&lt;&gt;"",#REF!="")</formula>
    </cfRule>
  </conditionalFormatting>
  <conditionalFormatting sqref="F7:F38">
    <cfRule type="expression" dxfId="648" priority="28">
      <formula>$B7=""</formula>
    </cfRule>
  </conditionalFormatting>
  <conditionalFormatting sqref="F17">
    <cfRule type="expression" dxfId="647" priority="27">
      <formula>AND($B17&lt;&gt;"",#REF!="")</formula>
    </cfRule>
  </conditionalFormatting>
  <conditionalFormatting sqref="F19:F20">
    <cfRule type="expression" dxfId="646" priority="26">
      <formula>AND($B19&lt;&gt;"",#REF!="")</formula>
    </cfRule>
  </conditionalFormatting>
  <conditionalFormatting sqref="F21:F22">
    <cfRule type="expression" dxfId="645" priority="32">
      <formula>AND($B21&lt;&gt;"",#REF!="")</formula>
    </cfRule>
  </conditionalFormatting>
  <conditionalFormatting sqref="F23:F24">
    <cfRule type="expression" dxfId="644" priority="30">
      <formula>AND($B23&lt;&gt;"",#REF!="")</formula>
    </cfRule>
  </conditionalFormatting>
  <conditionalFormatting sqref="F24">
    <cfRule type="expression" dxfId="643" priority="31">
      <formula>AND($B24&lt;&gt;"",#REF!="")</formula>
    </cfRule>
  </conditionalFormatting>
  <conditionalFormatting sqref="F25">
    <cfRule type="expression" dxfId="642" priority="25">
      <formula>AND($B25&lt;&gt;"",#REF!="")</formula>
    </cfRule>
  </conditionalFormatting>
  <conditionalFormatting sqref="F25:F38">
    <cfRule type="expression" dxfId="641" priority="29">
      <formula>AND($B25&lt;&gt;"",#REF!="")</formula>
    </cfRule>
  </conditionalFormatting>
  <conditionalFormatting sqref="F34:F35">
    <cfRule type="expression" dxfId="640" priority="24">
      <formula>AND($B34&lt;&gt;"",#REF!="")</formula>
    </cfRule>
  </conditionalFormatting>
  <conditionalFormatting sqref="F37:F38">
    <cfRule type="expression" dxfId="639" priority="18">
      <formula>AND($B37&lt;&gt;"",#REF!="")</formula>
    </cfRule>
  </conditionalFormatting>
  <conditionalFormatting sqref="F39:F61">
    <cfRule type="expression" dxfId="638" priority="22">
      <formula>$B39=""</formula>
    </cfRule>
    <cfRule type="expression" dxfId="637" priority="23">
      <formula>AND($B39&lt;&gt;"",#REF!="")</formula>
    </cfRule>
  </conditionalFormatting>
  <conditionalFormatting sqref="F42">
    <cfRule type="expression" dxfId="636" priority="21">
      <formula>AND($B42&lt;&gt;"",#REF!="")</formula>
    </cfRule>
  </conditionalFormatting>
  <conditionalFormatting sqref="F48:F49">
    <cfRule type="expression" dxfId="635" priority="20">
      <formula>AND($B48&lt;&gt;"",#REF!="")</formula>
    </cfRule>
  </conditionalFormatting>
  <conditionalFormatting sqref="F52">
    <cfRule type="expression" dxfId="634" priority="19">
      <formula>AND($B52&lt;&gt;"",#REF!="")</formula>
    </cfRule>
  </conditionalFormatting>
  <conditionalFormatting sqref="C37:C38">
    <cfRule type="expression" dxfId="633" priority="1">
      <formula>$B37=""</formula>
    </cfRule>
  </conditionalFormatting>
  <conditionalFormatting sqref="C37:C38">
    <cfRule type="expression" dxfId="632" priority="2">
      <formula>AND($B37&lt;&gt;"",$C37="")</formula>
    </cfRule>
  </conditionalFormatting>
  <dataValidations count="16">
    <dataValidation type="list" allowBlank="1" showInputMessage="1" showErrorMessage="1" sqref="C15" xr:uid="{00000000-0002-0000-0900-000000000000}">
      <formula1>"Module du CBS,Solution séparée"</formula1>
    </dataValidation>
    <dataValidation type="list" allowBlank="1" showInputMessage="1" showErrorMessage="1" sqref="C2" xr:uid="{00000000-0002-0000-0900-000001000000}">
      <formula1>"Oui existant,Non existant"</formula1>
    </dataValidation>
    <dataValidation type="list" allowBlank="1" showInputMessage="1" showErrorMessage="1" sqref="C21" xr:uid="{00000000-0002-0000-0900-000002000000}">
      <formula1>"Très haut,Haut,Moyen,Faible, Inexistant"</formula1>
    </dataValidation>
    <dataValidation type="list" allowBlank="1" showInputMessage="1" showErrorMessage="1" sqref="C14" xr:uid="{00000000-0002-0000-0900-000003000000}">
      <formula1>"Primoridal,Critique,Moyen,Faible"</formula1>
    </dataValidation>
    <dataValidation type="list" allowBlank="1" showInputMessage="1" showErrorMessage="1" sqref="C27 C34 C56:C57 C50 C52 C12 C45 C41:C42 C19 C25 C23" xr:uid="{00000000-0002-0000-0900-000004000000}">
      <formula1>"Oui,Non"</formula1>
    </dataValidation>
    <dataValidation type="list" allowBlank="1" showInputMessage="1" showErrorMessage="1" sqref="C35" xr:uid="{00000000-0002-0000-0900-000005000000}">
      <formula1>"Global,Dédié"</formula1>
    </dataValidation>
    <dataValidation type="list" allowBlank="1" showInputMessage="1" showErrorMessage="1" sqref="C43" xr:uid="{00000000-0002-0000-0900-000006000000}">
      <formula1>"On-site,Cloud"</formula1>
    </dataValidation>
    <dataValidation type="list" allowBlank="1" showInputMessage="1" showErrorMessage="1" sqref="C44" xr:uid="{00000000-0002-0000-0900-000007000000}">
      <formula1>"SaaS,Infra gérée"</formula1>
    </dataValidation>
    <dataValidation type="list" allowBlank="1" showInputMessage="1" showErrorMessage="1" sqref="C46" xr:uid="{00000000-0002-0000-0900-000008000000}">
      <formula1>"Achat,Location,Sous-traitance"</formula1>
    </dataValidation>
    <dataValidation type="list" allowBlank="1" showInputMessage="1" showErrorMessage="1" sqref="C36" xr:uid="{00000000-0002-0000-0900-000009000000}">
      <formula1>"Oui et oui,Oui et non,Non pour les 2"</formula1>
    </dataValidation>
    <dataValidation type="list" allowBlank="1" showInputMessage="1" showErrorMessage="1" sqref="C31" xr:uid="{00000000-0002-0000-0900-00000A000000}">
      <formula1>"Nominatives,Partagées,NA"</formula1>
    </dataValidation>
    <dataValidation type="list" allowBlank="1" showInputMessage="1" showErrorMessage="1" sqref="C24" xr:uid="{00000000-0002-0000-0900-00000B000000}">
      <formula1>"Smartphone,Tablette,Les 2"</formula1>
    </dataValidation>
    <dataValidation type="list" allowBlank="1" showInputMessage="1" showErrorMessage="1" sqref="C7" xr:uid="{00000000-0002-0000-0900-00000C000000}">
      <formula1>"COTS,Développement interne,Développement externalisé,Non prévu"</formula1>
    </dataValidation>
    <dataValidation type="list" allowBlank="1" showInputMessage="1" showErrorMessage="1" sqref="C39" xr:uid="{00000000-0002-0000-0900-00000D000000}">
      <formula1>"IT Groupe,IT Local,Les 2"</formula1>
    </dataValidation>
    <dataValidation type="list" allowBlank="1" showInputMessage="1" showErrorMessage="1" sqref="F58 F29:F31 F19:F22 F26 F45:F46" xr:uid="{00000000-0002-0000-0900-00000E000000}">
      <formula1>"Oui,Non,Détails"</formula1>
    </dataValidation>
    <dataValidation type="list" allowBlank="1" showInputMessage="1" showErrorMessage="1" sqref="F7:F15 F32:F33 F35:F38 F23:F24 F53:F57 F40:F41 F50:F51 F59:F60 F43:F44 F47 F27:F28" xr:uid="{00000000-0002-0000-0900-00000F000000}">
      <formula1>"Oui,Non,Pourquoi?"</formula1>
    </dataValidation>
  </dataValidations>
  <hyperlinks>
    <hyperlink ref="A1" location="Sommaire!A1" display="Retour à la page d'accueil" xr:uid="{00000000-0004-0000-0900-000000000000}"/>
    <hyperlink ref="A1:B1" location="Accueil!A1" display="Retour à la page d'accueil" xr:uid="{00000000-0004-0000-0900-000001000000}"/>
  </hyperlinks>
  <pageMargins left="0.7" right="0.7" top="0.75" bottom="0.75" header="0.3" footer="0.3"/>
  <pageSetup paperSize="9" orientation="portrait" horizontalDpi="4294967293"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249977111117893"/>
  </sheetPr>
  <dimension ref="A1:K123"/>
  <sheetViews>
    <sheetView showGridLines="0" workbookViewId="0">
      <pane ySplit="6" topLeftCell="A16" activePane="bottomLeft" state="frozen"/>
      <selection pane="bottomLeft" activeCell="J28" sqref="J28"/>
    </sheetView>
  </sheetViews>
  <sheetFormatPr defaultColWidth="11.42578125" defaultRowHeight="14.25"/>
  <cols>
    <col min="1" max="1" width="2.28515625" customWidth="1"/>
    <col min="2" max="2" width="63.140625" style="10" customWidth="1"/>
    <col min="3" max="3" width="32.42578125" style="15" customWidth="1"/>
    <col min="4" max="4" width="13.85546875" customWidth="1"/>
    <col min="5" max="5" width="9" hidden="1" customWidth="1"/>
    <col min="6" max="6" width="45.7109375" customWidth="1"/>
    <col min="7" max="7" width="4.85546875" customWidth="1"/>
    <col min="8" max="8" width="7.85546875" style="171" customWidth="1"/>
    <col min="9" max="9" width="7.85546875" style="172" customWidth="1"/>
    <col min="10" max="10" width="11.42578125" style="172" customWidth="1"/>
    <col min="11" max="11" width="4.85546875" style="172" bestFit="1" customWidth="1"/>
  </cols>
  <sheetData>
    <row r="1" spans="1:11">
      <c r="A1" s="302" t="s">
        <v>26</v>
      </c>
      <c r="B1" s="302"/>
      <c r="C1" s="177" t="s">
        <v>576</v>
      </c>
    </row>
    <row r="2" spans="1:11" ht="18">
      <c r="B2" s="34" t="s">
        <v>744</v>
      </c>
      <c r="C2" s="116" t="s">
        <v>686</v>
      </c>
    </row>
    <row r="3" spans="1:11">
      <c r="B3" s="13" t="s">
        <v>578</v>
      </c>
    </row>
    <row r="4" spans="1:11">
      <c r="B4" s="13" t="s">
        <v>579</v>
      </c>
    </row>
    <row r="5" spans="1:11" ht="6" customHeight="1"/>
    <row r="6" spans="1:11" ht="15">
      <c r="B6" s="11" t="s">
        <v>580</v>
      </c>
      <c r="C6" s="5" t="s">
        <v>581</v>
      </c>
      <c r="D6" s="5" t="s">
        <v>118</v>
      </c>
      <c r="E6" s="33" t="s">
        <v>31</v>
      </c>
      <c r="F6" s="5" t="s">
        <v>28</v>
      </c>
      <c r="G6" s="16"/>
      <c r="I6" s="171"/>
      <c r="J6" s="178"/>
      <c r="K6" s="178"/>
    </row>
    <row r="7" spans="1:11" ht="24.95" customHeight="1">
      <c r="B7" s="6" t="str">
        <f>IF(C2="Oui existant","COTS ou Développement interne? (Commercial Off-The-Shelf solution)","Vous prévoyez quel type de solution?: COTS ou Développement interne? (Commercial Off-The-Shelf solution)")</f>
        <v>COTS ou Développement interne? (Commercial Off-The-Shelf solution)</v>
      </c>
      <c r="C7" s="177" t="s">
        <v>687</v>
      </c>
      <c r="D7" s="21"/>
      <c r="E7" s="12">
        <f>IF(TRIM(B7)="","",IF(TRIM(C7)="",0,1))</f>
        <v>1</v>
      </c>
      <c r="F7" s="164" t="s">
        <v>54</v>
      </c>
      <c r="G7" s="16"/>
      <c r="I7" s="171"/>
    </row>
    <row r="8" spans="1:11">
      <c r="B8" s="6" t="str">
        <f>IF(C7="COTS","Nom de l'éditeur","")</f>
        <v/>
      </c>
      <c r="C8" s="158" t="s">
        <v>714</v>
      </c>
      <c r="D8" s="20"/>
      <c r="E8" s="12" t="str">
        <f t="shared" ref="E8:E60" si="0">IF(TRIM(B8)="","",IF(TRIM(C8)="",0,1))</f>
        <v/>
      </c>
      <c r="F8" s="164" t="s">
        <v>54</v>
      </c>
      <c r="G8" s="16"/>
      <c r="I8" s="171"/>
    </row>
    <row r="9" spans="1:11">
      <c r="B9" s="6" t="str">
        <f>IF(C2="Oui existant","Nom de la solution",IF(AND(C7&lt;&gt;"Non prévu",C7&lt;&gt;""),"Nom de la solution (si déjà identifiée)",""))</f>
        <v>Nom de la solution</v>
      </c>
      <c r="C9" s="159" t="s">
        <v>367</v>
      </c>
      <c r="D9" s="20"/>
      <c r="E9" s="12">
        <f t="shared" si="0"/>
        <v>1</v>
      </c>
      <c r="F9" s="164" t="s">
        <v>54</v>
      </c>
      <c r="G9" s="397"/>
      <c r="H9" s="398"/>
      <c r="I9" s="398"/>
    </row>
    <row r="10" spans="1:11">
      <c r="B10" s="6" t="str">
        <f>IF(C2="Oui existant","Quelle est la version/release de l'application ?",IF(C7="COTS","Quelle est la version/release qui sera implémentée ?",""))</f>
        <v>Quelle est la version/release de l'application ?</v>
      </c>
      <c r="C10" s="158" t="s">
        <v>716</v>
      </c>
      <c r="D10" s="20"/>
      <c r="E10" s="12">
        <f>IF(TRIM(B10)="","",IF(TRIM(C10)="",0,1))</f>
        <v>1</v>
      </c>
      <c r="F10" s="164" t="s">
        <v>54</v>
      </c>
      <c r="G10" s="397"/>
      <c r="H10" s="398"/>
      <c r="I10" s="398"/>
    </row>
    <row r="11" spans="1:11">
      <c r="B11" s="6" t="str">
        <f>IF(C2="Oui existant","Quelle est la dernière version de l'application ?",IF(C7="COTS","Quelle est la dernière version de cette nouvelle solution ?",""))</f>
        <v>Quelle est la dernière version de l'application ?</v>
      </c>
      <c r="C11" s="159" t="s">
        <v>717</v>
      </c>
      <c r="D11" s="20"/>
      <c r="E11" s="12">
        <f>IF(TRIM(B11)="","",IF(TRIM(C11)="",0,1))</f>
        <v>1</v>
      </c>
      <c r="F11" s="164" t="s">
        <v>54</v>
      </c>
      <c r="G11" s="397"/>
      <c r="H11" s="398"/>
      <c r="I11" s="398"/>
    </row>
    <row r="12" spans="1:11">
      <c r="B12" s="6" t="str">
        <f>IF(C2="Oui existant","Etes-vous au courant d’une évolution majeure en cours sur cette application","")</f>
        <v>Etes-vous au courant d’une évolution majeure en cours sur cette application</v>
      </c>
      <c r="C12" s="20" t="s">
        <v>54</v>
      </c>
      <c r="D12" s="20"/>
      <c r="E12" s="12">
        <f>IF(TRIM(B12)="","",IF(TRIM(C12)="",0,1))</f>
        <v>1</v>
      </c>
      <c r="F12" s="164" t="s">
        <v>54</v>
      </c>
      <c r="G12" s="16"/>
      <c r="I12" s="171"/>
    </row>
    <row r="13" spans="1:11">
      <c r="B13" s="6" t="str">
        <f>IF(C2="Oui existant","Qui contrôle les évolutions sur cette Application ?","")</f>
        <v>Qui contrôle les évolutions sur cette Application ?</v>
      </c>
      <c r="C13" s="20" t="s">
        <v>60</v>
      </c>
      <c r="D13" s="20"/>
      <c r="E13" s="12">
        <f>IF(TRIM(B13)="","",IF(TRIM(C13)="",0,1))</f>
        <v>1</v>
      </c>
      <c r="F13" s="164" t="s">
        <v>54</v>
      </c>
      <c r="G13" s="16"/>
      <c r="I13" s="171"/>
    </row>
    <row r="14" spans="1:11" s="9" customFormat="1" ht="26.1" customHeight="1">
      <c r="B14" s="7" t="str">
        <f>IF(C2="Oui existant","Quelle est la criticité de cette application ? combien de temps peut-on supporter son indisponibilité (colonne détail) ?","Quelle est la criticité de ce besoin ?")</f>
        <v>Quelle est la criticité de cette application ? combien de temps peut-on supporter son indisponibilité (colonne détail) ?</v>
      </c>
      <c r="C14" s="20" t="s">
        <v>597</v>
      </c>
      <c r="D14" s="21"/>
      <c r="E14" s="12">
        <f>IF(TRIM(B14)="","",IF(TRIM(C14)="",0,1))</f>
        <v>1</v>
      </c>
      <c r="F14" s="164" t="s">
        <v>54</v>
      </c>
      <c r="G14" s="16"/>
      <c r="H14" s="171"/>
      <c r="I14" s="171"/>
      <c r="J14" s="172"/>
      <c r="K14" s="172"/>
    </row>
    <row r="15" spans="1:11">
      <c r="B15" s="6" t="str">
        <f>IF(C7="COTS","Est-ce un module du CBS ou une  solution séparée?","")</f>
        <v/>
      </c>
      <c r="C15" s="20" t="s">
        <v>720</v>
      </c>
      <c r="D15" s="20"/>
      <c r="E15" s="12" t="str">
        <f t="shared" si="0"/>
        <v/>
      </c>
      <c r="F15" s="164" t="s">
        <v>54</v>
      </c>
      <c r="G15" s="16"/>
      <c r="I15" s="171"/>
    </row>
    <row r="16" spans="1:11">
      <c r="B16" s="6" t="str">
        <f>IF(C2="Oui existant","Quand l’application a-t-elle été implémentée ?",IF(AND(C7&lt;&gt;"Non prévu",C7&lt;&gt;""),"Quand l’application sera-t-elle implémentée ?",""))</f>
        <v>Quand l’application a-t-elle été implémentée ?</v>
      </c>
      <c r="C16" s="20">
        <v>2022</v>
      </c>
      <c r="D16" s="20"/>
      <c r="E16" s="12">
        <f t="shared" si="0"/>
        <v>1</v>
      </c>
      <c r="F16" s="164" t="s">
        <v>54</v>
      </c>
      <c r="G16" s="16"/>
      <c r="H16" s="173"/>
      <c r="I16" s="173"/>
    </row>
    <row r="17" spans="2:9">
      <c r="B17" s="6" t="str">
        <f>IF(C2="Oui existant","Qui l'a implémenté ?",IF(AND(C7&lt;&gt;"Non prévu",C7&lt;&gt;""),"Qui doit l'implémenter ?",""))</f>
        <v>Qui l'a implémenté ?</v>
      </c>
      <c r="C17" s="177" t="s">
        <v>745</v>
      </c>
      <c r="D17" s="20"/>
      <c r="E17" s="12">
        <f t="shared" si="0"/>
        <v>1</v>
      </c>
      <c r="F17" s="164" t="s">
        <v>54</v>
      </c>
      <c r="G17" s="16"/>
      <c r="I17" s="171"/>
    </row>
    <row r="18" spans="2:9" ht="153">
      <c r="B18" s="6" t="str">
        <f>IF(C2="Oui existant","Quels sont les processus fonctionnels couverts ?",IF(AND(C7&lt;&gt;"Non prévu",C7&lt;&gt;""),"Quels sont les processus fonctionnels qui doivent être couverts ?",""))</f>
        <v>Quels sont les processus fonctionnels couverts ?</v>
      </c>
      <c r="C18" s="21" t="s">
        <v>746</v>
      </c>
      <c r="D18" s="20"/>
      <c r="E18" s="12">
        <f t="shared" si="0"/>
        <v>1</v>
      </c>
      <c r="F18" s="164" t="s">
        <v>54</v>
      </c>
      <c r="G18" s="16"/>
      <c r="I18" s="171"/>
    </row>
    <row r="19" spans="2:9">
      <c r="B19" s="6" t="str">
        <f>IF(C2="Oui existant","Est-ce que la solution est integrée au CBS ?",IF(AND(C7&lt;&gt;"Non prévu",C7&lt;&gt;""),"Est-ce que la solution sera integrée au CBS ?",""))</f>
        <v>Est-ce que la solution est integrée au CBS ?</v>
      </c>
      <c r="C19" s="20" t="s">
        <v>39</v>
      </c>
      <c r="D19" s="20"/>
      <c r="E19" s="12">
        <f t="shared" ref="E19:E20" si="1">IF(TRIM(B19)="","",IF(TRIM(C19)="",0,1))</f>
        <v>1</v>
      </c>
      <c r="F19" s="164" t="s">
        <v>747</v>
      </c>
      <c r="G19" s="16"/>
      <c r="H19" s="173"/>
      <c r="I19" s="173"/>
    </row>
    <row r="20" spans="2:9">
      <c r="B20" s="6" t="str">
        <f>IF(C19="Oui",IF(C2="Oui existant","Comment et quels sont les processus et données qui transitent ?",IF(AND(C7&lt;&gt;"Non prévu",C7&lt;&gt;""),"Comment et quels seront les processus et données qui vont transiter ?","")),"")</f>
        <v>Comment et quels sont les processus et données qui transitent ?</v>
      </c>
      <c r="C20" s="20" t="s">
        <v>748</v>
      </c>
      <c r="D20" s="20"/>
      <c r="E20" s="12">
        <f t="shared" si="1"/>
        <v>1</v>
      </c>
      <c r="F20" s="164" t="s">
        <v>54</v>
      </c>
      <c r="G20" s="16"/>
      <c r="I20" s="171"/>
    </row>
    <row r="21" spans="2:9">
      <c r="B21" s="6" t="str">
        <f>IF(C2="Oui existant","Quel est le niveau de personnalisation de l’Application ?",IF(C7="COTS","Quel est le niveau de personnalisation prévu de l’Application ?",""))</f>
        <v>Quel est le niveau de personnalisation de l’Application ?</v>
      </c>
      <c r="C21" s="185" t="s">
        <v>749</v>
      </c>
      <c r="D21" s="20"/>
      <c r="E21" s="12">
        <f t="shared" si="0"/>
        <v>1</v>
      </c>
      <c r="F21" s="164" t="s">
        <v>54</v>
      </c>
      <c r="G21" s="16"/>
      <c r="I21" s="171"/>
    </row>
    <row r="22" spans="2:9">
      <c r="B22" s="6" t="str">
        <f>IF(C2="Oui existant","Quelle(s) technologie(s) sous-jacente(s) ?","")</f>
        <v>Quelle(s) technologie(s) sous-jacente(s) ?</v>
      </c>
      <c r="C22" s="20" t="s">
        <v>60</v>
      </c>
      <c r="D22" s="20"/>
      <c r="E22" s="12">
        <f t="shared" si="0"/>
        <v>1</v>
      </c>
      <c r="F22" s="164" t="s">
        <v>54</v>
      </c>
      <c r="G22" s="16"/>
      <c r="I22" s="171"/>
    </row>
    <row r="23" spans="2:9">
      <c r="B23" s="6" t="str">
        <f>IF(C2="Oui existant","Est-ce que la version existe sur Android, iOS ou les 2 ?",IF(AND(C7&lt;&gt;"Non prévu",C7&lt;&gt;""),"Est-ce qu'il y aura une version Android, iOS ou les 2 ?",""))</f>
        <v>Est-ce que la version existe sur Android, iOS ou les 2 ?</v>
      </c>
      <c r="C23" s="20" t="s">
        <v>623</v>
      </c>
      <c r="D23" s="20"/>
      <c r="E23" s="12">
        <f t="shared" si="0"/>
        <v>1</v>
      </c>
      <c r="F23" s="164" t="s">
        <v>54</v>
      </c>
      <c r="G23" s="16"/>
      <c r="I23" s="171"/>
    </row>
    <row r="24" spans="2:9">
      <c r="B24" s="6" t="str">
        <f>IF(AND(C7&lt;&gt;"Non prévu",C7&lt;&gt;""),IF(C23 = "Android","Quelle version de Android ?",IF(C23 = "iOS","Quelle version d' iOS ?",IF(C23 = "Les 2","Quelle versions d' iOS et d' Android ?",""))),"")</f>
        <v>Quelle versions d' iOS et d' Android ?</v>
      </c>
      <c r="C24" s="20" t="s">
        <v>39</v>
      </c>
      <c r="D24" s="20"/>
      <c r="E24" s="12">
        <f t="shared" si="0"/>
        <v>1</v>
      </c>
      <c r="F24" s="164" t="s">
        <v>750</v>
      </c>
      <c r="G24" s="16"/>
      <c r="I24" s="171"/>
    </row>
    <row r="25" spans="2:9">
      <c r="B25" s="208" t="str">
        <f>IF(C2="Oui existant","Quel est le nombre d’utilisateurs finaux de cette application ?",IF(AND(C7&lt;&gt;"Non prévu",C7&lt;&gt;""),"Quel est le nombre d’utilisateurs finaux prévus pour cette application ?",""))</f>
        <v>Quel est le nombre d’utilisateurs finaux de cette application ?</v>
      </c>
      <c r="C25" s="210">
        <v>8600</v>
      </c>
      <c r="D25" s="20"/>
      <c r="E25" s="12">
        <f t="shared" si="0"/>
        <v>1</v>
      </c>
      <c r="F25" s="164" t="s">
        <v>751</v>
      </c>
      <c r="G25" s="16"/>
      <c r="I25" s="171"/>
    </row>
    <row r="26" spans="2:9">
      <c r="B26" s="6" t="str">
        <f>IF(C2="Oui existant","Y a-t-il des utilisateurs du Groupe sur les activités de la filiale ?","")</f>
        <v>Y a-t-il des utilisateurs du Groupe sur les activités de la filiale ?</v>
      </c>
      <c r="C26" s="211" t="s">
        <v>54</v>
      </c>
      <c r="D26" s="20"/>
      <c r="E26" s="12">
        <f t="shared" si="0"/>
        <v>1</v>
      </c>
      <c r="F26" s="164" t="s">
        <v>752</v>
      </c>
      <c r="G26" s="16"/>
      <c r="I26" s="171"/>
    </row>
    <row r="27" spans="2:9">
      <c r="B27" s="6" t="str">
        <f>IF(C26="Oui","Quel est le ratio  ?","")</f>
        <v/>
      </c>
      <c r="C27" s="20"/>
      <c r="D27" s="20"/>
      <c r="E27" s="12" t="str">
        <f t="shared" si="0"/>
        <v/>
      </c>
      <c r="F27" s="164"/>
      <c r="G27" s="16"/>
      <c r="I27" s="171"/>
    </row>
    <row r="28" spans="2:9">
      <c r="B28" s="6" t="str">
        <f>IF(C2="Oui existant","Quels ont été les acquisitions de licences détaillées (nombre, date, coût) ?","")</f>
        <v>Quels ont été les acquisitions de licences détaillées (nombre, date, coût) ?</v>
      </c>
      <c r="C28" s="20" t="s">
        <v>368</v>
      </c>
      <c r="D28" s="20"/>
      <c r="E28" s="12">
        <f t="shared" si="0"/>
        <v>1</v>
      </c>
      <c r="F28" s="164" t="s">
        <v>63</v>
      </c>
      <c r="G28" s="16"/>
      <c r="I28" s="171"/>
    </row>
    <row r="29" spans="2:9">
      <c r="B29" s="6" t="str">
        <f>IF(C2="Oui existant","Quel est le nombre actuel de licences détenues par la filiale?",IF(C7="COTS","Combien de licences projettez-vous d'acquérir ?",""))</f>
        <v>Quel est le nombre actuel de licences détenues par la filiale?</v>
      </c>
      <c r="C29" s="20" t="s">
        <v>368</v>
      </c>
      <c r="D29" s="20"/>
      <c r="E29" s="12">
        <f t="shared" si="0"/>
        <v>1</v>
      </c>
      <c r="F29" s="164" t="s">
        <v>753</v>
      </c>
      <c r="G29" s="16"/>
      <c r="I29" s="171"/>
    </row>
    <row r="30" spans="2:9">
      <c r="B30" s="6" t="str">
        <f>IF(C2="Oui existant","Quel type de licences (nominatives/partagées) ?",IF(C7="COTS","Est-ce que ce sera des licences nominatives ou partagées ?",""))</f>
        <v>Quel type de licences (nominatives/partagées) ?</v>
      </c>
      <c r="C30" s="177" t="s">
        <v>633</v>
      </c>
      <c r="D30" s="20"/>
      <c r="E30" s="12">
        <f t="shared" si="0"/>
        <v>1</v>
      </c>
      <c r="F30" s="164" t="s">
        <v>753</v>
      </c>
      <c r="G30" s="16"/>
      <c r="I30" s="171"/>
    </row>
    <row r="31" spans="2:9" ht="36.6" customHeight="1">
      <c r="B31" s="6" t="str">
        <f>IF(C2="Oui existant","Des licences supplémentaires sont-elles nécessaires pour l'utilisation de l'application (outil supplémentaire, interfaces, modules complémentaires, …) ? Par module / par utilisateur ?",IF(C7="COTS","Est-ce que vous projettez d'acquérir d'autres licences dans un second temps ? combien et quand ?",""))</f>
        <v>Des licences supplémentaires sont-elles nécessaires pour l'utilisation de l'application (outil supplémentaire, interfaces, modules complémentaires, …) ? Par module / par utilisateur ?</v>
      </c>
      <c r="C31" s="177" t="s">
        <v>754</v>
      </c>
      <c r="D31" s="177" t="s">
        <v>754</v>
      </c>
      <c r="E31" s="12">
        <f t="shared" si="0"/>
        <v>1</v>
      </c>
      <c r="F31" s="164" t="s">
        <v>755</v>
      </c>
      <c r="G31" s="16"/>
      <c r="I31" s="171"/>
    </row>
    <row r="32" spans="2:9">
      <c r="B32" s="6" t="str">
        <f>IF(C2="Oui existant","Quel est le coût du support éditeur ?",IF(C7="COTS","Quel sera le coût du support éditeur ?",""))</f>
        <v>Quel est le coût du support éditeur ?</v>
      </c>
      <c r="C32" s="20" t="s">
        <v>368</v>
      </c>
      <c r="D32" s="20"/>
      <c r="E32" s="12">
        <f t="shared" si="0"/>
        <v>1</v>
      </c>
      <c r="F32" s="164" t="s">
        <v>54</v>
      </c>
      <c r="G32" s="16"/>
      <c r="I32" s="171"/>
    </row>
    <row r="33" spans="2:9" ht="25.5">
      <c r="B33" s="6" t="str">
        <f>IF(C2="Oui existant","Existe-t-il un contrat de support avec un fournisseur ou un partenaire ? Pouvez-vous le partager ?","")</f>
        <v>Existe-t-il un contrat de support avec un fournisseur ou un partenaire ? Pouvez-vous le partager ?</v>
      </c>
      <c r="C33" s="20" t="s">
        <v>39</v>
      </c>
      <c r="D33" s="20" t="s">
        <v>368</v>
      </c>
      <c r="E33" s="12">
        <f t="shared" si="0"/>
        <v>1</v>
      </c>
      <c r="F33" s="164" t="s">
        <v>54</v>
      </c>
      <c r="G33" s="16"/>
      <c r="I33" s="171"/>
    </row>
    <row r="34" spans="2:9">
      <c r="B34" s="6" t="str">
        <f>IF(C2="Oui existant","Le contrat est-il global couvrant plusieurs filiales ou dédié à la filiale ?",IF(C7="COTS","Projettez-vous une acquisition individuelle ou groupe ?",""))</f>
        <v>Le contrat est-il global couvrant plusieurs filiales ou dédié à la filiale ?</v>
      </c>
      <c r="C34" s="20" t="s">
        <v>638</v>
      </c>
      <c r="D34" s="20"/>
      <c r="E34" s="12">
        <f t="shared" si="0"/>
        <v>1</v>
      </c>
      <c r="F34" s="164" t="s">
        <v>54</v>
      </c>
      <c r="G34" s="16"/>
      <c r="I34" s="171"/>
    </row>
    <row r="35" spans="2:9" ht="29.25" customHeight="1">
      <c r="B35" s="6" t="str">
        <f>IF(C2="Oui existant","Le contrat comprend-il un SLA formel ? Cela inclut-il un engagement de performance ?","")</f>
        <v>Le contrat comprend-il un SLA formel ? Cela inclut-il un engagement de performance ?</v>
      </c>
      <c r="C35" s="185" t="s">
        <v>641</v>
      </c>
      <c r="D35" s="20"/>
      <c r="E35" s="12">
        <f>IF(TRIM(B35)="","",IF(TRIM(C35)="",0,1))</f>
        <v>1</v>
      </c>
      <c r="F35" s="164" t="s">
        <v>54</v>
      </c>
      <c r="G35" s="16"/>
      <c r="I35" s="171"/>
    </row>
    <row r="36" spans="2:9" ht="382.5">
      <c r="B36" s="249" t="str">
        <f>IF(C2="Oui existant","Combien de ETP internes sont dédiés aux support (Niveaux 1, 2 et 3) de cette solution ?
Veuillez décrire dans la colonne détail de quelle entité sont-ils (Holding ou pays), la répartition des principales activités, les compétences et les rôles",IF(AND(C7&lt;&gt;"Non prévu",C7&lt;&gt;""),"Combien de ETP internes projettez-vous de dédier aux support (Niveaux 1, 2 et 3) de cette solution ?",""))</f>
        <v>Combien de ETP internes sont dédiés aux support (Niveaux 1, 2 et 3) de cette solution ?
Veuillez décrire dans la colonne détail de quelle entité sont-ils (Holding ou pays), la répartition des principales activités, les compétences et les rôles</v>
      </c>
      <c r="C36" s="235" t="s">
        <v>756</v>
      </c>
      <c r="D36" s="21" t="s">
        <v>757</v>
      </c>
      <c r="E36" s="12">
        <f>IF(TRIM(B36)="","",IF(TRIM(C36)="",0,IF(TRIM(D36)="",0.5,1)))</f>
        <v>1</v>
      </c>
      <c r="F36" s="164" t="s">
        <v>758</v>
      </c>
      <c r="G36" s="16"/>
      <c r="I36" s="171"/>
    </row>
    <row r="37" spans="2:9" ht="51">
      <c r="B37" s="249" t="str">
        <f>IF(C2="Oui existant","Combien de ETP internes sont dédiés aux changes opérés sur cette solution (incluant Dev, Config, Mise en prod) ?
Veuillez décrire dans la col. détail de quelle entité sont-ils (Holding ou pays), la répartition des activités, les compétences et les rôles",IF(AND(C7&lt;&gt;"Non prévu",C7&lt;&gt;""),"Combien de ETP internes projettez-vous de dédier aux futurs changes sur cette solution (incluant Dev, Config, Mise en prod) ?",""))</f>
        <v>Combien de ETP internes sont dédiés aux changes opérés sur cette solution (incluant Dev, Config, Mise en prod) ?
Veuillez décrire dans la col. détail de quelle entité sont-ils (Holding ou pays), la répartition des activités, les compétences et les rôles</v>
      </c>
      <c r="C37" s="251" t="s">
        <v>647</v>
      </c>
      <c r="D37" s="21" t="s">
        <v>757</v>
      </c>
      <c r="E37" s="12">
        <f>IF(TRIM(B37)="","",IF(TRIM(C37)="",0,IF(TRIM(D37)="",0.5,1)))</f>
        <v>1</v>
      </c>
      <c r="F37" s="164" t="s">
        <v>758</v>
      </c>
      <c r="G37" s="16"/>
      <c r="I37" s="171"/>
    </row>
    <row r="38" spans="2:9" ht="32.25" customHeight="1">
      <c r="B38" s="208" t="str">
        <f>IF(C2="Oui existant","Qui administre cette solution et apporte le support aux utilisateurs l'IT Groupe, l'IT local ou les 2 ?",IF(AND(C7&lt;&gt;"Non prévu",C7&lt;&gt;""),"Qui va administrer cette solution et apporter le support aux utilisateurs: l'IT Groupe, l'IT local ou les 2 ?",""))</f>
        <v>Qui administre cette solution et apporte le support aux utilisateurs l'IT Groupe, l'IT local ou les 2 ?</v>
      </c>
      <c r="C38" s="20" t="s">
        <v>623</v>
      </c>
      <c r="D38" s="20" t="s">
        <v>650</v>
      </c>
      <c r="E38" s="12">
        <f t="shared" si="0"/>
        <v>1</v>
      </c>
      <c r="F38" s="164" t="s">
        <v>651</v>
      </c>
      <c r="G38" s="16"/>
      <c r="I38" s="171"/>
    </row>
    <row r="39" spans="2:9" ht="38.25">
      <c r="B39" s="6" t="str">
        <f>IF(C38="Les 2","A quelle proportion chacun ? et existe-t-il un SLA interne entre Group IT et la filiale ? S'il existe, pouvez-vous le partager
vous pouvez décrire dans la partie détails les responsabilités de chaque partie","")</f>
        <v>A quelle proportion chacun ? et existe-t-il un SLA interne entre Group IT et la filiale ? S'il existe, pouvez-vous le partager
vous pouvez décrire dans la partie détails les responsabilités de chaque partie</v>
      </c>
      <c r="C39" s="20" t="s">
        <v>25</v>
      </c>
      <c r="D39" s="21" t="s">
        <v>25</v>
      </c>
      <c r="E39" s="12">
        <f t="shared" si="0"/>
        <v>1</v>
      </c>
      <c r="F39" s="164" t="s">
        <v>54</v>
      </c>
      <c r="G39" s="16"/>
      <c r="I39" s="171"/>
    </row>
    <row r="40" spans="2:9" ht="39" customHeight="1">
      <c r="B40" s="6" t="str">
        <f>IF(C2="Oui existant","Avez-vous un historique des KPI pour la disponibilité et le support de cette application ? Si oui, pouvez-vous les partager","")</f>
        <v>Avez-vous un historique des KPI pour la disponibilité et le support de cette application ? Si oui, pouvez-vous les partager</v>
      </c>
      <c r="C40" s="20" t="s">
        <v>54</v>
      </c>
      <c r="D40" s="20"/>
      <c r="E40" s="12">
        <f t="shared" si="0"/>
        <v>1</v>
      </c>
      <c r="F40" s="164" t="s">
        <v>759</v>
      </c>
      <c r="G40" s="16"/>
      <c r="I40" s="171"/>
    </row>
    <row r="41" spans="2:9">
      <c r="B41" s="6" t="str">
        <f>IF(C2="Oui existant","Existe-t-il un processus de suivi des contrats groupe et tiers ?","")</f>
        <v>Existe-t-il un processus de suivi des contrats groupe et tiers ?</v>
      </c>
      <c r="C41" s="20" t="s">
        <v>54</v>
      </c>
      <c r="D41" s="20"/>
      <c r="E41" s="12">
        <f t="shared" si="0"/>
        <v>1</v>
      </c>
      <c r="F41" s="164" t="s">
        <v>54</v>
      </c>
      <c r="G41" s="16"/>
      <c r="I41" s="171"/>
    </row>
    <row r="42" spans="2:9">
      <c r="B42" s="6" t="str">
        <f>IF(C2="Oui existant","L'application est-elle installée sur site ou utilisée sur le Cloud (SaaS) ?",IF(AND(C7&lt;&gt;"Non prévu",C7&lt;&gt;""),"La nouvelle solution sera-t-elle installée sur site ou utilisée sur le Cloud (SaaS) ?",""))</f>
        <v>L'application est-elle installée sur site ou utilisée sur le Cloud (SaaS) ?</v>
      </c>
      <c r="C42" s="185" t="s">
        <v>707</v>
      </c>
      <c r="D42" s="20"/>
      <c r="E42" s="12">
        <f t="shared" si="0"/>
        <v>1</v>
      </c>
      <c r="F42" s="164" t="s">
        <v>54</v>
      </c>
      <c r="G42" s="16"/>
      <c r="I42" s="171"/>
    </row>
    <row r="43" spans="2:9">
      <c r="B43" s="6" t="str">
        <f>IF(AND(C42="Cloud",C7="COTS"),"Est-ce entièrement SaaS ou Infra gérée par l'équipe locale ?","")</f>
        <v/>
      </c>
      <c r="C43" s="22"/>
      <c r="D43" s="20"/>
      <c r="E43" s="12" t="str">
        <f t="shared" si="0"/>
        <v/>
      </c>
      <c r="F43" s="164" t="s">
        <v>54</v>
      </c>
      <c r="G43" s="16"/>
      <c r="I43" s="171"/>
    </row>
    <row r="44" spans="2:9">
      <c r="B44" s="6" t="str">
        <f>IF(C2="Oui existant","S'agit-il d'une architecture Client/Serveur à 3 niveaux ? Décrivez s'il vous plait","")</f>
        <v>S'agit-il d'une architecture Client/Serveur à 3 niveaux ? Décrivez s'il vous plait</v>
      </c>
      <c r="C44" s="20" t="s">
        <v>39</v>
      </c>
      <c r="D44" s="21" t="s">
        <v>24</v>
      </c>
      <c r="E44" s="12">
        <f>IF(TRIM(B44)="","",IF(TRIM(C44)="",0,IF(TRIM(D44)="",0.5,1)))</f>
        <v>1</v>
      </c>
      <c r="F44" s="164" t="s">
        <v>54</v>
      </c>
      <c r="G44" s="16"/>
      <c r="I44" s="171"/>
    </row>
    <row r="45" spans="2:9">
      <c r="B45" s="6" t="str">
        <f>IF(C42="On-site","Comment sont acquis les serveurs (achat/location/sous-traitance) ?","")</f>
        <v/>
      </c>
      <c r="C45" s="22" t="s">
        <v>659</v>
      </c>
      <c r="D45" s="20"/>
      <c r="E45" s="12" t="str">
        <f t="shared" si="0"/>
        <v/>
      </c>
      <c r="F45" s="164" t="s">
        <v>54</v>
      </c>
      <c r="G45" s="16"/>
      <c r="I45" s="171"/>
    </row>
    <row r="46" spans="2:9">
      <c r="B46" s="6" t="str">
        <f>IF(C2="Oui existant","Où sont installés les serveurs ?","")</f>
        <v>Où sont installés les serveurs ?</v>
      </c>
      <c r="C46" s="22" t="s">
        <v>760</v>
      </c>
      <c r="D46" s="20"/>
      <c r="E46" s="12">
        <f t="shared" si="0"/>
        <v>1</v>
      </c>
      <c r="F46" s="164" t="s">
        <v>709</v>
      </c>
      <c r="G46" s="16"/>
      <c r="I46" s="171"/>
    </row>
    <row r="47" spans="2:9" ht="24" customHeight="1">
      <c r="B47" s="208" t="str">
        <f>IF(C2="Oui existant","Sur quels systèmes (versions) cette application s'exécute-t-elle ?",IF(AND(C7&lt;&gt;"Non prévu",C7&lt;&gt;""),"Sur quels systèmes (versions) cette application sera-t-elle implémentée ?",""))</f>
        <v>Sur quels systèmes (versions) cette application s'exécute-t-elle ?</v>
      </c>
      <c r="C47" s="217" t="s">
        <v>761</v>
      </c>
      <c r="D47" s="20"/>
      <c r="E47" s="12">
        <f t="shared" si="0"/>
        <v>1</v>
      </c>
      <c r="F47" s="164" t="s">
        <v>737</v>
      </c>
      <c r="G47" s="16"/>
      <c r="I47" s="171"/>
    </row>
    <row r="48" spans="2:9" ht="17.25" customHeight="1">
      <c r="B48" s="6" t="str">
        <f>IF(C2="Oui existant","Sur quelle base de données cette application tourne-t-elle ?",IF(AND(C7&lt;&gt;"Non prévu",C7&lt;&gt;""),"Sur quelle base de données cette application tournera-t-elle ?",""))</f>
        <v>Sur quelle base de données cette application tourne-t-elle ?</v>
      </c>
      <c r="C48" s="177" t="s">
        <v>762</v>
      </c>
      <c r="D48" s="20"/>
      <c r="E48" s="12">
        <f t="shared" si="0"/>
        <v>1</v>
      </c>
      <c r="F48" s="164" t="s">
        <v>54</v>
      </c>
      <c r="G48" s="16"/>
      <c r="I48" s="171"/>
    </row>
    <row r="49" spans="2:9">
      <c r="B49" s="6" t="str">
        <f>IF(C2="Oui existant","Existe-t-il une architecture haute disponibilité (réplication) ?",IF(AND(C7&lt;&gt;"Non prévu",C7&lt;&gt;""),"Est-ce qu'il est prévu une architecture haute disponibilité (réplication) ?",""))</f>
        <v>Existe-t-il une architecture haute disponibilité (réplication) ?</v>
      </c>
      <c r="C49" s="22" t="s">
        <v>39</v>
      </c>
      <c r="D49" s="20"/>
      <c r="E49" s="12">
        <f t="shared" si="0"/>
        <v>1</v>
      </c>
      <c r="F49" s="164" t="s">
        <v>54</v>
      </c>
      <c r="G49" s="16"/>
      <c r="I49" s="171"/>
    </row>
    <row r="50" spans="2:9">
      <c r="B50" s="6" t="str">
        <f>IF(C49="Oui","Entièrement ou partiellement ? Actif-Actif ou Actif-Passif ?","")</f>
        <v>Entièrement ou partiellement ? Actif-Actif ou Actif-Passif ?</v>
      </c>
      <c r="C50" s="22" t="s">
        <v>739</v>
      </c>
      <c r="D50" s="20"/>
      <c r="E50" s="12">
        <f t="shared" si="0"/>
        <v>1</v>
      </c>
      <c r="F50" s="164" t="s">
        <v>54</v>
      </c>
      <c r="G50" s="16"/>
      <c r="I50" s="171"/>
    </row>
    <row r="51" spans="2:9">
      <c r="B51" s="6" t="str">
        <f>IF(C2="Oui existant","Existe-t-il un plan de récupération pour cette application ?","")</f>
        <v>Existe-t-il un plan de récupération pour cette application ?</v>
      </c>
      <c r="C51" s="177" t="s">
        <v>54</v>
      </c>
      <c r="D51" s="20"/>
      <c r="E51" s="12">
        <f t="shared" si="0"/>
        <v>1</v>
      </c>
      <c r="F51" s="164" t="s">
        <v>54</v>
      </c>
      <c r="G51" s="16"/>
      <c r="I51" s="171"/>
    </row>
    <row r="52" spans="2:9">
      <c r="B52" s="6" t="str">
        <f>IF(C2="Oui existant","Qui gère les données de la base de données ?",IF(AND(C7&lt;&gt;"Non prévu",C7&lt;&gt;""),"Qui va gèrer les données de la base de données ?",""))</f>
        <v>Qui gère les données de la base de données ?</v>
      </c>
      <c r="C52" s="22" t="s">
        <v>705</v>
      </c>
      <c r="D52" s="20"/>
      <c r="E52" s="12">
        <f t="shared" si="0"/>
        <v>1</v>
      </c>
      <c r="F52" s="164" t="s">
        <v>54</v>
      </c>
      <c r="G52" s="16"/>
      <c r="I52" s="171"/>
    </row>
    <row r="53" spans="2:9" ht="293.25">
      <c r="B53" s="249" t="str">
        <f>IF(C2="Oui existant","Quelles sont les interfaces existantes de cette application ? Veuillez décrire et partager tout document d'architecture",IF(AND(C7&lt;&gt;"Non prévu",C7&lt;&gt;""),"Quelles sont les interfaces prévues ? Veuillez décrire et partager tout document d'architecture cible",""))</f>
        <v>Quelles sont les interfaces existantes de cette application ? Veuillez décrire et partager tout document d'architecture</v>
      </c>
      <c r="C53" s="21" t="s">
        <v>763</v>
      </c>
      <c r="D53" s="21" t="s">
        <v>763</v>
      </c>
      <c r="E53" s="12">
        <f>IF(TRIM(B53)="","",IF(TRIM(C53)="",0,IF(TRIM(D53)="",0.5,1)))</f>
        <v>1</v>
      </c>
      <c r="F53" s="164" t="s">
        <v>764</v>
      </c>
      <c r="G53" s="16"/>
      <c r="I53" s="171"/>
    </row>
    <row r="54" spans="2:9" ht="40.5" customHeight="1">
      <c r="B54" s="6" t="str">
        <f>IF(C2="Oui existant","L'application est-elle complètement en temps réel ou y'a-t-il des batchs la nuit ? Décrivez s'il vous plait",IF(AND(C7&lt;&gt;"Non prévu",C7&lt;&gt;""),"L'application sera-t-elle complètement en temps réel ou y'aura-t-il des batchs la nuit ? Décrivez s'il vous plait",""))</f>
        <v>L'application est-elle complètement en temps réel ou y'a-t-il des batchs la nuit ? Décrivez s'il vous plait</v>
      </c>
      <c r="C54" s="20" t="s">
        <v>765</v>
      </c>
      <c r="D54" s="20" t="s">
        <v>765</v>
      </c>
      <c r="E54" s="12">
        <f>IF(TRIM(B54)="","",IF(TRIM(C54)="",0,IF(TRIM(D54)="",0.5,1)))</f>
        <v>1</v>
      </c>
      <c r="F54" s="164" t="s">
        <v>766</v>
      </c>
      <c r="G54" s="16"/>
      <c r="I54" s="171"/>
    </row>
    <row r="55" spans="2:9" ht="36.950000000000003" customHeight="1">
      <c r="B55" s="6" t="str">
        <f>IF(C2="Oui existant","Avez-vous connaissance d'un quelconque problème potentiel lié à la continuité de cette application (par exemple départ ou indisponibilité des ressources clés, fin de support, bug critique, ...), si oui lequel dans détails ?","")</f>
        <v>Avez-vous connaissance d'un quelconque problème potentiel lié à la continuité de cette application (par exemple départ ou indisponibilité des ressources clés, fin de support, bug critique, ...), si oui lequel dans détails ?</v>
      </c>
      <c r="C55" s="22" t="s">
        <v>54</v>
      </c>
      <c r="D55" s="20"/>
      <c r="E55" s="12">
        <f t="shared" si="0"/>
        <v>1</v>
      </c>
      <c r="F55" s="164" t="s">
        <v>54</v>
      </c>
      <c r="G55" s="16"/>
      <c r="I55" s="171"/>
    </row>
    <row r="56" spans="2:9">
      <c r="B56" s="6" t="str">
        <f>IF(C2="Oui existant","Est-ce que des sauvegardes sont réalisées régulièrement ?",IF(AND(C7&lt;&gt;"Non prévu",C7&lt;&gt;""),"Est-ce que des sauvegardes sont prévus dès l'implémentation ?",""))</f>
        <v>Est-ce que des sauvegardes sont réalisées régulièrement ?</v>
      </c>
      <c r="C56" s="177" t="s">
        <v>39</v>
      </c>
      <c r="D56" s="20"/>
      <c r="E56" s="12">
        <f t="shared" si="0"/>
        <v>1</v>
      </c>
      <c r="F56" s="164" t="s">
        <v>54</v>
      </c>
      <c r="G56" s="16"/>
      <c r="I56" s="171"/>
    </row>
    <row r="57" spans="2:9">
      <c r="B57" s="6" t="str">
        <f>IF(C56="Oui","A quelle fréquence sont-elles exécutées?","")</f>
        <v>A quelle fréquence sont-elles exécutées?</v>
      </c>
      <c r="C57" s="177" t="s">
        <v>741</v>
      </c>
      <c r="D57" s="20"/>
      <c r="E57" s="12">
        <f t="shared" si="0"/>
        <v>1</v>
      </c>
      <c r="F57" s="164" t="s">
        <v>54</v>
      </c>
      <c r="G57" s="16"/>
      <c r="H57" s="173"/>
      <c r="I57" s="173"/>
    </row>
    <row r="58" spans="2:9">
      <c r="B58" s="6" t="str">
        <f>IF(C56="Oui","Avez-vous une politique de rétention en place ? Si oui, pouvez-vous me la partager?","")</f>
        <v>Avez-vous une politique de rétention en place ? Si oui, pouvez-vous me la partager?</v>
      </c>
      <c r="C58" s="177" t="s">
        <v>54</v>
      </c>
      <c r="D58" s="20"/>
      <c r="E58" s="12">
        <f t="shared" si="0"/>
        <v>1</v>
      </c>
      <c r="F58" s="164" t="s">
        <v>54</v>
      </c>
      <c r="G58" s="16"/>
      <c r="H58" s="173"/>
      <c r="I58" s="173"/>
    </row>
    <row r="59" spans="2:9">
      <c r="B59" s="6" t="str">
        <f>IF(C56="Oui","Quelle est la solution de sauvegarde/récupération utilisée ?","")</f>
        <v>Quelle est la solution de sauvegarde/récupération utilisée ?</v>
      </c>
      <c r="C59" s="177" t="s">
        <v>682</v>
      </c>
      <c r="D59" s="20"/>
      <c r="E59" s="12">
        <f t="shared" si="0"/>
        <v>1</v>
      </c>
      <c r="F59" s="164" t="s">
        <v>54</v>
      </c>
      <c r="G59" s="16"/>
      <c r="H59" s="173"/>
      <c r="I59" s="173"/>
    </row>
    <row r="60" spans="2:9">
      <c r="B60" s="6" t="str">
        <f>IF(C56="Oui","Quelle est la taille totale estimée des sauvegardes ?","")</f>
        <v>Quelle est la taille totale estimée des sauvegardes ?</v>
      </c>
      <c r="C60" s="22" t="s">
        <v>721</v>
      </c>
      <c r="D60" s="20"/>
      <c r="E60" s="12">
        <f t="shared" si="0"/>
        <v>1</v>
      </c>
      <c r="F60" s="164" t="s">
        <v>54</v>
      </c>
      <c r="G60" s="16"/>
      <c r="I60" s="171"/>
    </row>
    <row r="61" spans="2:9">
      <c r="G61" s="16"/>
      <c r="I61" s="171"/>
    </row>
    <row r="62" spans="2:9">
      <c r="G62" s="16"/>
    </row>
    <row r="63" spans="2:9">
      <c r="G63" s="16"/>
    </row>
    <row r="64" spans="2:9">
      <c r="G64" s="16"/>
    </row>
    <row r="65" spans="7:7">
      <c r="G65" s="16"/>
    </row>
    <row r="66" spans="7:7">
      <c r="G66" s="16"/>
    </row>
    <row r="123" spans="1:1">
      <c r="A123" t="s">
        <v>223</v>
      </c>
    </row>
  </sheetData>
  <sheetProtection formatRows="0"/>
  <mergeCells count="4">
    <mergeCell ref="A1:B1"/>
    <mergeCell ref="G9:G11"/>
    <mergeCell ref="H9:H11"/>
    <mergeCell ref="I9:I11"/>
  </mergeCells>
  <conditionalFormatting sqref="B8:B13">
    <cfRule type="containsBlanks" dxfId="631" priority="86">
      <formula>LEN(TRIM(B8))=0</formula>
    </cfRule>
  </conditionalFormatting>
  <conditionalFormatting sqref="B15:B60">
    <cfRule type="containsBlanks" dxfId="630" priority="71">
      <formula>LEN(TRIM(B15))=0</formula>
    </cfRule>
  </conditionalFormatting>
  <conditionalFormatting sqref="C1">
    <cfRule type="containsBlanks" dxfId="629" priority="48">
      <formula>LEN(TRIM(C1))=0</formula>
    </cfRule>
  </conditionalFormatting>
  <conditionalFormatting sqref="C7">
    <cfRule type="containsBlanks" dxfId="628" priority="47">
      <formula>LEN(TRIM(C7))=0</formula>
    </cfRule>
  </conditionalFormatting>
  <conditionalFormatting sqref="C14">
    <cfRule type="containsBlanks" dxfId="627" priority="184">
      <formula>LEN(TRIM(C14))=0</formula>
    </cfRule>
  </conditionalFormatting>
  <conditionalFormatting sqref="C17">
    <cfRule type="containsBlanks" dxfId="626" priority="46">
      <formula>LEN(TRIM(C17))=0</formula>
    </cfRule>
  </conditionalFormatting>
  <conditionalFormatting sqref="C8:C13 C15:C16 C18:C29">
    <cfRule type="expression" dxfId="625" priority="171">
      <formula>AND($B8&lt;&gt;"",$C8="")</formula>
    </cfRule>
  </conditionalFormatting>
  <conditionalFormatting sqref="C23">
    <cfRule type="expression" dxfId="624" priority="74">
      <formula>$B23=""</formula>
    </cfRule>
  </conditionalFormatting>
  <conditionalFormatting sqref="C30:C31 D31">
    <cfRule type="containsBlanks" dxfId="623" priority="45">
      <formula>LEN(TRIM(C30))=0</formula>
    </cfRule>
  </conditionalFormatting>
  <conditionalFormatting sqref="C32:C35">
    <cfRule type="expression" dxfId="622" priority="78">
      <formula>AND($B32&lt;&gt;"",$C32="")</formula>
    </cfRule>
  </conditionalFormatting>
  <conditionalFormatting sqref="C36:C37">
    <cfRule type="expression" dxfId="621" priority="108">
      <formula>AND($B36&lt;&gt;"",$C36="")</formula>
    </cfRule>
  </conditionalFormatting>
  <conditionalFormatting sqref="C38">
    <cfRule type="expression" dxfId="620" priority="72">
      <formula>AND($B38&lt;&gt;"",$C38="")</formula>
    </cfRule>
  </conditionalFormatting>
  <conditionalFormatting sqref="C40:C46 C52:C55 C60 C49:C50 D53">
    <cfRule type="expression" dxfId="619" priority="131">
      <formula>AND($B40&lt;&gt;"",$C40="")</formula>
    </cfRule>
  </conditionalFormatting>
  <conditionalFormatting sqref="C48">
    <cfRule type="containsBlanks" dxfId="618" priority="44">
      <formula>LEN(TRIM(C48))=0</formula>
    </cfRule>
  </conditionalFormatting>
  <conditionalFormatting sqref="C51">
    <cfRule type="containsBlanks" dxfId="617" priority="43">
      <formula>LEN(TRIM(C51))=0</formula>
    </cfRule>
  </conditionalFormatting>
  <conditionalFormatting sqref="C56:C59">
    <cfRule type="containsBlanks" dxfId="616" priority="41">
      <formula>LEN(TRIM(C56))=0</formula>
    </cfRule>
  </conditionalFormatting>
  <conditionalFormatting sqref="C8:D13 C15:D16 C18:D22 C45:D46 C49:D50 C52:D52 D17 D47:D48 D51">
    <cfRule type="expression" dxfId="615" priority="198">
      <formula>$B8=""</formula>
    </cfRule>
  </conditionalFormatting>
  <conditionalFormatting sqref="D30 C23:D29">
    <cfRule type="expression" dxfId="614" priority="109">
      <formula>$B23=""</formula>
    </cfRule>
  </conditionalFormatting>
  <conditionalFormatting sqref="C32:D37">
    <cfRule type="expression" dxfId="613" priority="79">
      <formula>$B32=""</formula>
    </cfRule>
  </conditionalFormatting>
  <conditionalFormatting sqref="C38:D42">
    <cfRule type="expression" dxfId="612" priority="67">
      <formula>$B38=""</formula>
    </cfRule>
  </conditionalFormatting>
  <conditionalFormatting sqref="C43:D43">
    <cfRule type="expression" dxfId="611" priority="166">
      <formula>$B43=""</formula>
    </cfRule>
  </conditionalFormatting>
  <conditionalFormatting sqref="C44:D44">
    <cfRule type="expression" dxfId="610" priority="94">
      <formula>$B44=""</formula>
    </cfRule>
  </conditionalFormatting>
  <conditionalFormatting sqref="D56:D59 C60:D60 C53:D55">
    <cfRule type="expression" dxfId="609" priority="90">
      <formula>$B53=""</formula>
    </cfRule>
  </conditionalFormatting>
  <conditionalFormatting sqref="D36:D37">
    <cfRule type="containsBlanks" dxfId="608" priority="97">
      <formula>LEN(TRIM(D36))=0</formula>
    </cfRule>
  </conditionalFormatting>
  <conditionalFormatting sqref="D39">
    <cfRule type="containsBlanks" dxfId="607" priority="68">
      <formula>LEN(TRIM(D39))=0</formula>
    </cfRule>
  </conditionalFormatting>
  <conditionalFormatting sqref="D44">
    <cfRule type="containsBlanks" dxfId="606" priority="95">
      <formula>LEN(TRIM(D44))=0</formula>
    </cfRule>
  </conditionalFormatting>
  <conditionalFormatting sqref="D53:D54">
    <cfRule type="containsBlanks" dxfId="605" priority="91">
      <formula>LEN(TRIM(D53))=0</formula>
    </cfRule>
  </conditionalFormatting>
  <conditionalFormatting sqref="D54">
    <cfRule type="expression" dxfId="604" priority="65">
      <formula>AND($B54&lt;&gt;"",$C54="")</formula>
    </cfRule>
  </conditionalFormatting>
  <conditionalFormatting sqref="F7">
    <cfRule type="expression" dxfId="603" priority="18">
      <formula>AND($B7&lt;&gt;"",#REF!="")</formula>
    </cfRule>
  </conditionalFormatting>
  <conditionalFormatting sqref="F7:F30">
    <cfRule type="expression" dxfId="602" priority="9">
      <formula>$B7=""</formula>
    </cfRule>
  </conditionalFormatting>
  <conditionalFormatting sqref="F8:F30">
    <cfRule type="expression" dxfId="601" priority="10">
      <formula>AND($B8&lt;&gt;"",#REF!="")</formula>
    </cfRule>
  </conditionalFormatting>
  <conditionalFormatting sqref="F16">
    <cfRule type="expression" dxfId="600" priority="8">
      <formula>AND($B16&lt;&gt;"",#REF!="")</formula>
    </cfRule>
  </conditionalFormatting>
  <conditionalFormatting sqref="F31:F60">
    <cfRule type="expression" dxfId="599" priority="3">
      <formula>$B31=""</formula>
    </cfRule>
    <cfRule type="expression" dxfId="598" priority="4">
      <formula>AND($B31&lt;&gt;"",#REF!="")</formula>
    </cfRule>
  </conditionalFormatting>
  <conditionalFormatting sqref="C47">
    <cfRule type="expression" dxfId="597" priority="1">
      <formula>AND($B47&lt;&gt;"",$C47="")</formula>
    </cfRule>
  </conditionalFormatting>
  <conditionalFormatting sqref="C47">
    <cfRule type="expression" dxfId="596" priority="2">
      <formula>$B47=""</formula>
    </cfRule>
  </conditionalFormatting>
  <dataValidations count="16">
    <dataValidation type="list" allowBlank="1" showInputMessage="1" showErrorMessage="1" sqref="C35" xr:uid="{00000000-0002-0000-0A00-000000000000}">
      <formula1>"Oui et oui,Oui et non,Non pour les 2"</formula1>
    </dataValidation>
    <dataValidation type="list" allowBlank="1" showInputMessage="1" showErrorMessage="1" sqref="C45" xr:uid="{00000000-0002-0000-0A00-000001000000}">
      <formula1>"Achat,Location,Sous-traitance"</formula1>
    </dataValidation>
    <dataValidation type="list" allowBlank="1" showInputMessage="1" showErrorMessage="1" sqref="C43" xr:uid="{00000000-0002-0000-0A00-000002000000}">
      <formula1>"SaaS,Infra gérée"</formula1>
    </dataValidation>
    <dataValidation type="list" allowBlank="1" showInputMessage="1" showErrorMessage="1" sqref="C42" xr:uid="{00000000-0002-0000-0A00-000003000000}">
      <formula1>"On-site,Cloud"</formula1>
    </dataValidation>
    <dataValidation type="list" allowBlank="1" showInputMessage="1" showErrorMessage="1" sqref="C34:C35" xr:uid="{00000000-0002-0000-0A00-000004000000}">
      <formula1>"Global,Dédié"</formula1>
    </dataValidation>
    <dataValidation type="list" allowBlank="1" showInputMessage="1" showErrorMessage="1" sqref="C30" xr:uid="{00000000-0002-0000-0A00-000005000000}">
      <formula1>"Nominatives,Partagées,NA"</formula1>
    </dataValidation>
    <dataValidation type="list" allowBlank="1" showInputMessage="1" showErrorMessage="1" sqref="C26 C33 C55:C56 C49 C51 C12 C44 C40:C41 C24 C19" xr:uid="{00000000-0002-0000-0A00-000006000000}">
      <formula1>"Oui,Non"</formula1>
    </dataValidation>
    <dataValidation type="list" allowBlank="1" showInputMessage="1" showErrorMessage="1" sqref="C14" xr:uid="{00000000-0002-0000-0A00-000007000000}">
      <formula1>"Primoridal,Critique,Moyen,Faible"</formula1>
    </dataValidation>
    <dataValidation type="list" allowBlank="1" showInputMessage="1" showErrorMessage="1" sqref="C21" xr:uid="{00000000-0002-0000-0A00-000008000000}">
      <formula1>"Très haut,Haut,Moyen,Faible, Inexistant"</formula1>
    </dataValidation>
    <dataValidation type="list" allowBlank="1" showInputMessage="1" showErrorMessage="1" sqref="C2" xr:uid="{00000000-0002-0000-0A00-000009000000}">
      <formula1>"Oui existant,Non existant"</formula1>
    </dataValidation>
    <dataValidation type="list" allowBlank="1" showInputMessage="1" showErrorMessage="1" sqref="C15" xr:uid="{00000000-0002-0000-0A00-00000A000000}">
      <formula1>"Module du CBS,Solution séparée"</formula1>
    </dataValidation>
    <dataValidation type="list" allowBlank="1" showInputMessage="1" showErrorMessage="1" sqref="C7" xr:uid="{00000000-0002-0000-0A00-00000B000000}">
      <formula1>"COTS,Développement interne,Développement externalisé,Non prévu"</formula1>
    </dataValidation>
    <dataValidation type="list" allowBlank="1" showInputMessage="1" showErrorMessage="1" sqref="C23" xr:uid="{00000000-0002-0000-0A00-00000C000000}">
      <formula1>"Android,iOS,Les 2"</formula1>
    </dataValidation>
    <dataValidation type="list" allowBlank="1" showInputMessage="1" showErrorMessage="1" sqref="C38" xr:uid="{00000000-0002-0000-0A00-00000D000000}">
      <formula1>"IT Groupe,IT Local,Les 2"</formula1>
    </dataValidation>
    <dataValidation type="list" allowBlank="1" showInputMessage="1" showErrorMessage="1" sqref="F8:F18 F28 F55:F60 F32 F43 F45 F41 F39 F48:F52" xr:uid="{00000000-0002-0000-0A00-00000E000000}">
      <formula1>"Oui,Non,Pourquoi?"</formula1>
    </dataValidation>
    <dataValidation type="list" allowBlank="1" showInputMessage="1" showErrorMessage="1" sqref="F7 F33:F35 F27 F20:F23 F44 F42" xr:uid="{00000000-0002-0000-0A00-00000F000000}">
      <formula1>"Oui,Non,Détails"</formula1>
    </dataValidation>
  </dataValidations>
  <hyperlinks>
    <hyperlink ref="A1" location="Sommaire!A1" display="Retour à la page d'accueil" xr:uid="{00000000-0004-0000-0A00-000000000000}"/>
    <hyperlink ref="A1:B1" location="Accueil!A1" display="Retour à la page d'accueil" xr:uid="{00000000-0004-0000-0A00-000001000000}"/>
  </hyperlinks>
  <pageMargins left="0.7" right="0.7" top="0.75" bottom="0.75"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39997558519241921"/>
  </sheetPr>
  <dimension ref="A1:J123"/>
  <sheetViews>
    <sheetView showGridLines="0" workbookViewId="0">
      <pane ySplit="6" topLeftCell="A7" activePane="bottomLeft" state="frozen"/>
      <selection pane="bottomLeft" activeCell="C32" sqref="C32"/>
    </sheetView>
  </sheetViews>
  <sheetFormatPr defaultColWidth="11.42578125" defaultRowHeight="14.25"/>
  <cols>
    <col min="1" max="1" width="2.28515625" customWidth="1"/>
    <col min="2" max="2" width="63.140625" style="10" customWidth="1"/>
    <col min="3" max="3" width="27.7109375" style="15" customWidth="1"/>
    <col min="4" max="4" width="30.85546875" customWidth="1"/>
    <col min="5" max="5" width="9" hidden="1" customWidth="1"/>
    <col min="6" max="6" width="7.42578125" customWidth="1"/>
    <col min="7" max="8" width="5.42578125" hidden="1" customWidth="1"/>
    <col min="9" max="9" width="11.42578125" hidden="1" customWidth="1"/>
    <col min="10" max="10" width="4.140625" hidden="1" customWidth="1"/>
  </cols>
  <sheetData>
    <row r="1" spans="1:10">
      <c r="A1" s="302" t="s">
        <v>26</v>
      </c>
      <c r="B1" s="302"/>
    </row>
    <row r="2" spans="1:10" ht="18">
      <c r="B2" s="36" t="s">
        <v>767</v>
      </c>
      <c r="C2" s="117" t="s">
        <v>768</v>
      </c>
    </row>
    <row r="3" spans="1:10">
      <c r="B3" s="13" t="s">
        <v>578</v>
      </c>
    </row>
    <row r="4" spans="1:10">
      <c r="B4" s="13" t="s">
        <v>579</v>
      </c>
    </row>
    <row r="5" spans="1:10" ht="6" customHeight="1"/>
    <row r="6" spans="1:10" ht="15">
      <c r="B6" s="37" t="s">
        <v>580</v>
      </c>
      <c r="C6" s="38" t="s">
        <v>581</v>
      </c>
      <c r="D6" s="38" t="s">
        <v>118</v>
      </c>
      <c r="E6" s="33" t="s">
        <v>31</v>
      </c>
      <c r="F6" s="16"/>
      <c r="G6" s="171"/>
      <c r="H6" s="171"/>
      <c r="I6" s="178" t="s">
        <v>8</v>
      </c>
      <c r="J6" s="178" t="s">
        <v>769</v>
      </c>
    </row>
    <row r="7" spans="1:10" ht="24.95" customHeight="1">
      <c r="B7" s="6" t="str">
        <f>IF(C2="Oui existant","COTS ou Développement interne? (Commercial Off-The-Shelf solution)","Vous prévoyez quel type de solution?: COTS ou Développement interne? (Commercial Off-The-Shelf solution)")</f>
        <v>Vous prévoyez quel type de solution?: COTS ou Développement interne? (Commercial Off-The-Shelf solution)</v>
      </c>
      <c r="C7" s="20" t="s">
        <v>770</v>
      </c>
      <c r="D7" s="21" t="s">
        <v>60</v>
      </c>
      <c r="E7" s="12">
        <f>IF(TRIM(B7)="","",IF(TRIM(C7)="",0,1))</f>
        <v>1</v>
      </c>
      <c r="F7" s="16"/>
      <c r="G7" s="171">
        <f>IF(AND(TRIM(B7)&lt;&gt;"",TRIM(C7)&lt;&gt;""),IF(C7="COTS",5,IF(C7="Développement interne",3,IF(C7="Développement externalisé",1,0))),"")</f>
        <v>0</v>
      </c>
      <c r="H7" s="171">
        <f>IF(AND(TRIM(B7)&lt;&gt;"",TRIM(C7)&lt;&gt;""),5,"")</f>
        <v>5</v>
      </c>
      <c r="I7" s="172" t="s">
        <v>771</v>
      </c>
      <c r="J7" s="172">
        <v>8</v>
      </c>
    </row>
    <row r="8" spans="1:10">
      <c r="B8" s="6" t="str">
        <f>IF(C7="COTS","Nom de l'éditeur","")</f>
        <v/>
      </c>
      <c r="C8" s="20"/>
      <c r="D8" s="20"/>
      <c r="E8" s="12" t="str">
        <f t="shared" ref="E8:E61" si="0">IF(TRIM(B8)="","",IF(TRIM(C8)="",0,1))</f>
        <v/>
      </c>
      <c r="F8" s="16"/>
      <c r="G8" s="173" t="str">
        <f>IF(AND(TRIM(B8)&lt;&gt;"",TRIM(C8)&lt;&gt;""),IF(ISNA(VLOOKUP(C8,I7:J17,2,0)),1,VLOOKUP(C8,I7:J17,2,0)),"")</f>
        <v/>
      </c>
      <c r="H8" s="173" t="str">
        <f>IF(AND(TRIM(B8)&lt;&gt;"",TRIM(C8)&lt;&gt;""),10,"")</f>
        <v/>
      </c>
      <c r="I8" s="172" t="s">
        <v>585</v>
      </c>
      <c r="J8" s="172">
        <v>7</v>
      </c>
    </row>
    <row r="9" spans="1:10">
      <c r="B9" s="6" t="str">
        <f>IF(C2="Oui existant","Nom de la solution",IF(AND(C7&lt;&gt;"Non prévu",C7&lt;&gt;""),"Nom de la solution (si déjà identifiée)",""))</f>
        <v/>
      </c>
      <c r="C9" s="20"/>
      <c r="D9" s="20"/>
      <c r="E9" s="12" t="str">
        <f t="shared" si="0"/>
        <v/>
      </c>
      <c r="F9" s="397"/>
      <c r="G9" s="398"/>
      <c r="H9" s="398" t="str">
        <f>IF(AND(TRIM(B9)&lt;&gt;"",TRIM(C9)&lt;&gt;""),5,"")</f>
        <v/>
      </c>
      <c r="I9" s="172" t="s">
        <v>772</v>
      </c>
      <c r="J9" s="172">
        <v>9</v>
      </c>
    </row>
    <row r="10" spans="1:10">
      <c r="B10" s="6" t="str">
        <f>IF(C2="Oui existant","Quelle est la version/release de l'application ?",IF(C7="COTS","Quelle est la version/release qui sera implémentée ?",""))</f>
        <v/>
      </c>
      <c r="C10" s="20"/>
      <c r="D10" s="20"/>
      <c r="E10" s="12" t="str">
        <f>IF(TRIM(B10)="","",IF(TRIM(C10)="",0,1))</f>
        <v/>
      </c>
      <c r="F10" s="397"/>
      <c r="G10" s="398"/>
      <c r="H10" s="398"/>
      <c r="I10" s="172" t="s">
        <v>773</v>
      </c>
      <c r="J10" s="172">
        <v>10</v>
      </c>
    </row>
    <row r="11" spans="1:10">
      <c r="B11" s="6" t="str">
        <f>IF(C2="Oui existant","Quelle est la dernière version de l'application ?",IF(C7="COTS","Quelle est la dernière version de cette nouvelle solution ?",""))</f>
        <v/>
      </c>
      <c r="C11" s="20"/>
      <c r="D11" s="20"/>
      <c r="E11" s="12" t="str">
        <f>IF(TRIM(B11)="","",IF(TRIM(C11)="",0,1))</f>
        <v/>
      </c>
      <c r="F11" s="397"/>
      <c r="G11" s="398"/>
      <c r="H11" s="398"/>
      <c r="I11" s="172" t="s">
        <v>774</v>
      </c>
      <c r="J11" s="172">
        <v>8</v>
      </c>
    </row>
    <row r="12" spans="1:10">
      <c r="B12" s="6" t="str">
        <f>IF(C2="Oui existant","Etes-vous au courant d’une évolution majeure en cours sur cette application","")</f>
        <v/>
      </c>
      <c r="C12" s="20"/>
      <c r="D12" s="20"/>
      <c r="E12" s="12" t="str">
        <f>IF(TRIM(B12)="","",IF(TRIM(C12)="",0,1))</f>
        <v/>
      </c>
      <c r="F12" s="16"/>
      <c r="G12" s="171"/>
      <c r="H12" s="171"/>
      <c r="I12" s="172" t="s">
        <v>775</v>
      </c>
      <c r="J12" s="172">
        <v>8</v>
      </c>
    </row>
    <row r="13" spans="1:10">
      <c r="B13" s="6" t="str">
        <f>IF(C2="Oui existant","Qui contrôle les évolutions sur cette Application ?","")</f>
        <v/>
      </c>
      <c r="C13" s="20"/>
      <c r="D13" s="20"/>
      <c r="E13" s="12" t="str">
        <f>IF(TRIM(B13)="","",IF(TRIM(C13)="",0,1))</f>
        <v/>
      </c>
      <c r="F13" s="16"/>
      <c r="G13" s="171"/>
      <c r="H13" s="171"/>
      <c r="I13" s="172" t="s">
        <v>776</v>
      </c>
      <c r="J13" s="172">
        <v>9</v>
      </c>
    </row>
    <row r="14" spans="1:10" s="9" customFormat="1" ht="26.1" customHeight="1">
      <c r="B14" s="7" t="str">
        <f>IF(C2="Oui existant","Quelle est la criticité de cette application ? combien de temps peut-on supporter son indisponibilité (colonne détail) ?","Quelle est la criticité de ce besoin ?")</f>
        <v>Quelle est la criticité de ce besoin ?</v>
      </c>
      <c r="C14" s="20" t="s">
        <v>619</v>
      </c>
      <c r="D14" s="21" t="s">
        <v>60</v>
      </c>
      <c r="E14" s="12">
        <f>IF(TRIM(B14)="","",IF(TRIM(C14)="",0,1))</f>
        <v>1</v>
      </c>
      <c r="F14" s="16"/>
      <c r="G14" s="171"/>
      <c r="H14" s="171"/>
      <c r="I14" s="172" t="s">
        <v>777</v>
      </c>
      <c r="J14" s="172">
        <v>10</v>
      </c>
    </row>
    <row r="15" spans="1:10">
      <c r="B15" s="6" t="str">
        <f>IF(C7="COTS","Est-ce un module du CBS ou une  solution séparée?","")</f>
        <v/>
      </c>
      <c r="C15" s="20"/>
      <c r="D15" s="20"/>
      <c r="E15" s="12" t="str">
        <f t="shared" si="0"/>
        <v/>
      </c>
      <c r="F15" s="16"/>
      <c r="G15" s="171"/>
      <c r="H15" s="171"/>
      <c r="I15" s="172" t="s">
        <v>778</v>
      </c>
      <c r="J15" s="172">
        <v>7</v>
      </c>
    </row>
    <row r="16" spans="1:10">
      <c r="B16" s="6" t="str">
        <f>IF(C2="Oui existant","Quand l’application a-t-elle été implémentée ?",IF(AND(C7&lt;&gt;"Non prévu",C7&lt;&gt;""),"Quand l’application sera-t-elle implémentée ?",""))</f>
        <v/>
      </c>
      <c r="C16" s="20"/>
      <c r="D16" s="20"/>
      <c r="E16" s="12" t="str">
        <f t="shared" si="0"/>
        <v/>
      </c>
      <c r="F16" s="16"/>
      <c r="G16" s="173" t="str">
        <f>IF(AND(TRIM(B16)&lt;&gt;"",TRIM(C16)&lt;&gt;""),IF((2024-C16)&lt;=5,10,IF((2024-C16)&lt;=10,2,0)),"")</f>
        <v/>
      </c>
      <c r="H16" s="173" t="str">
        <f>IF(AND(TRIM(B16)&lt;&gt;"",TRIM(C16)&lt;&gt;""),10,"")</f>
        <v/>
      </c>
      <c r="I16" s="172" t="s">
        <v>779</v>
      </c>
      <c r="J16" s="172">
        <v>8</v>
      </c>
    </row>
    <row r="17" spans="2:10">
      <c r="B17" s="6" t="str">
        <f>IF(C2="Oui existant","Qui l'a implémenté ?",IF(AND(C7&lt;&gt;"Non prévu",C7&lt;&gt;""),"Qui doit l'implémenter ?",""))</f>
        <v/>
      </c>
      <c r="C17" s="20"/>
      <c r="D17" s="20"/>
      <c r="E17" s="12" t="str">
        <f t="shared" si="0"/>
        <v/>
      </c>
      <c r="F17" s="16"/>
      <c r="G17" s="171"/>
      <c r="H17" s="171"/>
      <c r="I17" s="172" t="s">
        <v>780</v>
      </c>
      <c r="J17" s="172">
        <v>8</v>
      </c>
    </row>
    <row r="18" spans="2:10" ht="42.95" customHeight="1">
      <c r="B18" s="6" t="str">
        <f>IF(C2="Oui existant","Quels sont les processus fonctionnels couverts ?",IF(AND(C7&lt;&gt;"Non prévu",C7&lt;&gt;""),"Quels sont les processus fonctionnels qui doivent être couverts ?",""))</f>
        <v/>
      </c>
      <c r="C18" s="20"/>
      <c r="D18" s="20"/>
      <c r="E18" s="12" t="str">
        <f t="shared" si="0"/>
        <v/>
      </c>
      <c r="F18" s="16"/>
      <c r="G18" s="171"/>
      <c r="H18" s="171" t="str">
        <f>IF(AND(TRIM(B18)&lt;&gt;"",TRIM(C18)&lt;&gt;""),10,"")</f>
        <v/>
      </c>
      <c r="I18" s="172"/>
      <c r="J18" s="172"/>
    </row>
    <row r="19" spans="2:10">
      <c r="B19" s="6" t="str">
        <f>IF(C2="Oui existant","Est-ce que la solution est integrée au CBS ?",IF(AND(C7&lt;&gt;"Non prévu",C7&lt;&gt;""),"Est-ce que la solution sera integrée au CBS ?",""))</f>
        <v/>
      </c>
      <c r="C19" s="20"/>
      <c r="D19" s="20"/>
      <c r="E19" s="12" t="str">
        <f t="shared" ref="E19:E20" si="1">IF(TRIM(B19)="","",IF(TRIM(C19)="",0,1))</f>
        <v/>
      </c>
      <c r="F19" s="16"/>
      <c r="G19" s="173" t="str">
        <f>IF(AND(TRIM(B19)&lt;&gt;"",TRIM(C19)&lt;&gt;""),IF(C19="Oui",20,0),"")</f>
        <v/>
      </c>
      <c r="H19" s="173" t="str">
        <f>IF(AND(TRIM(B19)&lt;&gt;"",TRIM(C19)&lt;&gt;""),20,"")</f>
        <v/>
      </c>
      <c r="I19" s="172"/>
      <c r="J19" s="172"/>
    </row>
    <row r="20" spans="2:10">
      <c r="B20" s="6" t="str">
        <f>IF(C19="Oui",IF(C2="Oui existant","Comment et quels sont les processus et données qui transitent ?",IF(AND(C7&lt;&gt;"Non prévu",C7&lt;&gt;""),"Comment et quels seront les processus et données qui vont transiter ?","")),"")</f>
        <v/>
      </c>
      <c r="C20" s="20"/>
      <c r="D20" s="20"/>
      <c r="E20" s="12" t="str">
        <f t="shared" si="1"/>
        <v/>
      </c>
      <c r="F20" s="16"/>
      <c r="G20" s="171"/>
      <c r="H20" s="171"/>
      <c r="I20" s="172" t="s">
        <v>749</v>
      </c>
      <c r="J20" s="172">
        <v>0</v>
      </c>
    </row>
    <row r="21" spans="2:10">
      <c r="B21" s="6" t="str">
        <f>IF(C2="Oui existant","Quel est le niveau de personnalisation de l’Application ?",IF(C7="COTS","Quel est le niveau de personnalisation prévu de l’Application ?",""))</f>
        <v/>
      </c>
      <c r="C21" s="20"/>
      <c r="D21" s="20"/>
      <c r="E21" s="12" t="str">
        <f t="shared" si="0"/>
        <v/>
      </c>
      <c r="F21" s="16"/>
      <c r="G21" s="171" t="str">
        <f>IF(AND(TRIM(B21)&lt;&gt;"",TRIM(C21)&lt;&gt;""),IF(ISNA(VLOOKUP(C21,I20:J24,2,0)),1,VLOOKUP(C21,I20:J24,2,0)),"")</f>
        <v/>
      </c>
      <c r="H21" s="171" t="str">
        <f>IF(AND(TRIM(B21)&lt;&gt;"",TRIM(C21)&lt;&gt;""),10,"")</f>
        <v/>
      </c>
      <c r="I21" s="172" t="s">
        <v>728</v>
      </c>
      <c r="J21" s="172">
        <v>2</v>
      </c>
    </row>
    <row r="22" spans="2:10">
      <c r="B22" s="6" t="str">
        <f>IF(C2="Oui existant","Quelle(s) technologie(s) sous-jacente(s) ?","")</f>
        <v/>
      </c>
      <c r="C22" s="20"/>
      <c r="D22" s="20"/>
      <c r="E22" s="12" t="str">
        <f t="shared" si="0"/>
        <v/>
      </c>
      <c r="F22" s="16"/>
      <c r="G22" s="171"/>
      <c r="H22" s="171"/>
      <c r="I22" s="172" t="s">
        <v>619</v>
      </c>
      <c r="J22" s="172">
        <v>4</v>
      </c>
    </row>
    <row r="23" spans="2:10">
      <c r="B23" s="6" t="str">
        <f>IF(C2="Oui existant","Est-ce que cette solution dispose d'une interface Mobile?",IF(AND(C7&lt;&gt;"Non prévu",C7&lt;&gt;""),"Est-ce qu'il est prévu une version Mobile ?",""))</f>
        <v/>
      </c>
      <c r="C23" s="20"/>
      <c r="D23" s="20"/>
      <c r="E23" s="12" t="str">
        <f t="shared" si="0"/>
        <v/>
      </c>
      <c r="F23" s="16"/>
      <c r="G23" s="173" t="str">
        <f>IF(AND(TRIM(B23)&lt;&gt;"",TRIM(C23)&lt;&gt;""),IF(C23="Oui",5,0),"")</f>
        <v/>
      </c>
      <c r="H23" s="173" t="str">
        <f>IF(AND(TRIM(B23)&lt;&gt;"",TRIM(C23)&lt;&gt;""),5,"")</f>
        <v/>
      </c>
      <c r="I23" s="172" t="s">
        <v>781</v>
      </c>
      <c r="J23" s="172">
        <v>6</v>
      </c>
    </row>
    <row r="24" spans="2:10">
      <c r="B24" s="6" t="str">
        <f>IF(AND(C7&lt;&gt;"Non prévu",C7&lt;&gt;""),IF(C23="Oui","Dispose-t-elle d'une version smartphone ou tablette ou les 2  ?",""),"")</f>
        <v/>
      </c>
      <c r="C24" s="22"/>
      <c r="D24" s="20"/>
      <c r="E24" s="12" t="str">
        <f t="shared" si="0"/>
        <v/>
      </c>
      <c r="F24" s="16"/>
      <c r="G24" s="173" t="str">
        <f>IF(AND(TRIM(B24)&lt;&gt;"",TRIM(C24)&lt;&gt;""),IF(C24="Les 2",5,4),"")</f>
        <v/>
      </c>
      <c r="H24" s="173" t="str">
        <f>IF(AND(TRIM(B24)&lt;&gt;"",TRIM(C24)&lt;&gt;""),5,"")</f>
        <v/>
      </c>
      <c r="I24" s="172" t="s">
        <v>782</v>
      </c>
      <c r="J24" s="172">
        <v>10</v>
      </c>
    </row>
    <row r="25" spans="2:10" ht="24.6" customHeight="1">
      <c r="B25" s="6" t="str">
        <f>IF(C2="Oui existant","Est-ce qu'il est prévu de remplacer cette solution par une autre ? Si oui, veuillez mettre le nom de la nouvelle solution et la période prévue dans la colonne détails","")</f>
        <v/>
      </c>
      <c r="C25" s="20"/>
      <c r="D25" s="20"/>
      <c r="E25" s="12" t="str">
        <f t="shared" si="0"/>
        <v/>
      </c>
      <c r="F25" s="16"/>
      <c r="G25" s="171"/>
      <c r="H25" s="171"/>
      <c r="I25" s="172"/>
      <c r="J25" s="172"/>
    </row>
    <row r="26" spans="2:10">
      <c r="B26" s="6" t="str">
        <f>IF(C2="Oui existant","Quel est le nombre d’utilisateurs finaux de cette application ?",IF(AND(C7&lt;&gt;"Non prévu",C7&lt;&gt;""),"Quel est le nombre d’utilisateurs finaux prévus pour cette application ?",""))</f>
        <v/>
      </c>
      <c r="C26" s="59"/>
      <c r="D26" s="20"/>
      <c r="E26" s="12" t="str">
        <f t="shared" si="0"/>
        <v/>
      </c>
      <c r="F26" s="16"/>
      <c r="G26" s="171"/>
      <c r="H26" s="171"/>
      <c r="I26" s="172"/>
      <c r="J26" s="172"/>
    </row>
    <row r="27" spans="2:10">
      <c r="B27" s="6" t="str">
        <f>IF(C2="Oui existant","Y a-t-il des utilisateurs du Groupe sur les activités de la filiale ?","")</f>
        <v/>
      </c>
      <c r="C27" s="20"/>
      <c r="D27" s="20"/>
      <c r="E27" s="12" t="str">
        <f t="shared" si="0"/>
        <v/>
      </c>
      <c r="F27" s="16"/>
      <c r="G27" s="171"/>
      <c r="H27" s="171"/>
      <c r="I27" s="172"/>
      <c r="J27" s="172"/>
    </row>
    <row r="28" spans="2:10">
      <c r="B28" s="6" t="str">
        <f>IF(C27="Oui","Quel est le ratio  ?","")</f>
        <v/>
      </c>
      <c r="C28" s="20"/>
      <c r="D28" s="20"/>
      <c r="E28" s="12" t="str">
        <f t="shared" si="0"/>
        <v/>
      </c>
      <c r="F28" s="16"/>
      <c r="G28" s="171"/>
      <c r="H28" s="171"/>
      <c r="I28" s="172"/>
      <c r="J28" s="172"/>
    </row>
    <row r="29" spans="2:10">
      <c r="B29" s="6" t="str">
        <f>IF(C2="Oui existant","Quels ont été les acquisitions de licences détaillées (nombre, date, coût) ?","")</f>
        <v/>
      </c>
      <c r="C29" s="20"/>
      <c r="D29" s="20"/>
      <c r="E29" s="12" t="str">
        <f t="shared" si="0"/>
        <v/>
      </c>
      <c r="F29" s="16"/>
      <c r="G29" s="171"/>
      <c r="H29" s="171"/>
      <c r="I29" s="172"/>
      <c r="J29" s="172"/>
    </row>
    <row r="30" spans="2:10">
      <c r="B30" s="6" t="str">
        <f>IF(C2="Oui existant","Quel est le nombre actuel de licences détenues par la filiale?",IF(C7="COTS","Combien de licences projettez-vous d'acquérir ?",""))</f>
        <v/>
      </c>
      <c r="C30" s="20"/>
      <c r="D30" s="20"/>
      <c r="E30" s="12" t="str">
        <f t="shared" si="0"/>
        <v/>
      </c>
      <c r="F30" s="16"/>
      <c r="G30" s="171"/>
      <c r="H30" s="171"/>
      <c r="I30" s="172"/>
      <c r="J30" s="172"/>
    </row>
    <row r="31" spans="2:10">
      <c r="B31" s="6" t="str">
        <f>IF(C2="Oui existant","Quel type de licences (nominatives/partagées) ?",IF(C7="COTS","Est-ce que ce sera des licences nominatives ou partagées ?",""))</f>
        <v/>
      </c>
      <c r="C31" s="20"/>
      <c r="D31" s="20"/>
      <c r="E31" s="12" t="str">
        <f t="shared" si="0"/>
        <v/>
      </c>
      <c r="F31" s="16"/>
      <c r="G31" s="171"/>
      <c r="H31" s="171"/>
      <c r="I31" s="172"/>
      <c r="J31" s="172"/>
    </row>
    <row r="32" spans="2:10" ht="36.6" customHeight="1">
      <c r="B32" s="6" t="str">
        <f>IF(C2="Oui existant","Des licences supplémentaires sont-elles nécessaires pour l'utilisation de l'application (outil supplémentaire, interfaces, modules complémentaires, …) ? Par module / par utilisateur ?",IF(C7="COTS","Est-ce que vous projettez d'acquérir d'autres licences dans un second temps ? combien et quand ?",""))</f>
        <v/>
      </c>
      <c r="C32" s="20"/>
      <c r="D32" s="21"/>
      <c r="E32" s="12" t="str">
        <f t="shared" si="0"/>
        <v/>
      </c>
      <c r="F32" s="16"/>
      <c r="G32" s="171"/>
      <c r="H32" s="171"/>
      <c r="I32" s="172"/>
      <c r="J32" s="172"/>
    </row>
    <row r="33" spans="2:10">
      <c r="B33" s="6" t="str">
        <f>IF(C2="Oui existant","Quel est le coût du support éditeur ?",IF(C7="COTS","Quel sera le coût du support éditeur ?",""))</f>
        <v/>
      </c>
      <c r="C33" s="20"/>
      <c r="D33" s="20"/>
      <c r="E33" s="12" t="str">
        <f t="shared" si="0"/>
        <v/>
      </c>
      <c r="F33" s="16"/>
      <c r="G33" s="171"/>
      <c r="H33" s="171"/>
      <c r="I33" s="172"/>
      <c r="J33" s="172"/>
    </row>
    <row r="34" spans="2:10">
      <c r="B34" s="6" t="str">
        <f>IF(C2="Oui existant","Existe-t-il un contrat de support avec un fournisseur ou un partenaire ? Pouvez-vous le partager ?","")</f>
        <v/>
      </c>
      <c r="C34" s="20"/>
      <c r="D34" s="20"/>
      <c r="E34" s="12" t="str">
        <f t="shared" si="0"/>
        <v/>
      </c>
      <c r="F34" s="16"/>
      <c r="G34" s="171" t="str">
        <f>IF(AND(TRIM(B34)&lt;&gt;"",TRIM(C34)&lt;&gt;""),IF(C34="Oui",5,0),"")</f>
        <v/>
      </c>
      <c r="H34" s="171" t="str">
        <f>IF(AND(TRIM(B34)&lt;&gt;"",TRIM(C34)&lt;&gt;""),5,"")</f>
        <v/>
      </c>
      <c r="I34" s="172"/>
      <c r="J34" s="172"/>
    </row>
    <row r="35" spans="2:10">
      <c r="B35" s="6" t="str">
        <f>IF(C2="Oui existant","Le contrat est-il global couvrant plusieurs filiales ou dédié à la filiale ?",IF(C7="COTS","Projettez-vous une acquisition individuelle ou groupe ?",""))</f>
        <v/>
      </c>
      <c r="C35" s="20"/>
      <c r="D35" s="20"/>
      <c r="E35" s="12" t="str">
        <f t="shared" si="0"/>
        <v/>
      </c>
      <c r="F35" s="16"/>
      <c r="G35" s="171"/>
      <c r="H35" s="171"/>
      <c r="I35" s="172"/>
      <c r="J35" s="172"/>
    </row>
    <row r="36" spans="2:10" ht="15.95" customHeight="1">
      <c r="B36" s="6" t="str">
        <f>IF(C2="Oui existant","Le contrat comprend-il un SLA formel ? Cela inclut-il un engagement de performance ?","")</f>
        <v/>
      </c>
      <c r="C36" s="20"/>
      <c r="D36" s="20"/>
      <c r="E36" s="12" t="str">
        <f>IF(TRIM(B36)="","",IF(TRIM(C36)="",0,1))</f>
        <v/>
      </c>
      <c r="F36" s="16"/>
      <c r="G36" s="171" t="str">
        <f>IF(AND(TRIM(B36)&lt;&gt;"",TRIM(C36)&lt;&gt;""),IF(C36="Oui et oui",5,IF(C36="Oui et non",3,0)),"")</f>
        <v/>
      </c>
      <c r="H36" s="171" t="str">
        <f>IF(AND(TRIM(B36)&lt;&gt;"",TRIM(C36)&lt;&gt;""),5,"")</f>
        <v/>
      </c>
      <c r="I36" s="172"/>
      <c r="J36" s="172"/>
    </row>
    <row r="37" spans="2:10" ht="39.950000000000003" customHeight="1">
      <c r="B37" s="6" t="str">
        <f>IF(C2="Oui existant","Combien de ETP internes sont dédiés aux support (Niveaux 1, 2 et 3) de cette solution ?
Veuillez décrire dans la colonne détail de quelle entité sont-ils (Holding ou pays), la répartition des principales activités, les compétences et les rôles",IF(AND(C7&lt;&gt;"Non prévu",C7&lt;&gt;""),"Combien de ETP internes projettez-vous de dédier aux support (Niveaux 1, 2 et 3) de cette solution ?",""))</f>
        <v/>
      </c>
      <c r="C37" s="20"/>
      <c r="D37" s="21"/>
      <c r="E37" s="12" t="str">
        <f>IF(TRIM(B37)="","",IF(TRIM(C37)="",0,IF(TRIM(D37)="",0.5,1)))</f>
        <v/>
      </c>
      <c r="F37" s="16"/>
      <c r="G37" s="171"/>
      <c r="H37" s="171"/>
      <c r="I37" s="172"/>
      <c r="J37" s="172"/>
    </row>
    <row r="38" spans="2:10" ht="51" customHeight="1">
      <c r="B38" s="6" t="str">
        <f>IF(C2="Oui existant","Combien de ETP internes sont dédiés aux changes opérés sur cette solution (incluant Dev, Config, Mise en prod) ?
Veuillez décrire dans la col. détail de quelle entité sont-ils (Holding ou pays), la répartition des activités, les compétences et les rôles",IF(AND(C7&lt;&gt;"Non prévu",C7&lt;&gt;""),"Combien de ETP internes projettez-vous de dédier aux futurs changes sur cette solution (incluant Dev, Config, Mise en prod) ?",""))</f>
        <v/>
      </c>
      <c r="C38" s="20"/>
      <c r="D38" s="21"/>
      <c r="E38" s="12" t="str">
        <f>IF(TRIM(B38)="","",IF(TRIM(C38)="",0,IF(TRIM(D38)="",0.5,1)))</f>
        <v/>
      </c>
      <c r="F38" s="16"/>
      <c r="G38" s="171"/>
      <c r="H38" s="171"/>
      <c r="I38" s="172"/>
      <c r="J38" s="172"/>
    </row>
    <row r="39" spans="2:10">
      <c r="B39" s="6" t="str">
        <f>IF(C2="Oui existant","Qui administre cette solution et apporte le support aux utilisateurs l'IT Groupe, l'IT local ou les 2 ?",IF(AND(C7&lt;&gt;"Non prévu",C7&lt;&gt;""),"Qui va administrer cette solution et apporter le support aux utilisateurs: l'IT Groupe, l'IT local ou les 2 ?",""))</f>
        <v/>
      </c>
      <c r="C39" s="20"/>
      <c r="D39" s="20"/>
      <c r="E39" s="12" t="str">
        <f t="shared" si="0"/>
        <v/>
      </c>
      <c r="F39" s="16"/>
      <c r="G39" s="171"/>
      <c r="H39" s="171"/>
      <c r="I39" s="172"/>
      <c r="J39" s="172"/>
    </row>
    <row r="40" spans="2:10" ht="26.45" customHeight="1">
      <c r="B40" s="6" t="str">
        <f>IF(C39="Les 2","A quelle proportion chacun ? et existe-t-il un SLA interne entre Group IT et la filiale ? S'il existe, pouvez-vous le partager
vous pouvez décrire dans la partie détails les responsabilités de chaque partie","")</f>
        <v/>
      </c>
      <c r="C40" s="20"/>
      <c r="D40" s="21"/>
      <c r="E40" s="12" t="str">
        <f t="shared" si="0"/>
        <v/>
      </c>
      <c r="F40" s="16"/>
      <c r="G40" s="171"/>
      <c r="H40" s="171"/>
      <c r="I40" s="172"/>
      <c r="J40" s="172"/>
    </row>
    <row r="41" spans="2:10">
      <c r="B41" s="6" t="str">
        <f>IF(C2="Oui existant","Avez-vous un historique des KPI pour la disponibilité et le support de cette application ? Si oui, pouvez-vous les partager","")</f>
        <v/>
      </c>
      <c r="C41" s="20"/>
      <c r="D41" s="20"/>
      <c r="E41" s="12" t="str">
        <f t="shared" si="0"/>
        <v/>
      </c>
      <c r="F41" s="16"/>
      <c r="G41" s="171" t="str">
        <f>IF(AND(TRIM(B41)&lt;&gt;"",TRIM(C41)&lt;&gt;""),IF(C41="Oui",3,0),"")</f>
        <v/>
      </c>
      <c r="H41" s="171" t="str">
        <f>IF(AND(TRIM(B41)&lt;&gt;"",TRIM(C41)&lt;&gt;""),3,"")</f>
        <v/>
      </c>
      <c r="I41" s="172"/>
      <c r="J41" s="172"/>
    </row>
    <row r="42" spans="2:10">
      <c r="B42" s="6" t="str">
        <f>IF(C2="Oui existant","Existe-t-il un processus de suivi des contrats groupe et tiers ?","")</f>
        <v/>
      </c>
      <c r="C42" s="20"/>
      <c r="D42" s="20"/>
      <c r="E42" s="12" t="str">
        <f t="shared" si="0"/>
        <v/>
      </c>
      <c r="F42" s="16"/>
      <c r="G42" s="171" t="str">
        <f>IF(AND(TRIM(B42)&lt;&gt;"",TRIM(C42)&lt;&gt;""),IF(C42="Oui",3,0),"")</f>
        <v/>
      </c>
      <c r="H42" s="171" t="str">
        <f>IF(AND(TRIM(B42)&lt;&gt;"",TRIM(C42)&lt;&gt;""),3,"")</f>
        <v/>
      </c>
      <c r="I42" s="172"/>
      <c r="J42" s="172"/>
    </row>
    <row r="43" spans="2:10">
      <c r="B43" s="6" t="str">
        <f>IF(C2="Oui existant","L'application est-elle installée sur site ou utilisée sur le Cloud (SaaS) ?",IF(AND(C7&lt;&gt;"Non prévu",C7&lt;&gt;""),"La nouvelle solution sera-t-elle installée sur site ou utilisée sur le Cloud (SaaS) ?",""))</f>
        <v/>
      </c>
      <c r="C43" s="20"/>
      <c r="D43" s="20"/>
      <c r="E43" s="12" t="str">
        <f t="shared" si="0"/>
        <v/>
      </c>
      <c r="F43" s="16"/>
      <c r="G43" s="173" t="str">
        <f>IF(AND(TRIM(B43)&lt;&gt;"",TRIM(C43)&lt;&gt;""),IF(C43="Cloud",5,2),"")</f>
        <v/>
      </c>
      <c r="H43" s="173" t="str">
        <f>IF(AND(TRIM(B43)&lt;&gt;"",TRIM(C43)&lt;&gt;""),5,"")</f>
        <v/>
      </c>
      <c r="I43" s="172"/>
      <c r="J43" s="172"/>
    </row>
    <row r="44" spans="2:10">
      <c r="B44" s="6" t="str">
        <f>IF(AND(C43="Cloud",C7="COTS"),"Est-ce entièrement SaaS ou Infra gérée par l'équipe locale ?","")</f>
        <v/>
      </c>
      <c r="C44" s="22"/>
      <c r="D44" s="20"/>
      <c r="E44" s="12" t="str">
        <f t="shared" si="0"/>
        <v/>
      </c>
      <c r="F44" s="16"/>
      <c r="G44" s="173" t="str">
        <f>IF(AND(TRIM(B44)&lt;&gt;"",TRIM(C44)&lt;&gt;""),IF(C44="SaaS",5,2),"")</f>
        <v/>
      </c>
      <c r="H44" s="173" t="str">
        <f>IF(AND(TRIM(B44)&lt;&gt;"",TRIM(C44)&lt;&gt;""),5,"")</f>
        <v/>
      </c>
      <c r="I44" s="172"/>
      <c r="J44" s="172"/>
    </row>
    <row r="45" spans="2:10">
      <c r="B45" s="6" t="str">
        <f>IF(C2="Oui existant","S'agit-il d'une architecture Client/Serveur à 3 niveaux ? Décrivez s'il vous plait","")</f>
        <v/>
      </c>
      <c r="C45" s="20"/>
      <c r="D45" s="21"/>
      <c r="E45" s="12" t="str">
        <f>IF(TRIM(B45)="","",IF(TRIM(C45)="",0,IF(TRIM(D45)="",0.5,1)))</f>
        <v/>
      </c>
      <c r="F45" s="16"/>
      <c r="G45" s="171"/>
      <c r="H45" s="171"/>
      <c r="I45" s="172"/>
      <c r="J45" s="172"/>
    </row>
    <row r="46" spans="2:10">
      <c r="B46" s="6" t="str">
        <f>IF(C43="On-site","Comment sont acquis les serveurs (achat/location/sous-traitance) ?","")</f>
        <v/>
      </c>
      <c r="C46" s="22"/>
      <c r="D46" s="20"/>
      <c r="E46" s="12" t="str">
        <f t="shared" si="0"/>
        <v/>
      </c>
      <c r="F46" s="16"/>
      <c r="G46" s="171"/>
      <c r="H46" s="171"/>
      <c r="I46" s="172"/>
      <c r="J46" s="172"/>
    </row>
    <row r="47" spans="2:10">
      <c r="B47" s="6" t="str">
        <f>IF(C2="Oui existant","Où sont installés les serveurs ?","")</f>
        <v/>
      </c>
      <c r="C47" s="22"/>
      <c r="D47" s="20"/>
      <c r="E47" s="12" t="str">
        <f t="shared" si="0"/>
        <v/>
      </c>
      <c r="F47" s="16"/>
      <c r="G47" s="171"/>
      <c r="H47" s="171"/>
      <c r="I47" s="172"/>
      <c r="J47" s="172"/>
    </row>
    <row r="48" spans="2:10">
      <c r="B48" s="6" t="str">
        <f>IF(C2="Oui existant","Sur quels systèmes (versions) cette application s'exécute-t-elle ?",IF(AND(C7&lt;&gt;"Non prévu",C7&lt;&gt;""),"Sur quels systèmes (versions) cette application sera-t-elle implémentée ?",""))</f>
        <v/>
      </c>
      <c r="C48" s="22"/>
      <c r="D48" s="20"/>
      <c r="E48" s="12" t="str">
        <f t="shared" si="0"/>
        <v/>
      </c>
      <c r="F48" s="16"/>
      <c r="G48" s="171"/>
      <c r="H48" s="171"/>
      <c r="I48" s="172"/>
      <c r="J48" s="172"/>
    </row>
    <row r="49" spans="2:10">
      <c r="B49" s="6" t="str">
        <f>IF(C2="Oui existant","Sur quelle base de données cette application tourne-t-elle ?",IF(AND(C7&lt;&gt;"Non prévu",C7&lt;&gt;""),"Sur quelle base de données cette application tournera-t-elle ?",""))</f>
        <v/>
      </c>
      <c r="C49" s="22"/>
      <c r="D49" s="20"/>
      <c r="E49" s="12" t="str">
        <f t="shared" si="0"/>
        <v/>
      </c>
      <c r="F49" s="16"/>
      <c r="G49" s="171"/>
      <c r="H49" s="171"/>
      <c r="I49" s="172"/>
      <c r="J49" s="172"/>
    </row>
    <row r="50" spans="2:10">
      <c r="B50" s="6" t="str">
        <f>IF(C2="Oui existant","Existe-t-il une architecture haute disponibilité (réplication) ?",IF(AND(C7&lt;&gt;"Non prévu",C7&lt;&gt;""),"Est-ce qu'il est prévu une architecture haute disponibilité (réplication) ?",""))</f>
        <v/>
      </c>
      <c r="C50" s="22"/>
      <c r="D50" s="20"/>
      <c r="E50" s="12" t="str">
        <f t="shared" si="0"/>
        <v/>
      </c>
      <c r="F50" s="16"/>
      <c r="G50" s="171" t="str">
        <f>IF(AND(TRIM(B50)&lt;&gt;"",TRIM(C50)&lt;&gt;""),IF(C50="Oui",5,0),"")</f>
        <v/>
      </c>
      <c r="H50" s="171" t="str">
        <f t="shared" ref="H50:H52" si="2">IF(AND(TRIM(B50)&lt;&gt;"",TRIM(C50)&lt;&gt;""),5,"")</f>
        <v/>
      </c>
      <c r="I50" s="172"/>
      <c r="J50" s="172"/>
    </row>
    <row r="51" spans="2:10">
      <c r="B51" s="6" t="str">
        <f>IF(C50="Oui","Entièrement ou partiellement ? Actif-Actif ou Actif-Passif ?","")</f>
        <v/>
      </c>
      <c r="C51" s="22"/>
      <c r="D51" s="20"/>
      <c r="E51" s="12" t="str">
        <f t="shared" si="0"/>
        <v/>
      </c>
      <c r="F51" s="16"/>
      <c r="G51" s="171"/>
      <c r="H51" s="171"/>
      <c r="I51" s="172"/>
      <c r="J51" s="172"/>
    </row>
    <row r="52" spans="2:10">
      <c r="B52" s="6" t="str">
        <f>IF(C2="Oui existant","Existe-t-il un plan de récupération pour cette application ?","")</f>
        <v/>
      </c>
      <c r="C52" s="22"/>
      <c r="D52" s="20"/>
      <c r="E52" s="12" t="str">
        <f t="shared" si="0"/>
        <v/>
      </c>
      <c r="F52" s="16"/>
      <c r="G52" s="171" t="str">
        <f>IF(AND(TRIM(B52)&lt;&gt;"",TRIM(C52)&lt;&gt;""),IF(C52="Oui",5,0),"")</f>
        <v/>
      </c>
      <c r="H52" s="171" t="str">
        <f t="shared" si="2"/>
        <v/>
      </c>
      <c r="I52" s="172"/>
      <c r="J52" s="172"/>
    </row>
    <row r="53" spans="2:10">
      <c r="B53" s="6" t="str">
        <f>IF(C2="Oui existant","Qui gère les données de la base de données ?",IF(AND(C7&lt;&gt;"Non prévu",C7&lt;&gt;""),"Qui va gèrer les données de la base de données ?",""))</f>
        <v/>
      </c>
      <c r="C53" s="22"/>
      <c r="D53" s="20"/>
      <c r="E53" s="12" t="str">
        <f t="shared" si="0"/>
        <v/>
      </c>
      <c r="F53" s="16"/>
      <c r="G53" s="171"/>
      <c r="H53" s="171"/>
      <c r="I53" s="172"/>
      <c r="J53" s="172"/>
    </row>
    <row r="54" spans="2:10" ht="40.5" customHeight="1">
      <c r="B54" s="6" t="str">
        <f>IF(C2="Oui existant","Quelles sont les interfaces existantes de cette application ? Veuillez décrire et partager tout document d'architecture",IF(AND(C7&lt;&gt;"Non prévu",C7&lt;&gt;""),"Quelles sont les interfaces prévues ? Veuillez décrire et partager tout document d'architecture cible",""))</f>
        <v/>
      </c>
      <c r="C54" s="20"/>
      <c r="D54" s="21"/>
      <c r="E54" s="12" t="str">
        <f>IF(TRIM(B54)="","",IF(TRIM(C54)="",0,IF(TRIM(D54)="",0.5,1)))</f>
        <v/>
      </c>
      <c r="F54" s="16"/>
      <c r="G54" s="171"/>
      <c r="H54" s="171"/>
      <c r="I54" s="172"/>
      <c r="J54" s="172"/>
    </row>
    <row r="55" spans="2:10" ht="40.5" customHeight="1">
      <c r="B55" s="6" t="str">
        <f>IF(C2="Oui existant","L'application est-elle complètement en temps réel ou y'a-t-il des batchs la nuit ? Décrivez s'il vous plait",IF(AND(C7&lt;&gt;"Non prévu",C7&lt;&gt;""),"L'application sera-t-elle complètement en temps réel ou y'aura-t-il des batchs la nuit ? Décrivez s'il vous plait",""))</f>
        <v/>
      </c>
      <c r="C55" s="20"/>
      <c r="D55" s="21"/>
      <c r="E55" s="12" t="str">
        <f>IF(TRIM(B55)="","",IF(TRIM(C55)="",0,IF(TRIM(D55)="",0.5,1)))</f>
        <v/>
      </c>
      <c r="F55" s="16"/>
      <c r="G55" s="171"/>
      <c r="H55" s="171"/>
      <c r="I55" s="172"/>
      <c r="J55" s="172"/>
    </row>
    <row r="56" spans="2:10">
      <c r="B56" s="6" t="str">
        <f>IF(C2="Oui existant","Avez-vous connaissance d'un quelconque problème potentiel lié à la continuité de cette application (par exemple départ ou indisponibilité des ressources clés, fin de support, bug critique, ...), si oui lequel dans détails ?","")</f>
        <v/>
      </c>
      <c r="C56" s="22"/>
      <c r="D56" s="20"/>
      <c r="E56" s="12" t="str">
        <f t="shared" si="0"/>
        <v/>
      </c>
      <c r="F56" s="16"/>
      <c r="G56" s="171" t="str">
        <f>IF(AND(TRIM(B56)&lt;&gt;"",TRIM(C56)&lt;&gt;""),IF(C56="Oui",0,10),"")</f>
        <v/>
      </c>
      <c r="H56" s="171" t="str">
        <f>IF(AND(TRIM(B56)&lt;&gt;"",TRIM(C56)&lt;&gt;""),10,"")</f>
        <v/>
      </c>
      <c r="I56" s="172"/>
      <c r="J56" s="172"/>
    </row>
    <row r="57" spans="2:10">
      <c r="B57" s="6" t="str">
        <f>IF(C2="Oui existant","Est-ce que des sauvegardes sont réalisées régulièrement ?",IF(AND(C7&lt;&gt;"Non prévu",C7&lt;&gt;""),"Est-ce que des sauvegardes sont prévus dès l'implémentation ?",""))</f>
        <v/>
      </c>
      <c r="C57" s="22"/>
      <c r="D57" s="20"/>
      <c r="E57" s="12" t="str">
        <f t="shared" si="0"/>
        <v/>
      </c>
      <c r="F57" s="16"/>
      <c r="G57" s="171" t="str">
        <f>IF(AND(TRIM(B57)&lt;&gt;"",TRIM(C57)&lt;&gt;""),IF(C57="Oui",5,0),"")</f>
        <v/>
      </c>
      <c r="H57" s="171" t="str">
        <f t="shared" ref="H57" si="3">IF(AND(TRIM(B57)&lt;&gt;"",TRIM(C57)&lt;&gt;""),5,"")</f>
        <v/>
      </c>
      <c r="I57" s="172"/>
      <c r="J57" s="172"/>
    </row>
    <row r="58" spans="2:10">
      <c r="B58" s="6" t="str">
        <f>IF(C57="Oui","A quelle fréquence sont-elles exécutées?","")</f>
        <v/>
      </c>
      <c r="C58" s="22"/>
      <c r="D58" s="20"/>
      <c r="E58" s="12" t="str">
        <f t="shared" si="0"/>
        <v/>
      </c>
      <c r="F58" s="16"/>
      <c r="G58" s="173"/>
      <c r="H58" s="173" t="str">
        <f>IF(AND(TRIM(B58)&lt;&gt;"",TRIM(C58)&lt;&gt;""),3,"")</f>
        <v/>
      </c>
      <c r="I58" s="172"/>
      <c r="J58" s="172"/>
    </row>
    <row r="59" spans="2:10">
      <c r="B59" s="6" t="str">
        <f>IF(C57="Oui","Avez-vous une politique de rétention en place ? Si oui, pouvez-vous me la partager?","")</f>
        <v/>
      </c>
      <c r="C59" s="22"/>
      <c r="D59" s="20"/>
      <c r="E59" s="12" t="str">
        <f t="shared" si="0"/>
        <v/>
      </c>
      <c r="F59" s="16"/>
      <c r="G59" s="173" t="str">
        <f>IF(AND(TRIM(B59)&lt;&gt;"",TRIM(C59)&lt;&gt;""),IF(C59="Oui",2,0),"")</f>
        <v/>
      </c>
      <c r="H59" s="173" t="str">
        <f>IF(AND(TRIM(B59)&lt;&gt;"",TRIM(C59)&lt;&gt;""),2,"")</f>
        <v/>
      </c>
      <c r="I59" s="172"/>
      <c r="J59" s="172"/>
    </row>
    <row r="60" spans="2:10">
      <c r="B60" s="6" t="str">
        <f>IF(C57="Oui","Quelle est la solution de sauvegarde/récupération utilisée ?","")</f>
        <v/>
      </c>
      <c r="C60" s="22"/>
      <c r="D60" s="20"/>
      <c r="E60" s="12" t="str">
        <f t="shared" si="0"/>
        <v/>
      </c>
      <c r="F60" s="16"/>
      <c r="G60" s="173"/>
      <c r="H60" s="173" t="str">
        <f t="shared" ref="H60" si="4">IF(AND(TRIM(B60)&lt;&gt;"",TRIM(C60)&lt;&gt;""),3,"")</f>
        <v/>
      </c>
      <c r="I60" s="172"/>
      <c r="J60" s="172"/>
    </row>
    <row r="61" spans="2:10">
      <c r="B61" s="6" t="str">
        <f>IF(C57="Oui","Quelle est la taille totale estimée des sauvegardes ?","")</f>
        <v/>
      </c>
      <c r="C61" s="22"/>
      <c r="D61" s="20"/>
      <c r="E61" s="12" t="str">
        <f t="shared" si="0"/>
        <v/>
      </c>
      <c r="F61" s="16"/>
      <c r="G61" s="171"/>
      <c r="H61" s="171"/>
      <c r="I61" s="172"/>
      <c r="J61" s="172"/>
    </row>
    <row r="62" spans="2:10">
      <c r="F62" s="16"/>
      <c r="G62" s="171">
        <f>SUM(G5:G61)</f>
        <v>0</v>
      </c>
      <c r="H62" s="171">
        <f>SUM(H5:H61)</f>
        <v>5</v>
      </c>
      <c r="I62" s="172"/>
      <c r="J62" s="172"/>
    </row>
    <row r="63" spans="2:10">
      <c r="F63" s="16"/>
    </row>
    <row r="64" spans="2:10">
      <c r="F64" s="16"/>
    </row>
    <row r="65" spans="6:6">
      <c r="F65" s="16"/>
    </row>
    <row r="66" spans="6:6">
      <c r="F66" s="16"/>
    </row>
    <row r="67" spans="6:6">
      <c r="F67" s="16"/>
    </row>
    <row r="123" spans="1:1">
      <c r="A123" t="s">
        <v>223</v>
      </c>
    </row>
  </sheetData>
  <sheetProtection formatRows="0"/>
  <mergeCells count="4">
    <mergeCell ref="A1:B1"/>
    <mergeCell ref="F9:F11"/>
    <mergeCell ref="G9:G11"/>
    <mergeCell ref="H9:H11"/>
  </mergeCells>
  <conditionalFormatting sqref="B8:B13">
    <cfRule type="containsBlanks" dxfId="595" priority="24">
      <formula>LEN(TRIM(B8))=0</formula>
    </cfRule>
  </conditionalFormatting>
  <conditionalFormatting sqref="B15:B61">
    <cfRule type="containsBlanks" dxfId="594" priority="5">
      <formula>LEN(TRIM(B15))=0</formula>
    </cfRule>
  </conditionalFormatting>
  <conditionalFormatting sqref="C7">
    <cfRule type="containsBlanks" dxfId="593" priority="10">
      <formula>LEN(TRIM(C7))=0</formula>
    </cfRule>
  </conditionalFormatting>
  <conditionalFormatting sqref="C8:C13 C15:C24">
    <cfRule type="expression" dxfId="592" priority="11">
      <formula>AND($B8&lt;&gt;"",$C8="")</formula>
    </cfRule>
  </conditionalFormatting>
  <conditionalFormatting sqref="C14">
    <cfRule type="containsBlanks" dxfId="591" priority="98">
      <formula>LEN(TRIM(C14))=0</formula>
    </cfRule>
  </conditionalFormatting>
  <conditionalFormatting sqref="C25:C36">
    <cfRule type="expression" dxfId="590" priority="17">
      <formula>AND($B25&lt;&gt;"",$C25="")</formula>
    </cfRule>
  </conditionalFormatting>
  <conditionalFormatting sqref="C37:C38">
    <cfRule type="expression" dxfId="589" priority="44">
      <formula>AND($B37&lt;&gt;"",$C37="")</formula>
    </cfRule>
  </conditionalFormatting>
  <conditionalFormatting sqref="C39">
    <cfRule type="expression" dxfId="588" priority="6">
      <formula>AND($B39&lt;&gt;"",$C39="")</formula>
    </cfRule>
  </conditionalFormatting>
  <conditionalFormatting sqref="C41:C61">
    <cfRule type="expression" dxfId="587" priority="61">
      <formula>AND($B41&lt;&gt;"",$C41="")</formula>
    </cfRule>
  </conditionalFormatting>
  <conditionalFormatting sqref="C8:D13 C15:D32">
    <cfRule type="expression" dxfId="586" priority="12">
      <formula>$B8=""</formula>
    </cfRule>
  </conditionalFormatting>
  <conditionalFormatting sqref="C33:D38">
    <cfRule type="expression" dxfId="585" priority="18">
      <formula>$B33=""</formula>
    </cfRule>
  </conditionalFormatting>
  <conditionalFormatting sqref="C39:D43">
    <cfRule type="expression" dxfId="584" priority="1">
      <formula>$B39=""</formula>
    </cfRule>
  </conditionalFormatting>
  <conditionalFormatting sqref="C44:D44">
    <cfRule type="expression" dxfId="583" priority="93">
      <formula>$B44=""</formula>
    </cfRule>
  </conditionalFormatting>
  <conditionalFormatting sqref="C45:D45">
    <cfRule type="expression" dxfId="582" priority="30">
      <formula>$B45=""</formula>
    </cfRule>
  </conditionalFormatting>
  <conditionalFormatting sqref="C46:D53">
    <cfRule type="expression" dxfId="581" priority="107">
      <formula>$B46=""</formula>
    </cfRule>
  </conditionalFormatting>
  <conditionalFormatting sqref="C54:D61">
    <cfRule type="expression" dxfId="580" priority="26">
      <formula>$B54=""</formula>
    </cfRule>
  </conditionalFormatting>
  <conditionalFormatting sqref="D32">
    <cfRule type="containsBlanks" dxfId="579" priority="97">
      <formula>LEN(TRIM(D32))=0</formula>
    </cfRule>
  </conditionalFormatting>
  <conditionalFormatting sqref="D37:D38">
    <cfRule type="containsBlanks" dxfId="578" priority="33">
      <formula>LEN(TRIM(D37))=0</formula>
    </cfRule>
  </conditionalFormatting>
  <conditionalFormatting sqref="D40">
    <cfRule type="containsBlanks" dxfId="577" priority="2">
      <formula>LEN(TRIM(D40))=0</formula>
    </cfRule>
  </conditionalFormatting>
  <conditionalFormatting sqref="D45">
    <cfRule type="containsBlanks" dxfId="576" priority="31">
      <formula>LEN(TRIM(D45))=0</formula>
    </cfRule>
  </conditionalFormatting>
  <conditionalFormatting sqref="D54:D55">
    <cfRule type="containsBlanks" dxfId="575" priority="27">
      <formula>LEN(TRIM(D54))=0</formula>
    </cfRule>
  </conditionalFormatting>
  <dataValidations count="14">
    <dataValidation type="list" allowBlank="1" showInputMessage="1" showErrorMessage="1" sqref="C24" xr:uid="{00000000-0002-0000-0B00-000000000000}">
      <formula1>"Smartphone,Tablette,Les 2"</formula1>
    </dataValidation>
    <dataValidation type="list" allowBlank="1" showInputMessage="1" showErrorMessage="1" sqref="C15" xr:uid="{00000000-0002-0000-0B00-000001000000}">
      <formula1>"Module du CBS,Solution séparée"</formula1>
    </dataValidation>
    <dataValidation type="list" allowBlank="1" showInputMessage="1" showErrorMessage="1" sqref="C2" xr:uid="{00000000-0002-0000-0B00-000002000000}">
      <formula1>"Oui existant,Non existant"</formula1>
    </dataValidation>
    <dataValidation type="list" allowBlank="1" showInputMessage="1" showErrorMessage="1" sqref="C21" xr:uid="{00000000-0002-0000-0B00-000003000000}">
      <formula1>"Très haut,Haut,Moyen,Faible, Inexistant"</formula1>
    </dataValidation>
    <dataValidation type="list" allowBlank="1" showInputMessage="1" showErrorMessage="1" sqref="C14" xr:uid="{00000000-0002-0000-0B00-000004000000}">
      <formula1>"Primoridal,Critique,Moyen,Faible"</formula1>
    </dataValidation>
    <dataValidation type="list" allowBlank="1" showInputMessage="1" showErrorMessage="1" sqref="C27 C34 C56:C57 C50 C52 C12 C45 C59 C19 C25 C23 C41:C42" xr:uid="{00000000-0002-0000-0B00-000005000000}">
      <formula1>"Oui,Non"</formula1>
    </dataValidation>
    <dataValidation type="list" allowBlank="1" showInputMessage="1" showErrorMessage="1" sqref="C31" xr:uid="{00000000-0002-0000-0B00-000006000000}">
      <formula1>"Nominatives,Partagées,NA"</formula1>
    </dataValidation>
    <dataValidation type="list" allowBlank="1" showInputMessage="1" showErrorMessage="1" sqref="C35" xr:uid="{00000000-0002-0000-0B00-000007000000}">
      <formula1>"Global,Dédié"</formula1>
    </dataValidation>
    <dataValidation type="list" allowBlank="1" showInputMessage="1" showErrorMessage="1" sqref="C43" xr:uid="{00000000-0002-0000-0B00-000008000000}">
      <formula1>"On-site,Cloud"</formula1>
    </dataValidation>
    <dataValidation type="list" allowBlank="1" showInputMessage="1" showErrorMessage="1" sqref="C44" xr:uid="{00000000-0002-0000-0B00-000009000000}">
      <formula1>"SaaS,Infra gérée"</formula1>
    </dataValidation>
    <dataValidation type="list" allowBlank="1" showInputMessage="1" showErrorMessage="1" sqref="C46" xr:uid="{00000000-0002-0000-0B00-00000A000000}">
      <formula1>"Achat,Location,Sous-traitance"</formula1>
    </dataValidation>
    <dataValidation type="list" allowBlank="1" showInputMessage="1" showErrorMessage="1" sqref="C36" xr:uid="{00000000-0002-0000-0B00-00000B000000}">
      <formula1>"Oui et oui,Oui et non,Non pour les 2"</formula1>
    </dataValidation>
    <dataValidation type="list" allowBlank="1" showInputMessage="1" showErrorMessage="1" sqref="C7" xr:uid="{00000000-0002-0000-0B00-00000C000000}">
      <formula1>"COTS,Développement interne,Développement externalisé,Non prévu"</formula1>
    </dataValidation>
    <dataValidation type="list" allowBlank="1" showInputMessage="1" showErrorMessage="1" sqref="C39" xr:uid="{00000000-0002-0000-0B00-00000D000000}">
      <formula1>"IT Groupe,IT Local,Les 2"</formula1>
    </dataValidation>
  </dataValidations>
  <hyperlinks>
    <hyperlink ref="A1" location="Sommaire!A1" display="Retour à la page d'accueil" xr:uid="{00000000-0004-0000-0B00-000000000000}"/>
    <hyperlink ref="A1:B1" location="Accueil!A1" display="Retour à la page d'accueil" xr:uid="{00000000-0004-0000-0B00-000001000000}"/>
  </hyperlinks>
  <pageMargins left="0.7" right="0.7" top="0.75" bottom="0.75" header="0.3" footer="0.3"/>
  <pageSetup paperSize="9" orientation="portrait" horizontalDpi="4294967293"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tint="0.499984740745262"/>
  </sheetPr>
  <dimension ref="A1:L123"/>
  <sheetViews>
    <sheetView showGridLines="0" workbookViewId="0">
      <pane ySplit="6" topLeftCell="A7" activePane="bottomLeft" state="frozen"/>
      <selection pane="bottomLeft" sqref="A1:B1"/>
    </sheetView>
  </sheetViews>
  <sheetFormatPr defaultColWidth="11.42578125" defaultRowHeight="14.25"/>
  <cols>
    <col min="1" max="1" width="2.28515625" customWidth="1"/>
    <col min="2" max="2" width="63.140625" style="10" customWidth="1"/>
    <col min="3" max="3" width="32.42578125" style="15" customWidth="1"/>
    <col min="4" max="4" width="28.5703125" customWidth="1"/>
    <col min="5" max="5" width="9" hidden="1" customWidth="1"/>
    <col min="6" max="6" width="30.28515625" bestFit="1" customWidth="1"/>
    <col min="7" max="7" width="5.140625" customWidth="1"/>
    <col min="8" max="8" width="6.85546875" style="171" customWidth="1"/>
    <col min="9" max="9" width="6.85546875" style="172" customWidth="1"/>
    <col min="10" max="10" width="11.42578125" style="172" customWidth="1"/>
    <col min="11" max="11" width="4.140625" style="172" bestFit="1" customWidth="1"/>
    <col min="12" max="12" width="11.42578125" customWidth="1"/>
  </cols>
  <sheetData>
    <row r="1" spans="1:12">
      <c r="A1" s="302" t="s">
        <v>26</v>
      </c>
      <c r="B1" s="302"/>
      <c r="C1" s="177" t="s">
        <v>576</v>
      </c>
    </row>
    <row r="2" spans="1:12" ht="18">
      <c r="B2" s="40" t="s">
        <v>783</v>
      </c>
      <c r="C2" s="118" t="s">
        <v>686</v>
      </c>
    </row>
    <row r="3" spans="1:12">
      <c r="B3" s="13" t="s">
        <v>578</v>
      </c>
    </row>
    <row r="4" spans="1:12">
      <c r="B4" s="13" t="s">
        <v>579</v>
      </c>
    </row>
    <row r="6" spans="1:12" ht="15">
      <c r="B6" s="41" t="s">
        <v>580</v>
      </c>
      <c r="C6" s="42" t="s">
        <v>581</v>
      </c>
      <c r="D6" s="42" t="s">
        <v>118</v>
      </c>
      <c r="E6" s="33" t="s">
        <v>31</v>
      </c>
      <c r="F6" s="42" t="s">
        <v>28</v>
      </c>
      <c r="G6" s="16"/>
      <c r="I6" s="171"/>
      <c r="J6" s="178"/>
      <c r="K6" s="178"/>
    </row>
    <row r="7" spans="1:12">
      <c r="B7" s="6" t="str">
        <f>IF(C2="Oui existant","COTS ou Développement interne? (Commercial Off-The-Shelf solution)","Vous prévoyez quel type de solution?: COTS ou Développement interne? (Commercial Off-The-Shelf solution)")</f>
        <v>COTS ou Développement interne? (Commercial Off-The-Shelf solution)</v>
      </c>
      <c r="C7" s="177" t="s">
        <v>583</v>
      </c>
      <c r="D7" s="21"/>
      <c r="E7" s="12">
        <f>IF(TRIM(B7)="","",IF(TRIM(C7)="",0,1))</f>
        <v>1</v>
      </c>
      <c r="F7" s="164" t="s">
        <v>54</v>
      </c>
      <c r="G7" s="16"/>
      <c r="H7" s="186"/>
      <c r="I7" s="186"/>
    </row>
    <row r="8" spans="1:12">
      <c r="B8" s="6" t="str">
        <f>IF(C7="COTS","Nom de l'éditeur","")</f>
        <v>Nom de l'éditeur</v>
      </c>
      <c r="C8" s="177" t="s">
        <v>784</v>
      </c>
      <c r="D8" s="20"/>
      <c r="E8" s="12">
        <f t="shared" ref="E8" si="0">IF(TRIM(B8)="","",IF(TRIM(C8)="",0,1))</f>
        <v>1</v>
      </c>
      <c r="F8" s="164" t="s">
        <v>54</v>
      </c>
      <c r="G8" s="16"/>
      <c r="H8" s="186"/>
      <c r="I8" s="186"/>
    </row>
    <row r="9" spans="1:12">
      <c r="B9" s="6" t="str">
        <f>IF(C2="Oui existant","Nom de la solution",IF(AND(C7&lt;&gt;"Non prévu",C7&lt;&gt;""),"Nom de la solution (si déjà identifiée)",""))</f>
        <v>Nom de la solution</v>
      </c>
      <c r="C9" s="20" t="s">
        <v>785</v>
      </c>
      <c r="D9" s="20"/>
      <c r="E9" s="12">
        <f t="shared" ref="E9:E61" si="1">IF(TRIM(B9)="","",IF(TRIM(C9)="",0,1))</f>
        <v>1</v>
      </c>
      <c r="F9" s="164" t="s">
        <v>54</v>
      </c>
      <c r="G9" s="397"/>
      <c r="H9" s="399"/>
      <c r="I9" s="399"/>
    </row>
    <row r="10" spans="1:12">
      <c r="B10" s="6" t="str">
        <f>IF(C2="Oui existant","Quelle est la version/release de l'application ?",IF(C7="COTS","Quelle est la version/release qui sera implémentée ?",""))</f>
        <v>Quelle est la version/release de l'application ?</v>
      </c>
      <c r="C10" s="177" t="s">
        <v>786</v>
      </c>
      <c r="D10" s="20"/>
      <c r="E10" s="12">
        <f>IF(TRIM(B10)="","",IF(TRIM(C10)="",0,1))</f>
        <v>1</v>
      </c>
      <c r="F10" s="164" t="s">
        <v>54</v>
      </c>
      <c r="G10" s="397"/>
      <c r="H10" s="399"/>
      <c r="I10" s="399"/>
    </row>
    <row r="11" spans="1:12">
      <c r="B11" s="6" t="str">
        <f>IF(C2="Oui existant","Quelle est la dernière version de l'application ?",IF(C7="COTS","Quelle est la dernière version de cette nouvelle solution ?",""))</f>
        <v>Quelle est la dernière version de l'application ?</v>
      </c>
      <c r="C11" s="177" t="s">
        <v>787</v>
      </c>
      <c r="D11" s="20"/>
      <c r="E11" s="12">
        <f>IF(TRIM(B11)="","",IF(TRIM(C11)="",0,1))</f>
        <v>1</v>
      </c>
      <c r="F11" s="164" t="s">
        <v>54</v>
      </c>
      <c r="G11" s="397"/>
      <c r="H11" s="399"/>
      <c r="I11" s="399"/>
    </row>
    <row r="12" spans="1:12">
      <c r="B12" s="6" t="str">
        <f>IF(C2="Oui existant","Etes-vous au courant d’une évolution majeure en cours sur cette application","")</f>
        <v>Etes-vous au courant d’une évolution majeure en cours sur cette application</v>
      </c>
      <c r="C12" s="20" t="s">
        <v>54</v>
      </c>
      <c r="D12" s="20"/>
      <c r="E12" s="12">
        <f>IF(TRIM(B12)="","",IF(TRIM(C12)="",0,1))</f>
        <v>1</v>
      </c>
      <c r="F12" s="164" t="s">
        <v>54</v>
      </c>
      <c r="G12" s="16"/>
      <c r="H12" s="186"/>
      <c r="I12" s="186"/>
    </row>
    <row r="13" spans="1:12">
      <c r="B13" s="6" t="str">
        <f>IF(C2="Oui existant","Qui contrôle les évolutions sur cette Application ?","")</f>
        <v>Qui contrôle les évolutions sur cette Application ?</v>
      </c>
      <c r="C13" s="177" t="s">
        <v>788</v>
      </c>
      <c r="D13" s="20"/>
      <c r="E13" s="12">
        <f>IF(TRIM(B13)="","",IF(TRIM(C13)="",0,1))</f>
        <v>1</v>
      </c>
      <c r="F13" s="164" t="s">
        <v>54</v>
      </c>
      <c r="G13" s="16"/>
      <c r="H13" s="186"/>
      <c r="I13" s="186"/>
    </row>
    <row r="14" spans="1:12" s="9" customFormat="1" ht="25.5">
      <c r="B14" s="7" t="str">
        <f>IF(C2="Oui existant","Quelle est la criticité de cette application ? combien de temps peut-on supporter son indisponibilité (colonne détail) ?","Quelle est la criticité de ce besoin ?")</f>
        <v>Quelle est la criticité de cette application ? combien de temps peut-on supporter son indisponibilité (colonne détail) ?</v>
      </c>
      <c r="C14" s="177" t="s">
        <v>719</v>
      </c>
      <c r="D14" s="21"/>
      <c r="E14" s="12">
        <f>IF(TRIM(B14)="","",IF(TRIM(C14)="",0,1))</f>
        <v>1</v>
      </c>
      <c r="F14" s="164" t="s">
        <v>54</v>
      </c>
      <c r="G14" s="16"/>
      <c r="H14" s="186"/>
      <c r="I14" s="186"/>
      <c r="J14" s="172"/>
      <c r="K14" s="172"/>
      <c r="L14"/>
    </row>
    <row r="15" spans="1:12">
      <c r="B15" s="6" t="str">
        <f>IF(C7="COTS","Est-ce un module du CBS ou une  solution séparée?","")</f>
        <v>Est-ce un module du CBS ou une  solution séparée?</v>
      </c>
      <c r="C15" s="20" t="s">
        <v>720</v>
      </c>
      <c r="D15" s="20"/>
      <c r="E15" s="12">
        <f t="shared" si="1"/>
        <v>1</v>
      </c>
      <c r="F15" s="164" t="s">
        <v>54</v>
      </c>
      <c r="G15" s="16"/>
      <c r="H15" s="186"/>
      <c r="I15" s="186"/>
    </row>
    <row r="16" spans="1:12">
      <c r="B16" s="6" t="str">
        <f>IF(C2="Oui existant","Quand l’application a-t-elle été implémentée ?",IF(AND(C7&lt;&gt;"Non prévu",C7&lt;&gt;""),"Quand l’application sera-t-elle implémentée ?",""))</f>
        <v>Quand l’application a-t-elle été implémentée ?</v>
      </c>
      <c r="C16" s="177">
        <v>2024</v>
      </c>
      <c r="D16" s="20"/>
      <c r="E16" s="12">
        <f t="shared" si="1"/>
        <v>1</v>
      </c>
      <c r="F16" s="164" t="s">
        <v>54</v>
      </c>
      <c r="G16" s="16"/>
      <c r="H16" s="186"/>
      <c r="I16" s="186"/>
    </row>
    <row r="17" spans="2:9">
      <c r="B17" s="6" t="str">
        <f>IF(C2="Oui existant","Qui l'a implémenté ?",IF(AND(C7&lt;&gt;"Non prévu",C7&lt;&gt;""),"Qui doit l'implémenter ?",""))</f>
        <v>Qui l'a implémenté ?</v>
      </c>
      <c r="C17" s="177" t="s">
        <v>789</v>
      </c>
      <c r="D17" s="20"/>
      <c r="E17" s="12">
        <f t="shared" si="1"/>
        <v>1</v>
      </c>
      <c r="F17" s="164" t="s">
        <v>54</v>
      </c>
      <c r="G17" s="16"/>
      <c r="H17" s="186"/>
      <c r="I17" s="186"/>
    </row>
    <row r="18" spans="2:9" ht="51">
      <c r="B18" s="6" t="str">
        <f>IF(C2="Oui existant","Quels sont les processus fonctionnels couverts ?",IF(AND(C7&lt;&gt;"Non prévu",C7&lt;&gt;""),"Quels sont les processus fonctionnels qui doivent être couverts ?",""))</f>
        <v>Quels sont les processus fonctionnels couverts ?</v>
      </c>
      <c r="C18" s="177" t="s">
        <v>790</v>
      </c>
      <c r="D18" s="20"/>
      <c r="E18" s="12">
        <f t="shared" si="1"/>
        <v>1</v>
      </c>
      <c r="F18" s="164" t="s">
        <v>54</v>
      </c>
      <c r="G18" s="16"/>
      <c r="H18" s="186"/>
      <c r="I18" s="186"/>
    </row>
    <row r="19" spans="2:9" ht="63.75">
      <c r="B19" s="6" t="str">
        <f>IF(C2="Oui existant","Est-ce que la solution est integrée au CBS ?",IF(AND(C7&lt;&gt;"Non prévu",C7&lt;&gt;""),"Est-ce que la solution sera integrée au CBS ?",""))</f>
        <v>Est-ce que la solution est integrée au CBS ?</v>
      </c>
      <c r="C19" s="177" t="s">
        <v>39</v>
      </c>
      <c r="D19" s="224" t="s">
        <v>791</v>
      </c>
      <c r="E19" s="12">
        <f t="shared" si="1"/>
        <v>1</v>
      </c>
      <c r="F19" s="227" t="s">
        <v>792</v>
      </c>
      <c r="G19" s="16"/>
      <c r="H19" s="173"/>
      <c r="I19" s="173"/>
    </row>
    <row r="20" spans="2:9">
      <c r="B20" s="208" t="str">
        <f>IF(C19="Oui",IF(C2="Oui existant","Comment et quels sont les processus et données qui transitent ?",IF(AND(C7&lt;&gt;"Non prévu",C7&lt;&gt;""),"Comment et quels seront les processus et données qui vont transiter ?","")),"")</f>
        <v>Comment et quels sont les processus et données qui transitent ?</v>
      </c>
      <c r="C20" s="20" t="s">
        <v>60</v>
      </c>
      <c r="D20" s="20"/>
      <c r="E20" s="12">
        <f t="shared" ref="E20" si="2">IF(TRIM(B20)="","",IF(TRIM(C20)="",0,1))</f>
        <v>1</v>
      </c>
      <c r="F20" s="164"/>
      <c r="G20" s="16"/>
      <c r="H20" s="186"/>
      <c r="I20" s="186"/>
    </row>
    <row r="21" spans="2:9">
      <c r="B21" s="208" t="str">
        <f>IF(C2="Oui existant","Quel est le niveau de personnalisation de l’Application ?",IF(C7="COTS","Quel est le niveau de personnalisation prévu de l’Application ?",""))</f>
        <v>Quel est le niveau de personnalisation de l’Application ?</v>
      </c>
      <c r="C21" s="177" t="s">
        <v>749</v>
      </c>
      <c r="D21" s="20" t="s">
        <v>728</v>
      </c>
      <c r="E21" s="12">
        <f t="shared" si="1"/>
        <v>1</v>
      </c>
      <c r="F21" s="164" t="s">
        <v>118</v>
      </c>
      <c r="G21" s="16"/>
      <c r="H21" s="186"/>
      <c r="I21" s="186"/>
    </row>
    <row r="22" spans="2:9">
      <c r="B22" s="208" t="str">
        <f>IF(C2="Oui existant","Quelle(s) technologie(s) sous-jacente(s) ?","")</f>
        <v>Quelle(s) technologie(s) sous-jacente(s) ?</v>
      </c>
      <c r="C22" s="20" t="s">
        <v>60</v>
      </c>
      <c r="D22" s="20"/>
      <c r="E22" s="12">
        <f t="shared" si="1"/>
        <v>1</v>
      </c>
      <c r="F22" s="164" t="s">
        <v>118</v>
      </c>
      <c r="G22" s="16"/>
      <c r="H22" s="186"/>
      <c r="I22" s="186"/>
    </row>
    <row r="23" spans="2:9">
      <c r="B23" s="6" t="str">
        <f>IF(C2="Oui existant","Est-ce que cette solution dispose d'une interface Mobile?",IF(AND(C7&lt;&gt;"Non prévu",C7&lt;&gt;""),"Est-ce qu'il est prévu une version Mobile ?",""))</f>
        <v>Est-ce que cette solution dispose d'une interface Mobile?</v>
      </c>
      <c r="C23" s="20" t="s">
        <v>54</v>
      </c>
      <c r="D23" s="20"/>
      <c r="E23" s="12">
        <f t="shared" si="1"/>
        <v>1</v>
      </c>
      <c r="F23" s="164" t="s">
        <v>54</v>
      </c>
      <c r="G23" s="16"/>
      <c r="H23" s="186"/>
      <c r="I23" s="186"/>
    </row>
    <row r="24" spans="2:9">
      <c r="B24" s="6" t="str">
        <f>IF(AND(C7&lt;&gt;"Non prévu",C7&lt;&gt;""),IF(C23="Oui","Dispose-t-elle d'une version smartphone ou tablette ou les 2  ?",""),"")</f>
        <v/>
      </c>
      <c r="C24" s="22"/>
      <c r="D24" s="20"/>
      <c r="E24" s="12" t="str">
        <f t="shared" si="1"/>
        <v/>
      </c>
      <c r="F24" s="164"/>
      <c r="G24" s="16"/>
      <c r="H24" s="186"/>
      <c r="I24" s="186"/>
    </row>
    <row r="25" spans="2:9" ht="25.5">
      <c r="B25" s="6" t="str">
        <f>IF(C2="Oui existant","Est-ce qu'il est prévu de remplacer cette solution par une autre ? Si oui, veuillez mettre le nom de la nouvelle solution et la période prévue dans la colonne détails","")</f>
        <v>Est-ce qu'il est prévu de remplacer cette solution par une autre ? Si oui, veuillez mettre le nom de la nouvelle solution et la période prévue dans la colonne détails</v>
      </c>
      <c r="C25" s="20" t="s">
        <v>54</v>
      </c>
      <c r="D25" s="20"/>
      <c r="E25" s="12">
        <f t="shared" si="1"/>
        <v>1</v>
      </c>
      <c r="F25" s="164" t="s">
        <v>54</v>
      </c>
      <c r="G25" s="16"/>
      <c r="H25" s="186"/>
      <c r="I25" s="186"/>
    </row>
    <row r="26" spans="2:9">
      <c r="B26" s="6" t="str">
        <f>IF(C2="Oui existant","Quel est le nombre d’utilisateurs finaux de cette application ?",IF(AND(C7&lt;&gt;"Non prévu",C7&lt;&gt;""),"Quel est le nombre d’utilisateurs finaux prévus pour cette application ?",""))</f>
        <v>Quel est le nombre d’utilisateurs finaux de cette application ?</v>
      </c>
      <c r="C26" s="177" t="s">
        <v>793</v>
      </c>
      <c r="D26" s="20"/>
      <c r="E26" s="12">
        <f t="shared" si="1"/>
        <v>1</v>
      </c>
      <c r="F26" s="164" t="s">
        <v>54</v>
      </c>
      <c r="G26" s="16"/>
      <c r="H26" s="186"/>
      <c r="I26" s="186"/>
    </row>
    <row r="27" spans="2:9">
      <c r="B27" s="6" t="str">
        <f>IF(C2="Oui existant","Y a-t-il des utilisateurs du Groupe sur les activités de la filiale ?","")</f>
        <v>Y a-t-il des utilisateurs du Groupe sur les activités de la filiale ?</v>
      </c>
      <c r="C27" s="20" t="s">
        <v>39</v>
      </c>
      <c r="D27" s="20"/>
      <c r="E27" s="12">
        <f t="shared" si="1"/>
        <v>1</v>
      </c>
      <c r="F27" s="164" t="s">
        <v>54</v>
      </c>
      <c r="G27" s="16"/>
      <c r="H27" s="186"/>
      <c r="I27" s="186"/>
    </row>
    <row r="28" spans="2:9">
      <c r="B28" s="208" t="str">
        <f>IF(C27="Oui","Quel est le ratio  ?","")</f>
        <v>Quel est le ratio  ?</v>
      </c>
      <c r="C28" s="20" t="s">
        <v>60</v>
      </c>
      <c r="D28" s="20"/>
      <c r="E28" s="12">
        <f t="shared" si="1"/>
        <v>1</v>
      </c>
      <c r="F28" s="164"/>
      <c r="G28" s="16"/>
      <c r="H28" s="186"/>
      <c r="I28" s="186"/>
    </row>
    <row r="29" spans="2:9">
      <c r="B29" s="208" t="str">
        <f>IF(C2="Oui existant","Quels ont été les acquisitions de licences détaillées (nombre, date, coût) ?","")</f>
        <v>Quels ont été les acquisitions de licences détaillées (nombre, date, coût) ?</v>
      </c>
      <c r="C29" s="20" t="s">
        <v>60</v>
      </c>
      <c r="D29" s="20"/>
      <c r="E29" s="12">
        <f t="shared" si="1"/>
        <v>1</v>
      </c>
      <c r="F29" s="164" t="s">
        <v>54</v>
      </c>
      <c r="G29" s="16"/>
      <c r="H29" s="186"/>
      <c r="I29" s="186"/>
    </row>
    <row r="30" spans="2:9">
      <c r="B30" s="6" t="str">
        <f>IF(C2="Oui existant","Quel est le nombre actuel de licences détenues par la filiale?",IF(C7="COTS","Combien de licences projettez-vous d'acquérir ?",""))</f>
        <v>Quel est le nombre actuel de licences détenues par la filiale?</v>
      </c>
      <c r="C30" s="177" t="s">
        <v>794</v>
      </c>
      <c r="D30" s="20"/>
      <c r="E30" s="12">
        <f t="shared" si="1"/>
        <v>1</v>
      </c>
      <c r="F30" s="164" t="s">
        <v>54</v>
      </c>
      <c r="G30" s="16"/>
      <c r="H30" s="186"/>
      <c r="I30" s="186"/>
    </row>
    <row r="31" spans="2:9">
      <c r="B31" s="6" t="str">
        <f>IF(C2="Oui existant","Quel type de licences (nominatives/partagées) ?",IF(C7="COTS","Est-ce que ce sera des licences nominatives ou partagées ?",""))</f>
        <v>Quel type de licences (nominatives/partagées) ?</v>
      </c>
      <c r="C31" s="177" t="s">
        <v>795</v>
      </c>
      <c r="D31" s="20"/>
      <c r="E31" s="12">
        <f t="shared" si="1"/>
        <v>1</v>
      </c>
      <c r="F31" s="164" t="s">
        <v>54</v>
      </c>
      <c r="G31" s="16"/>
      <c r="H31" s="186"/>
      <c r="I31" s="186"/>
    </row>
    <row r="32" spans="2:9" ht="38.25">
      <c r="B32" s="6" t="str">
        <f>IF(C2="Oui existant","Des licences supplémentaires sont-elles nécessaires pour l'utilisation de l'application (outil supplémentaire, interfaces, modules complémentaires, …) ? Par module / par utilisateur ?",IF(C7="COTS","Est-ce que vous projettez d'acquérir d'autres licences dans un second temps ? combien et quand ?",""))</f>
        <v>Des licences supplémentaires sont-elles nécessaires pour l'utilisation de l'application (outil supplémentaire, interfaces, modules complémentaires, …) ? Par module / par utilisateur ?</v>
      </c>
      <c r="C32" s="177" t="s">
        <v>24</v>
      </c>
      <c r="D32" s="20" t="s">
        <v>24</v>
      </c>
      <c r="E32" s="12">
        <f t="shared" si="1"/>
        <v>1</v>
      </c>
      <c r="F32" s="164" t="s">
        <v>54</v>
      </c>
      <c r="G32" s="16"/>
      <c r="H32" s="186"/>
      <c r="I32" s="186"/>
    </row>
    <row r="33" spans="2:9">
      <c r="B33" s="208" t="str">
        <f>IF(C2="Oui existant","Quel est le coût du support éditeur ?",IF(C7="COTS","Quel sera le coût du support éditeur ?",""))</f>
        <v>Quel est le coût du support éditeur ?</v>
      </c>
      <c r="C33" s="20" t="s">
        <v>60</v>
      </c>
      <c r="D33" s="20"/>
      <c r="E33" s="12">
        <f t="shared" si="1"/>
        <v>1</v>
      </c>
      <c r="F33" s="164" t="s">
        <v>54</v>
      </c>
      <c r="G33" s="16"/>
      <c r="H33" s="186"/>
      <c r="I33" s="186"/>
    </row>
    <row r="34" spans="2:9" ht="25.5">
      <c r="B34" s="208" t="str">
        <f>IF(C2="Oui existant","Existe-t-il un contrat de support avec un fournisseur ou un partenaire ? Pouvez-vous le partager ?","")</f>
        <v>Existe-t-il un contrat de support avec un fournisseur ou un partenaire ? Pouvez-vous le partager ?</v>
      </c>
      <c r="C34" s="177" t="s">
        <v>39</v>
      </c>
      <c r="D34" s="20"/>
      <c r="E34" s="12">
        <f t="shared" si="1"/>
        <v>1</v>
      </c>
      <c r="F34" s="164" t="s">
        <v>670</v>
      </c>
      <c r="G34" s="16"/>
      <c r="H34" s="186"/>
      <c r="I34" s="186"/>
    </row>
    <row r="35" spans="2:9">
      <c r="B35" s="6" t="str">
        <f>IF(C2="Oui existant","Le contrat est-il global couvrant plusieurs filiales ou dédié à la filiale ?",IF(C7="COTS","Projettez-vous une acquisition individuelle ou groupe ?",""))</f>
        <v>Le contrat est-il global couvrant plusieurs filiales ou dédié à la filiale ?</v>
      </c>
      <c r="C35" s="20" t="s">
        <v>29</v>
      </c>
      <c r="D35" s="20"/>
      <c r="E35" s="12">
        <f t="shared" si="1"/>
        <v>1</v>
      </c>
      <c r="F35" s="164" t="s">
        <v>54</v>
      </c>
      <c r="G35" s="16"/>
      <c r="H35" s="186"/>
      <c r="I35" s="186"/>
    </row>
    <row r="36" spans="2:9" ht="25.5">
      <c r="B36" s="208" t="str">
        <f>IF(C2="Oui existant","Le contrat comprend-il un SLA formel ? Cela inclut-il un engagement de performance ?","")</f>
        <v>Le contrat comprend-il un SLA formel ? Cela inclut-il un engagement de performance ?</v>
      </c>
      <c r="C36" s="177" t="s">
        <v>640</v>
      </c>
      <c r="D36" s="20"/>
      <c r="E36" s="12">
        <f>IF(TRIM(B36)="","",IF(TRIM(C36)="",0,1))</f>
        <v>1</v>
      </c>
      <c r="F36" s="164" t="s">
        <v>270</v>
      </c>
      <c r="G36" s="16"/>
      <c r="H36" s="186"/>
      <c r="I36" s="186"/>
    </row>
    <row r="37" spans="2:9" ht="382.5">
      <c r="B37" s="208" t="str">
        <f>IF(C2="Oui existant","Combien de ETP internes sont dédiés aux support (Niveaux 1, 2 et 3) de cette solution ?
Veuillez décrire dans la colonne détail de quelle entité sont-ils (Holding ou pays), la répartition des principales activités, les compétences et les rôles",IF(AND(C7&lt;&gt;"Non prévu",C7&lt;&gt;""),"Combien de ETP internes projettez-vous de dédier aux support (Niveaux 1, 2 et 3) de cette solution ?",""))</f>
        <v>Combien de ETP internes sont dédiés aux support (Niveaux 1, 2 et 3) de cette solution ?
Veuillez décrire dans la colonne détail de quelle entité sont-ils (Holding ou pays), la répartition des principales activités, les compétences et les rôles</v>
      </c>
      <c r="C37" s="197" t="s">
        <v>643</v>
      </c>
      <c r="D37" s="197" t="s">
        <v>796</v>
      </c>
      <c r="E37" s="12">
        <f>IF(TRIM(B37)="","",IF(TRIM(C37)="",0,IF(TRIM(D37)="",0.5,1)))</f>
        <v>1</v>
      </c>
      <c r="F37" s="164" t="s">
        <v>797</v>
      </c>
      <c r="G37" s="16"/>
      <c r="H37" s="186"/>
      <c r="I37" s="186"/>
    </row>
    <row r="38" spans="2:9" ht="51">
      <c r="B38" s="208" t="str">
        <f>IF(C2="Oui existant","Combien de ETP internes sont dédiés aux changes opérés sur cette solution (incluant Dev, Config, Mise en prod) ?
Veuillez décrire dans la col. détail de quelle entité sont-ils (Holding ou pays), la répartition des activités, les compétences et les rôles",IF(AND(C7&lt;&gt;"Non prévu",C7&lt;&gt;""),"Combien de ETP internes projettez-vous de dédier aux futurs changes sur cette solution (incluant Dev, Config, Mise en prod) ?",""))</f>
        <v>Combien de ETP internes sont dédiés aux changes opérés sur cette solution (incluant Dev, Config, Mise en prod) ?
Veuillez décrire dans la col. détail de quelle entité sont-ils (Holding ou pays), la répartition des activités, les compétences et les rôles</v>
      </c>
      <c r="C38" s="221" t="s">
        <v>647</v>
      </c>
      <c r="D38" s="221" t="s">
        <v>648</v>
      </c>
      <c r="E38" s="12">
        <f>IF(TRIM(B38)="","",IF(TRIM(C38)="",0,IF(TRIM(D38)="",0.5,1)))</f>
        <v>1</v>
      </c>
      <c r="F38" s="164" t="s">
        <v>797</v>
      </c>
      <c r="G38" s="16"/>
      <c r="H38" s="186"/>
      <c r="I38" s="186"/>
    </row>
    <row r="39" spans="2:9" ht="127.5">
      <c r="B39" s="6" t="str">
        <f>IF(C2="Oui existant","Qui administre cette solution et apporte le support aux utilisateurs l'IT Groupe, l'IT local ou les 2 ?",IF(AND(C7&lt;&gt;"Non prévu",C7&lt;&gt;""),"Qui va administrer cette solution et apporter le support aux utilisateurs: l'IT Groupe, l'IT local ou les 2 ?",""))</f>
        <v>Qui administre cette solution et apporte le support aux utilisateurs l'IT Groupe, l'IT local ou les 2 ?</v>
      </c>
      <c r="C39" s="177" t="s">
        <v>623</v>
      </c>
      <c r="D39" s="224" t="s">
        <v>798</v>
      </c>
      <c r="E39" s="12">
        <f t="shared" si="1"/>
        <v>1</v>
      </c>
      <c r="F39" s="164" t="s">
        <v>651</v>
      </c>
      <c r="G39" s="16"/>
      <c r="H39" s="186"/>
      <c r="I39" s="186"/>
    </row>
    <row r="40" spans="2:9" ht="38.25">
      <c r="B40" s="6" t="str">
        <f>IF(C39="Les 2","A quelle proportion chacun ? et existe-t-il un SLA interne entre Group IT et la filiale ? S'il existe, pouvez-vous le partager
vous pouvez décrire dans la partie détails les responsabilités de chaque partie","")</f>
        <v>A quelle proportion chacun ? et existe-t-il un SLA interne entre Group IT et la filiale ? S'il existe, pouvez-vous le partager
vous pouvez décrire dans la partie détails les responsabilités de chaque partie</v>
      </c>
      <c r="C40" s="20" t="s">
        <v>56</v>
      </c>
      <c r="D40" s="21" t="s">
        <v>56</v>
      </c>
      <c r="E40" s="12">
        <f t="shared" si="1"/>
        <v>1</v>
      </c>
      <c r="F40" s="164" t="s">
        <v>63</v>
      </c>
      <c r="G40" s="16"/>
      <c r="H40" s="186"/>
      <c r="I40" s="186"/>
    </row>
    <row r="41" spans="2:9" ht="25.5">
      <c r="B41" s="6" t="str">
        <f>IF(C2="Oui existant","Avez-vous un historique des KPI pour la disponibilité et le support de cette application ? Si oui, pouvez-vous les partager","")</f>
        <v>Avez-vous un historique des KPI pour la disponibilité et le support de cette application ? Si oui, pouvez-vous les partager</v>
      </c>
      <c r="C41" s="20" t="s">
        <v>54</v>
      </c>
      <c r="D41" s="20" t="s">
        <v>56</v>
      </c>
      <c r="E41" s="12">
        <f t="shared" si="1"/>
        <v>1</v>
      </c>
      <c r="F41" s="164" t="s">
        <v>63</v>
      </c>
      <c r="G41" s="16"/>
      <c r="H41" s="186"/>
      <c r="I41" s="186"/>
    </row>
    <row r="42" spans="2:9">
      <c r="B42" s="208" t="str">
        <f>IF(C2="Oui existant","Existe-t-il un processus de suivi des contrats groupe et tiers ?","")</f>
        <v>Existe-t-il un processus de suivi des contrats groupe et tiers ?</v>
      </c>
      <c r="C42" s="20" t="s">
        <v>54</v>
      </c>
      <c r="D42" s="20"/>
      <c r="E42" s="12">
        <f t="shared" si="1"/>
        <v>1</v>
      </c>
      <c r="F42" s="164" t="s">
        <v>670</v>
      </c>
      <c r="G42" s="16"/>
      <c r="H42" s="186"/>
      <c r="I42" s="186"/>
    </row>
    <row r="43" spans="2:9">
      <c r="B43" s="6" t="str">
        <f>IF(C2="Oui existant","L'application est-elle installée sur site ou utilisée sur le Cloud (SaaS) ?",IF(AND(C7&lt;&gt;"Non prévu",C7&lt;&gt;""),"La nouvelle solution sera-t-elle installée sur site ou utilisée sur le Cloud (SaaS) ?",""))</f>
        <v>L'application est-elle installée sur site ou utilisée sur le Cloud (SaaS) ?</v>
      </c>
      <c r="C43" s="177" t="s">
        <v>707</v>
      </c>
      <c r="D43" s="20"/>
      <c r="E43" s="12">
        <f t="shared" si="1"/>
        <v>1</v>
      </c>
      <c r="F43" s="164" t="s">
        <v>54</v>
      </c>
      <c r="G43" s="16"/>
      <c r="H43" s="186"/>
      <c r="I43" s="186"/>
    </row>
    <row r="44" spans="2:9">
      <c r="B44" s="6" t="str">
        <f>IF(AND(C43="Cloud",C7="COTS"),"Est-ce entièrement SaaS ou Infra gérée par l'équipe locale ?","")</f>
        <v>Est-ce entièrement SaaS ou Infra gérée par l'équipe locale ?</v>
      </c>
      <c r="C44" s="22" t="s">
        <v>710</v>
      </c>
      <c r="D44" s="20"/>
      <c r="E44" s="12">
        <f t="shared" si="1"/>
        <v>1</v>
      </c>
      <c r="F44" s="164" t="s">
        <v>54</v>
      </c>
      <c r="G44" s="16"/>
      <c r="H44" s="186"/>
      <c r="I44" s="186"/>
    </row>
    <row r="45" spans="2:9" ht="25.5">
      <c r="B45" s="6" t="str">
        <f>IF(C2="Oui existant","S'agit-il d'une architecture Client/Serveur à 3 niveaux ? Décrivez s'il vous plait","")</f>
        <v>S'agit-il d'une architecture Client/Serveur à 3 niveaux ? Décrivez s'il vous plait</v>
      </c>
      <c r="C45" s="177" t="s">
        <v>39</v>
      </c>
      <c r="D45" s="21" t="s">
        <v>799</v>
      </c>
      <c r="E45" s="12">
        <f>IF(TRIM(B45)="","",IF(TRIM(C45)="",0,IF(TRIM(D45)="",0.5,1)))</f>
        <v>1</v>
      </c>
      <c r="F45" s="164" t="s">
        <v>54</v>
      </c>
      <c r="G45" s="16"/>
      <c r="H45" s="186"/>
      <c r="I45" s="186"/>
    </row>
    <row r="46" spans="2:9">
      <c r="B46" s="6" t="str">
        <f>IF(C43="On-site","Comment sont acquis les serveurs (achat/location/sous-traitance) ?","")</f>
        <v/>
      </c>
      <c r="C46" s="177"/>
      <c r="D46" s="20"/>
      <c r="E46" s="12" t="str">
        <f t="shared" si="1"/>
        <v/>
      </c>
      <c r="F46" s="164" t="s">
        <v>54</v>
      </c>
      <c r="G46" s="16"/>
      <c r="H46" s="186"/>
      <c r="I46" s="186"/>
    </row>
    <row r="47" spans="2:9" ht="89.25">
      <c r="B47" s="6" t="str">
        <f>IF(C2="Oui existant","Où sont installés les serveurs ?","")</f>
        <v>Où sont installés les serveurs ?</v>
      </c>
      <c r="C47" s="177" t="s">
        <v>800</v>
      </c>
      <c r="D47" s="20"/>
      <c r="E47" s="12">
        <f t="shared" si="1"/>
        <v>1</v>
      </c>
      <c r="F47" s="164" t="s">
        <v>54</v>
      </c>
      <c r="G47" s="16"/>
      <c r="H47" s="186"/>
      <c r="I47" s="186"/>
    </row>
    <row r="48" spans="2:9">
      <c r="B48" s="208" t="str">
        <f>IF(C2="Oui existant","Sur quels systèmes (versions) cette application s'exécute-t-elle ?",IF(AND(C7&lt;&gt;"Non prévu",C7&lt;&gt;""),"Sur quels systèmes (versions) cette application sera-t-elle implémentée ?",""))</f>
        <v>Sur quels systèmes (versions) cette application s'exécute-t-elle ?</v>
      </c>
      <c r="C48" s="22" t="s">
        <v>60</v>
      </c>
      <c r="D48" s="20"/>
      <c r="E48" s="12">
        <f t="shared" si="1"/>
        <v>1</v>
      </c>
      <c r="F48" s="164" t="s">
        <v>54</v>
      </c>
      <c r="G48" s="16"/>
      <c r="H48" s="186"/>
      <c r="I48" s="186"/>
    </row>
    <row r="49" spans="2:9">
      <c r="B49" s="208" t="str">
        <f>IF(C2="Oui existant","Sur quelle base de données cette application tourne-t-elle ?",IF(AND(C7&lt;&gt;"Non prévu",C7&lt;&gt;""),"Sur quelle base de données cette application tournera-t-elle ?",""))</f>
        <v>Sur quelle base de données cette application tourne-t-elle ?</v>
      </c>
      <c r="C49" s="22" t="s">
        <v>60</v>
      </c>
      <c r="D49" s="20"/>
      <c r="E49" s="12">
        <f t="shared" si="1"/>
        <v>1</v>
      </c>
      <c r="F49" s="164" t="s">
        <v>54</v>
      </c>
      <c r="G49" s="16"/>
      <c r="H49" s="186"/>
      <c r="I49" s="186"/>
    </row>
    <row r="50" spans="2:9">
      <c r="B50" s="208" t="str">
        <f>IF(C2="Oui existant","Existe-t-il une architecture haute disponibilité (réplication) ?",IF(AND(C7&lt;&gt;"Non prévu",C7&lt;&gt;""),"Est-ce qu'il est prévu une architecture haute disponibilité (réplication) ?",""))</f>
        <v>Existe-t-il une architecture haute disponibilité (réplication) ?</v>
      </c>
      <c r="C50" s="22" t="s">
        <v>54</v>
      </c>
      <c r="D50" s="20"/>
      <c r="E50" s="12">
        <f t="shared" si="1"/>
        <v>1</v>
      </c>
      <c r="F50" s="164" t="s">
        <v>54</v>
      </c>
      <c r="G50" s="16"/>
      <c r="H50" s="186"/>
      <c r="I50" s="186"/>
    </row>
    <row r="51" spans="2:9">
      <c r="B51" s="6" t="str">
        <f>IF(C50="Oui","Entièrement ou partiellement ? Actif-Actif ou Actif-Passif ?","")</f>
        <v/>
      </c>
      <c r="C51" s="22"/>
      <c r="D51" s="20"/>
      <c r="E51" s="12" t="str">
        <f t="shared" si="1"/>
        <v/>
      </c>
      <c r="F51" s="164"/>
      <c r="G51" s="16"/>
      <c r="H51" s="186"/>
      <c r="I51" s="186"/>
    </row>
    <row r="52" spans="2:9">
      <c r="B52" s="208" t="str">
        <f>IF(C2="Oui existant","Existe-t-il un plan de récupération pour cette application ?","")</f>
        <v>Existe-t-il un plan de récupération pour cette application ?</v>
      </c>
      <c r="C52" s="177" t="s">
        <v>54</v>
      </c>
      <c r="D52" s="20"/>
      <c r="E52" s="12">
        <f t="shared" si="1"/>
        <v>1</v>
      </c>
      <c r="F52" s="164" t="s">
        <v>670</v>
      </c>
      <c r="G52" s="16"/>
      <c r="H52" s="186"/>
      <c r="I52" s="186"/>
    </row>
    <row r="53" spans="2:9">
      <c r="B53" s="208" t="str">
        <f>IF(C2="Oui existant","Qui gère les données de la base de données ?",IF(AND(C7&lt;&gt;"Non prévu",C7&lt;&gt;""),"Qui va gèrer les données de la base de données ?",""))</f>
        <v>Qui gère les données de la base de données ?</v>
      </c>
      <c r="C53" s="22" t="s">
        <v>60</v>
      </c>
      <c r="D53" s="20"/>
      <c r="E53" s="12">
        <f t="shared" si="1"/>
        <v>1</v>
      </c>
      <c r="F53" s="164" t="s">
        <v>63</v>
      </c>
      <c r="G53" s="16"/>
      <c r="H53" s="186"/>
      <c r="I53" s="186"/>
    </row>
    <row r="54" spans="2:9" ht="25.5">
      <c r="B54" s="208" t="str">
        <f>IF(C2="Oui existant","Quelles sont les interfaces existantes de cette application ? Veuillez décrire et partager tout document d'architecture",IF(AND(C7&lt;&gt;"Non prévu",C7&lt;&gt;""),"Quelles sont les interfaces prévues ? Veuillez décrire et partager tout document d'architecture cible",""))</f>
        <v>Quelles sont les interfaces existantes de cette application ? Veuillez décrire et partager tout document d'architecture</v>
      </c>
      <c r="C54" s="20" t="s">
        <v>60</v>
      </c>
      <c r="D54" s="21" t="s">
        <v>60</v>
      </c>
      <c r="E54" s="12">
        <f>IF(TRIM(B54)="","",IF(TRIM(C54)="",0,IF(TRIM(D54)="",0.5,1)))</f>
        <v>1</v>
      </c>
      <c r="F54" s="164" t="s">
        <v>63</v>
      </c>
      <c r="G54" s="16"/>
      <c r="H54" s="186"/>
      <c r="I54" s="186"/>
    </row>
    <row r="55" spans="2:9" ht="25.5">
      <c r="B55" s="6" t="str">
        <f>IF(C2="Oui existant","L'application est-elle complètement en temps réel ou y'a-t-il des batchs la nuit ? Décrivez s'il vous plait",IF(AND(C7&lt;&gt;"Non prévu",C7&lt;&gt;""),"L'application sera-t-elle complètement en temps réel ou y'aura-t-il des batchs la nuit ? Décrivez s'il vous plait",""))</f>
        <v>L'application est-elle complètement en temps réel ou y'a-t-il des batchs la nuit ? Décrivez s'il vous plait</v>
      </c>
      <c r="C55" s="177" t="s">
        <v>801</v>
      </c>
      <c r="D55" s="21" t="s">
        <v>60</v>
      </c>
      <c r="E55" s="12">
        <f>IF(TRIM(B55)="","",IF(TRIM(C55)="",0,IF(TRIM(D55)="",0.5,1)))</f>
        <v>1</v>
      </c>
      <c r="F55" s="164" t="s">
        <v>54</v>
      </c>
      <c r="G55" s="16"/>
      <c r="H55" s="186"/>
      <c r="I55" s="186"/>
    </row>
    <row r="56" spans="2:9" ht="38.25">
      <c r="B56" s="6" t="str">
        <f>IF(C2="Oui existant","Avez-vous connaissance d'un quelconque problème potentiel lié à la continuité de cette application (par exemple départ ou indisponibilité des ressources clés, fin de support, bug critique, ...), si oui lequel dans détails ?","")</f>
        <v>Avez-vous connaissance d'un quelconque problème potentiel lié à la continuité de cette application (par exemple départ ou indisponibilité des ressources clés, fin de support, bug critique, ...), si oui lequel dans détails ?</v>
      </c>
      <c r="C56" s="177" t="s">
        <v>54</v>
      </c>
      <c r="D56" s="20"/>
      <c r="E56" s="12">
        <f t="shared" si="1"/>
        <v>1</v>
      </c>
      <c r="F56" s="164" t="s">
        <v>54</v>
      </c>
      <c r="G56" s="16"/>
      <c r="H56" s="186"/>
      <c r="I56" s="186"/>
    </row>
    <row r="57" spans="2:9">
      <c r="B57" s="208" t="str">
        <f>IF(C2="Oui existant","Est-ce que des sauvegardes sont réalisées régulièrement ?",IF(AND(C7&lt;&gt;"Non prévu",C7&lt;&gt;""),"Est-ce que des sauvegardes sont prévus dès l'implémentation ?",""))</f>
        <v>Est-ce que des sauvegardes sont réalisées régulièrement ?</v>
      </c>
      <c r="C57" s="184" t="s">
        <v>39</v>
      </c>
      <c r="D57" s="20"/>
      <c r="E57" s="12">
        <f t="shared" si="1"/>
        <v>1</v>
      </c>
      <c r="F57" s="164" t="s">
        <v>802</v>
      </c>
      <c r="G57" s="16"/>
      <c r="H57" s="186"/>
      <c r="I57" s="186"/>
    </row>
    <row r="58" spans="2:9">
      <c r="B58" s="6" t="str">
        <f>IF(C57="Oui","A quelle fréquence sont-elles exécutées?","")</f>
        <v>A quelle fréquence sont-elles exécutées?</v>
      </c>
      <c r="C58" s="184" t="s">
        <v>803</v>
      </c>
      <c r="D58" s="20"/>
      <c r="E58" s="12">
        <f t="shared" si="1"/>
        <v>1</v>
      </c>
      <c r="F58" s="164"/>
      <c r="G58" s="16"/>
      <c r="H58" s="186"/>
      <c r="I58" s="186"/>
    </row>
    <row r="59" spans="2:9">
      <c r="B59" s="6" t="str">
        <f>IF(C57="Oui","Avez-vous une politique de rétention en place ? Si oui, pouvez-vous me la partager?","")</f>
        <v>Avez-vous une politique de rétention en place ? Si oui, pouvez-vous me la partager?</v>
      </c>
      <c r="C59" s="184" t="s">
        <v>803</v>
      </c>
      <c r="D59" s="20"/>
      <c r="E59" s="12">
        <f t="shared" si="1"/>
        <v>1</v>
      </c>
      <c r="F59" s="164"/>
      <c r="G59" s="16"/>
      <c r="H59" s="186"/>
      <c r="I59" s="186"/>
    </row>
    <row r="60" spans="2:9">
      <c r="B60" s="6" t="str">
        <f>IF(C57="Oui","Quelle est la solution de sauvegarde/récupération utilisée ?","")</f>
        <v>Quelle est la solution de sauvegarde/récupération utilisée ?</v>
      </c>
      <c r="C60" s="184" t="s">
        <v>803</v>
      </c>
      <c r="D60" s="20"/>
      <c r="E60" s="12">
        <f t="shared" si="1"/>
        <v>1</v>
      </c>
      <c r="F60" s="164"/>
      <c r="G60" s="16"/>
      <c r="H60" s="186"/>
      <c r="I60" s="186"/>
    </row>
    <row r="61" spans="2:9">
      <c r="B61" s="6" t="str">
        <f>IF(C57="Oui","Quelle est la taille totale estimée des sauvegardes ?","")</f>
        <v>Quelle est la taille totale estimée des sauvegardes ?</v>
      </c>
      <c r="C61" s="184" t="s">
        <v>803</v>
      </c>
      <c r="D61" s="20"/>
      <c r="E61" s="12">
        <f t="shared" si="1"/>
        <v>1</v>
      </c>
      <c r="F61" s="164"/>
      <c r="G61" s="16"/>
      <c r="H61" s="186"/>
      <c r="I61" s="186"/>
    </row>
    <row r="62" spans="2:9" ht="25.5">
      <c r="B62" s="6" t="str">
        <f>IF(C7="COTS","Est-ce que vous avez une autre solution de détection de fraude (autre que AML) ? Si oui, veuillez donner plus de détails dans la colonne D","")</f>
        <v>Est-ce que vous avez une autre solution de détection de fraude (autre que AML) ? Si oui, veuillez donner plus de détails dans la colonne D</v>
      </c>
      <c r="C62" s="20"/>
      <c r="D62" s="20"/>
      <c r="E62" s="12">
        <f t="shared" ref="E62" si="3">IF(TRIM(B62)="","",IF(TRIM(C62)="",0,1))</f>
        <v>0</v>
      </c>
      <c r="F62" s="164"/>
      <c r="H62" s="186"/>
      <c r="I62" s="186"/>
    </row>
    <row r="63" spans="2:9">
      <c r="G63" s="16"/>
      <c r="I63" s="171"/>
    </row>
    <row r="64" spans="2:9">
      <c r="G64" s="16"/>
    </row>
    <row r="65" spans="7:7">
      <c r="G65" s="16"/>
    </row>
    <row r="66" spans="7:7">
      <c r="G66" s="16"/>
    </row>
    <row r="67" spans="7:7">
      <c r="G67" s="16"/>
    </row>
    <row r="123" spans="1:1">
      <c r="A123" t="s">
        <v>223</v>
      </c>
    </row>
  </sheetData>
  <sheetProtection formatRows="0"/>
  <mergeCells count="4">
    <mergeCell ref="A1:B1"/>
    <mergeCell ref="G9:G11"/>
    <mergeCell ref="H9:H11"/>
    <mergeCell ref="I9:I11"/>
  </mergeCells>
  <conditionalFormatting sqref="B8:B13">
    <cfRule type="containsBlanks" dxfId="574" priority="107">
      <formula>LEN(TRIM(B8))=0</formula>
    </cfRule>
  </conditionalFormatting>
  <conditionalFormatting sqref="B15:B62">
    <cfRule type="containsBlanks" dxfId="573" priority="94">
      <formula>LEN(TRIM(B15))=0</formula>
    </cfRule>
  </conditionalFormatting>
  <conditionalFormatting sqref="C1">
    <cfRule type="containsBlanks" dxfId="572" priority="58">
      <formula>LEN(TRIM(C1))=0</formula>
    </cfRule>
  </conditionalFormatting>
  <conditionalFormatting sqref="C7:C8">
    <cfRule type="containsBlanks" dxfId="571" priority="57">
      <formula>LEN(TRIM(C7))=0</formula>
    </cfRule>
  </conditionalFormatting>
  <conditionalFormatting sqref="C9 C12">
    <cfRule type="expression" dxfId="570" priority="66">
      <formula>AND($B9&lt;&gt;"",$C9="")</formula>
    </cfRule>
  </conditionalFormatting>
  <conditionalFormatting sqref="C10:C11">
    <cfRule type="containsBlanks" dxfId="569" priority="56">
      <formula>LEN(TRIM(C10))=0</formula>
    </cfRule>
  </conditionalFormatting>
  <conditionalFormatting sqref="C13:C14">
    <cfRule type="containsBlanks" dxfId="568" priority="40">
      <formula>LEN(TRIM(C13))=0</formula>
    </cfRule>
  </conditionalFormatting>
  <conditionalFormatting sqref="C15 C20 C22:C24">
    <cfRule type="expression" dxfId="567" priority="99">
      <formula>AND($B15&lt;&gt;"",$C15="")</formula>
    </cfRule>
  </conditionalFormatting>
  <conditionalFormatting sqref="C16:C19">
    <cfRule type="containsBlanks" dxfId="566" priority="51">
      <formula>LEN(TRIM(C16))=0</formula>
    </cfRule>
  </conditionalFormatting>
  <conditionalFormatting sqref="C21">
    <cfRule type="containsBlanks" dxfId="565" priority="50">
      <formula>LEN(TRIM(C21))=0</formula>
    </cfRule>
  </conditionalFormatting>
  <conditionalFormatting sqref="C25 C27:C29 C33 C35">
    <cfRule type="expression" dxfId="564" priority="101">
      <formula>AND($B25&lt;&gt;"",$C25="")</formula>
    </cfRule>
  </conditionalFormatting>
  <conditionalFormatting sqref="C26">
    <cfRule type="containsBlanks" dxfId="563" priority="49">
      <formula>LEN(TRIM(C26))=0</formula>
    </cfRule>
  </conditionalFormatting>
  <conditionalFormatting sqref="C30:C32">
    <cfRule type="containsBlanks" dxfId="562" priority="48">
      <formula>LEN(TRIM(C30))=0</formula>
    </cfRule>
  </conditionalFormatting>
  <conditionalFormatting sqref="C34">
    <cfRule type="containsBlanks" dxfId="561" priority="47">
      <formula>LEN(TRIM(C34))=0</formula>
    </cfRule>
  </conditionalFormatting>
  <conditionalFormatting sqref="C36">
    <cfRule type="containsBlanks" dxfId="560" priority="46">
      <formula>LEN(TRIM(C36))=0</formula>
    </cfRule>
  </conditionalFormatting>
  <conditionalFormatting sqref="C39">
    <cfRule type="containsBlanks" dxfId="559" priority="45">
      <formula>LEN(TRIM(C39))=0</formula>
    </cfRule>
  </conditionalFormatting>
  <conditionalFormatting sqref="C43">
    <cfRule type="containsBlanks" dxfId="558" priority="44">
      <formula>LEN(TRIM(C43))=0</formula>
    </cfRule>
  </conditionalFormatting>
  <conditionalFormatting sqref="C45:C47">
    <cfRule type="containsBlanks" dxfId="557" priority="43">
      <formula>LEN(TRIM(C45))=0</formula>
    </cfRule>
  </conditionalFormatting>
  <conditionalFormatting sqref="C52">
    <cfRule type="containsBlanks" dxfId="556" priority="42">
      <formula>LEN(TRIM(C52))=0</formula>
    </cfRule>
  </conditionalFormatting>
  <conditionalFormatting sqref="C53:C54 C41:C42 C44 C48:C51">
    <cfRule type="expression" dxfId="555" priority="149">
      <formula>AND($B41&lt;&gt;"",$C41="")</formula>
    </cfRule>
  </conditionalFormatting>
  <conditionalFormatting sqref="C55:C56">
    <cfRule type="containsBlanks" dxfId="554" priority="41">
      <formula>LEN(TRIM(C55))=0</formula>
    </cfRule>
  </conditionalFormatting>
  <conditionalFormatting sqref="C57:C62">
    <cfRule type="expression" dxfId="553" priority="110">
      <formula>AND($B57&lt;&gt;"",$C57="")</formula>
    </cfRule>
  </conditionalFormatting>
  <conditionalFormatting sqref="C9:D9 C12:D12 D8 D10:D11 D13">
    <cfRule type="expression" dxfId="552" priority="67">
      <formula>$B8=""</formula>
    </cfRule>
  </conditionalFormatting>
  <conditionalFormatting sqref="C15:D15 C20:D20 C22:D25 D16:D18 D21 D26 C27:D29 D30:D32">
    <cfRule type="expression" dxfId="551" priority="100">
      <formula>$B15=""</formula>
    </cfRule>
  </conditionalFormatting>
  <conditionalFormatting sqref="C33:D33 C35:D35 D34 D36">
    <cfRule type="expression" dxfId="550" priority="102">
      <formula>$B33=""</formula>
    </cfRule>
  </conditionalFormatting>
  <conditionalFormatting sqref="C44:D44">
    <cfRule type="expression" dxfId="549" priority="181">
      <formula>$B44=""</formula>
    </cfRule>
  </conditionalFormatting>
  <conditionalFormatting sqref="C48:D51 C53:D53 D52">
    <cfRule type="expression" dxfId="548" priority="195">
      <formula>$B48=""</formula>
    </cfRule>
  </conditionalFormatting>
  <conditionalFormatting sqref="C54:D54 D55:D56 C57:D62">
    <cfRule type="expression" dxfId="547" priority="108">
      <formula>$B54=""</formula>
    </cfRule>
  </conditionalFormatting>
  <conditionalFormatting sqref="D32">
    <cfRule type="containsBlanks" dxfId="546" priority="185">
      <formula>LEN(TRIM(D32))=0</formula>
    </cfRule>
  </conditionalFormatting>
  <conditionalFormatting sqref="C40:D42 D43">
    <cfRule type="expression" dxfId="545" priority="90">
      <formula>$B40=""</formula>
    </cfRule>
  </conditionalFormatting>
  <conditionalFormatting sqref="D40">
    <cfRule type="containsBlanks" dxfId="544" priority="91">
      <formula>LEN(TRIM(D40))=0</formula>
    </cfRule>
  </conditionalFormatting>
  <conditionalFormatting sqref="D45">
    <cfRule type="containsBlanks" dxfId="543" priority="119">
      <formula>LEN(TRIM(D45))=0</formula>
    </cfRule>
  </conditionalFormatting>
  <conditionalFormatting sqref="D45:D47">
    <cfRule type="expression" dxfId="542" priority="118">
      <formula>$B45=""</formula>
    </cfRule>
  </conditionalFormatting>
  <conditionalFormatting sqref="D54:D55">
    <cfRule type="containsBlanks" dxfId="541" priority="115">
      <formula>LEN(TRIM(D54))=0</formula>
    </cfRule>
  </conditionalFormatting>
  <conditionalFormatting sqref="F7:F18 F20">
    <cfRule type="expression" dxfId="540" priority="37">
      <formula>AND($B7&lt;&gt;"",#REF!="")</formula>
    </cfRule>
  </conditionalFormatting>
  <conditionalFormatting sqref="F7:F18 F20:F28">
    <cfRule type="expression" dxfId="539" priority="28">
      <formula>$B7=""</formula>
    </cfRule>
  </conditionalFormatting>
  <conditionalFormatting sqref="F17:F18">
    <cfRule type="expression" dxfId="538" priority="27">
      <formula>AND($B17&lt;&gt;"",#REF!="")</formula>
    </cfRule>
    <cfRule type="expression" dxfId="537" priority="29">
      <formula>AND($B17&lt;&gt;"",#REF!="")</formula>
    </cfRule>
  </conditionalFormatting>
  <conditionalFormatting sqref="F21:F22">
    <cfRule type="expression" dxfId="536" priority="36">
      <formula>AND($B21&lt;&gt;"",#REF!="")</formula>
    </cfRule>
  </conditionalFormatting>
  <conditionalFormatting sqref="F23">
    <cfRule type="expression" dxfId="535" priority="35">
      <formula>AND($B23&lt;&gt;"",#REF!="")</formula>
    </cfRule>
  </conditionalFormatting>
  <conditionalFormatting sqref="F29:F31">
    <cfRule type="expression" dxfId="534" priority="11">
      <formula>$B29=""</formula>
    </cfRule>
    <cfRule type="expression" dxfId="533" priority="12">
      <formula>AND($B29&lt;&gt;"",#REF!="")</formula>
    </cfRule>
  </conditionalFormatting>
  <conditionalFormatting sqref="F32:F36 F39:F56 F24:F28">
    <cfRule type="expression" dxfId="532" priority="34">
      <formula>AND($B24&lt;&gt;"",#REF!="")</formula>
    </cfRule>
  </conditionalFormatting>
  <conditionalFormatting sqref="F32:F36 F39:F56">
    <cfRule type="expression" dxfId="531" priority="33">
      <formula>$B32=""</formula>
    </cfRule>
  </conditionalFormatting>
  <conditionalFormatting sqref="F33:F34">
    <cfRule type="expression" dxfId="530" priority="32">
      <formula>AND($B33&lt;&gt;"",#REF!="")</formula>
    </cfRule>
  </conditionalFormatting>
  <conditionalFormatting sqref="F36:F37">
    <cfRule type="expression" dxfId="529" priority="24">
      <formula>AND($B36&lt;&gt;"",#REF!="")</formula>
    </cfRule>
  </conditionalFormatting>
  <conditionalFormatting sqref="F37">
    <cfRule type="expression" dxfId="528" priority="23">
      <formula>$B37=""</formula>
    </cfRule>
  </conditionalFormatting>
  <conditionalFormatting sqref="F37:F38">
    <cfRule type="expression" dxfId="527" priority="22">
      <formula>AND($B37&lt;&gt;"",#REF!="")</formula>
    </cfRule>
  </conditionalFormatting>
  <conditionalFormatting sqref="F38">
    <cfRule type="expression" dxfId="526" priority="20">
      <formula>AND($B38&lt;&gt;"",#REF!="")</formula>
    </cfRule>
    <cfRule type="expression" dxfId="525" priority="21">
      <formula>$B38=""</formula>
    </cfRule>
  </conditionalFormatting>
  <conditionalFormatting sqref="F42">
    <cfRule type="expression" dxfId="524" priority="31">
      <formula>AND($B42&lt;&gt;"",#REF!="")</formula>
    </cfRule>
  </conditionalFormatting>
  <conditionalFormatting sqref="F52">
    <cfRule type="expression" dxfId="523" priority="30">
      <formula>AND($B52&lt;&gt;"",#REF!="")</formula>
    </cfRule>
  </conditionalFormatting>
  <conditionalFormatting sqref="F57">
    <cfRule type="expression" dxfId="522" priority="17">
      <formula>AND($B57&lt;&gt;"",#REF!="")</formula>
    </cfRule>
  </conditionalFormatting>
  <conditionalFormatting sqref="F57:F62">
    <cfRule type="expression" dxfId="521" priority="18">
      <formula>$B57=""</formula>
    </cfRule>
    <cfRule type="expression" dxfId="520" priority="19">
      <formula>AND($B57&lt;&gt;"",#REF!="")</formula>
    </cfRule>
  </conditionalFormatting>
  <conditionalFormatting sqref="F19">
    <cfRule type="expression" dxfId="519" priority="4">
      <formula>$B19=""</formula>
    </cfRule>
  </conditionalFormatting>
  <conditionalFormatting sqref="C37:C38">
    <cfRule type="expression" dxfId="518" priority="10">
      <formula>AND($B37&lt;&gt;"",$C37="")</formula>
    </cfRule>
  </conditionalFormatting>
  <conditionalFormatting sqref="C37:C38">
    <cfRule type="expression" dxfId="517" priority="9">
      <formula>$B37=""</formula>
    </cfRule>
  </conditionalFormatting>
  <conditionalFormatting sqref="D39">
    <cfRule type="expression" dxfId="516" priority="1">
      <formula>$B39=""</formula>
    </cfRule>
  </conditionalFormatting>
  <conditionalFormatting sqref="D19">
    <cfRule type="expression" dxfId="515" priority="6">
      <formula>$B19=""</formula>
    </cfRule>
  </conditionalFormatting>
  <conditionalFormatting sqref="F19">
    <cfRule type="expression" dxfId="514" priority="5">
      <formula>AND($B19&lt;&gt;"",#REF!="")</formula>
    </cfRule>
  </conditionalFormatting>
  <conditionalFormatting sqref="D37:D38">
    <cfRule type="expression" dxfId="513" priority="3">
      <formula>AND($B37&lt;&gt;"",$C37="")</formula>
    </cfRule>
  </conditionalFormatting>
  <conditionalFormatting sqref="D37:D38">
    <cfRule type="expression" dxfId="512" priority="2">
      <formula>$B37=""</formula>
    </cfRule>
  </conditionalFormatting>
  <dataValidations count="16">
    <dataValidation type="list" allowBlank="1" showInputMessage="1" showErrorMessage="1" sqref="C36" xr:uid="{00000000-0002-0000-0C00-000000000000}">
      <formula1>"Oui et oui,Oui et non,Non pour les 2"</formula1>
    </dataValidation>
    <dataValidation type="list" allowBlank="1" showInputMessage="1" showErrorMessage="1" sqref="C46" xr:uid="{00000000-0002-0000-0C00-000001000000}">
      <formula1>"Achat,Location,Sous-traitance"</formula1>
    </dataValidation>
    <dataValidation type="list" allowBlank="1" showInputMessage="1" showErrorMessage="1" sqref="C44" xr:uid="{00000000-0002-0000-0C00-000002000000}">
      <formula1>"SaaS,Infra gérée"</formula1>
    </dataValidation>
    <dataValidation type="list" allowBlank="1" showInputMessage="1" showErrorMessage="1" sqref="C43" xr:uid="{00000000-0002-0000-0C00-000003000000}">
      <formula1>"On-site,Cloud"</formula1>
    </dataValidation>
    <dataValidation type="list" allowBlank="1" showInputMessage="1" showErrorMessage="1" sqref="C35:C36" xr:uid="{00000000-0002-0000-0C00-000004000000}">
      <formula1>"Global,Dédié"</formula1>
    </dataValidation>
    <dataValidation type="list" allowBlank="1" showInputMessage="1" showErrorMessage="1" sqref="C31" xr:uid="{00000000-0002-0000-0C00-000005000000}">
      <formula1>"Nominatives,Partagées,NA"</formula1>
    </dataValidation>
    <dataValidation type="list" allowBlank="1" showInputMessage="1" showErrorMessage="1" sqref="C27 C34 C56:C57 C50 C52 C12 C45 C41:C42 C19 C25 C62 C23" xr:uid="{00000000-0002-0000-0C00-000006000000}">
      <formula1>"Oui,Non"</formula1>
    </dataValidation>
    <dataValidation type="list" allowBlank="1" showInputMessage="1" showErrorMessage="1" sqref="C14" xr:uid="{00000000-0002-0000-0C00-000007000000}">
      <formula1>"Primoridal,Critique,Moyen,Faible"</formula1>
    </dataValidation>
    <dataValidation type="list" allowBlank="1" showInputMessage="1" showErrorMessage="1" sqref="C21" xr:uid="{00000000-0002-0000-0C00-000008000000}">
      <formula1>"Très haut,Haut,Moyen,Faible, Inexistant"</formula1>
    </dataValidation>
    <dataValidation type="list" allowBlank="1" showInputMessage="1" showErrorMessage="1" sqref="C2" xr:uid="{00000000-0002-0000-0C00-000009000000}">
      <formula1>"Oui existant,Non existant"</formula1>
    </dataValidation>
    <dataValidation type="list" allowBlank="1" showInputMessage="1" showErrorMessage="1" sqref="C15" xr:uid="{00000000-0002-0000-0C00-00000A000000}">
      <formula1>"Module du CBS,Solution séparée"</formula1>
    </dataValidation>
    <dataValidation type="list" allowBlank="1" showInputMessage="1" showErrorMessage="1" sqref="C24" xr:uid="{00000000-0002-0000-0C00-00000B000000}">
      <formula1>"Smartphone,Tablette,Les 2"</formula1>
    </dataValidation>
    <dataValidation type="list" allowBlank="1" showInputMessage="1" showErrorMessage="1" sqref="C7" xr:uid="{00000000-0002-0000-0C00-00000C000000}">
      <formula1>"COTS,Développement interne,Développement externalisé,Non prévu"</formula1>
    </dataValidation>
    <dataValidation type="list" allowBlank="1" showInputMessage="1" showErrorMessage="1" sqref="C39" xr:uid="{00000000-0002-0000-0C00-00000D000000}">
      <formula1>"IT Groupe,IT Local,Les 2"</formula1>
    </dataValidation>
    <dataValidation type="list" allowBlank="1" showInputMessage="1" showErrorMessage="1" sqref="F7:F18 F20 F43:F50 F53:F56 F35 F40:F41 F59:F60 F23:F33" xr:uid="{00000000-0002-0000-0C00-00000E000000}">
      <formula1>"Oui,Non,Pourquoi?"</formula1>
    </dataValidation>
    <dataValidation type="list" allowBlank="1" showInputMessage="1" showErrorMessage="1" sqref="F58 F21:F22" xr:uid="{00000000-0002-0000-0C00-00000F000000}">
      <formula1>"Oui,Non,Détails"</formula1>
    </dataValidation>
  </dataValidations>
  <hyperlinks>
    <hyperlink ref="A1" location="Sommaire!A1" display="Retour à la page d'accueil" xr:uid="{00000000-0004-0000-0C00-000000000000}"/>
    <hyperlink ref="A1:B1" location="Accueil!A1" display="Retour à la page d'accueil" xr:uid="{00000000-0004-0000-0C00-000001000000}"/>
  </hyperlinks>
  <pageMargins left="0.7" right="0.7" top="0.75" bottom="0.75"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9933"/>
  </sheetPr>
  <dimension ref="A1:J123"/>
  <sheetViews>
    <sheetView showGridLines="0" workbookViewId="0">
      <pane ySplit="6" topLeftCell="A16" activePane="bottomLeft" state="frozen"/>
      <selection pane="bottomLeft" sqref="A1:B1"/>
    </sheetView>
  </sheetViews>
  <sheetFormatPr defaultColWidth="11.42578125" defaultRowHeight="14.25"/>
  <cols>
    <col min="1" max="1" width="2.28515625" customWidth="1"/>
    <col min="2" max="2" width="63.140625" style="10" customWidth="1"/>
    <col min="3" max="3" width="32.42578125" style="15" customWidth="1"/>
    <col min="4" max="4" width="50.42578125" customWidth="1"/>
    <col min="5" max="5" width="9" hidden="1" customWidth="1"/>
    <col min="6" max="6" width="42.7109375" customWidth="1"/>
    <col min="7" max="7" width="8.42578125" style="16" hidden="1" customWidth="1"/>
    <col min="8" max="8" width="8.42578125" hidden="1" customWidth="1"/>
    <col min="9" max="9" width="11.42578125" hidden="1" customWidth="1"/>
    <col min="10" max="10" width="25" customWidth="1"/>
  </cols>
  <sheetData>
    <row r="1" spans="1:10">
      <c r="A1" s="302" t="s">
        <v>26</v>
      </c>
      <c r="B1" s="302"/>
    </row>
    <row r="2" spans="1:10" ht="116.25" customHeight="1">
      <c r="B2" s="43" t="s">
        <v>804</v>
      </c>
      <c r="C2" s="119" t="s">
        <v>686</v>
      </c>
      <c r="D2" s="9" t="s">
        <v>805</v>
      </c>
      <c r="F2" s="226" t="s">
        <v>806</v>
      </c>
    </row>
    <row r="3" spans="1:10">
      <c r="B3" s="13" t="s">
        <v>578</v>
      </c>
    </row>
    <row r="4" spans="1:10">
      <c r="B4" s="13" t="s">
        <v>579</v>
      </c>
    </row>
    <row r="5" spans="1:10" ht="6" customHeight="1"/>
    <row r="6" spans="1:10" ht="15">
      <c r="B6" s="44" t="s">
        <v>580</v>
      </c>
      <c r="C6" s="45" t="s">
        <v>581</v>
      </c>
      <c r="D6" s="45" t="s">
        <v>118</v>
      </c>
      <c r="E6" s="33" t="s">
        <v>31</v>
      </c>
      <c r="F6" s="16"/>
      <c r="G6" s="171"/>
      <c r="H6" s="171"/>
      <c r="I6" s="172"/>
      <c r="J6" s="172"/>
    </row>
    <row r="7" spans="1:10" ht="24.95" customHeight="1">
      <c r="B7" s="6" t="str">
        <f>IF(C2="Oui existant","COTS ou Développement interne? (Commercial Off-The-Shelf solution)","Vous prévoyez quel type de solution?: COTS ou Développement interne? (Commercial Off-The-Shelf solution)")</f>
        <v>COTS ou Développement interne? (Commercial Off-The-Shelf solution)</v>
      </c>
      <c r="C7" s="20" t="s">
        <v>687</v>
      </c>
      <c r="D7" s="21" t="s">
        <v>60</v>
      </c>
      <c r="E7" s="12">
        <f>IF(TRIM(B7)="","",IF(TRIM(C7)="",0,1))</f>
        <v>1</v>
      </c>
      <c r="F7" s="16"/>
      <c r="G7" s="173">
        <f>IF(AND(TRIM(B7)&lt;&gt;"",TRIM(C7)&lt;&gt;""),IF(C7="COTS",5,IF(C7="Développement interne",3,IF(C7="Développement externalisé",5,0))),"")</f>
        <v>5</v>
      </c>
      <c r="H7" s="173">
        <f>IF(AND(TRIM(B7)&lt;&gt;"",TRIM(C7)&lt;&gt;""),5,"")</f>
        <v>5</v>
      </c>
      <c r="I7" s="172"/>
      <c r="J7" s="172"/>
    </row>
    <row r="8" spans="1:10">
      <c r="B8" s="6" t="str">
        <f>IF(C7="COTS","Nom de l'éditeur","")</f>
        <v/>
      </c>
      <c r="C8" s="20"/>
      <c r="D8" s="20"/>
      <c r="E8" s="12" t="str">
        <f t="shared" ref="E8:E61" si="0">IF(TRIM(B8)="","",IF(TRIM(C8)="",0,1))</f>
        <v/>
      </c>
      <c r="F8" s="16"/>
      <c r="G8" s="173"/>
      <c r="H8" s="173"/>
      <c r="I8" s="172"/>
      <c r="J8" s="172"/>
    </row>
    <row r="9" spans="1:10">
      <c r="B9" s="6" t="str">
        <f>IF(C2="Oui existant","Nom de la solution",IF(AND(C7&lt;&gt;"Non prévu",C7&lt;&gt;""),"Nom de la solution (si déjà identifiée)",""))</f>
        <v>Nom de la solution</v>
      </c>
      <c r="C9" s="20" t="s">
        <v>807</v>
      </c>
      <c r="D9" s="20"/>
      <c r="E9" s="12">
        <f t="shared" si="0"/>
        <v>1</v>
      </c>
      <c r="F9" s="397"/>
      <c r="G9" s="400"/>
      <c r="H9" s="400">
        <f>IF(AND(TRIM(B9)&lt;&gt;"",TRIM(C9)&lt;&gt;""),5,"")</f>
        <v>5</v>
      </c>
      <c r="I9" s="172"/>
      <c r="J9" s="172"/>
    </row>
    <row r="10" spans="1:10">
      <c r="B10" s="6" t="str">
        <f>IF(C2="Oui existant","Quelle est la version/release de l'application ?",IF(C7="COTS","Quelle est la version/release qui sera implémentée ?",""))</f>
        <v>Quelle est la version/release de l'application ?</v>
      </c>
      <c r="C10" s="20" t="s">
        <v>808</v>
      </c>
      <c r="D10" s="20"/>
      <c r="E10" s="12">
        <f>IF(TRIM(B10)="","",IF(TRIM(C10)="",0,1))</f>
        <v>1</v>
      </c>
      <c r="F10" s="397"/>
      <c r="G10" s="400"/>
      <c r="H10" s="400"/>
      <c r="I10" s="172"/>
      <c r="J10" s="172"/>
    </row>
    <row r="11" spans="1:10">
      <c r="B11" s="6" t="str">
        <f>IF(C2="Oui existant","Quelle est la dernière version de l'application ?",IF(C7="COTS","Quelle est la dernière version de cette nouvelle solution ?",""))</f>
        <v>Quelle est la dernière version de l'application ?</v>
      </c>
      <c r="C11" s="20" t="s">
        <v>809</v>
      </c>
      <c r="D11" s="20"/>
      <c r="E11" s="12">
        <f>IF(TRIM(B11)="","",IF(TRIM(C11)="",0,1))</f>
        <v>1</v>
      </c>
      <c r="F11" s="397"/>
      <c r="G11" s="400"/>
      <c r="H11" s="400"/>
      <c r="I11" s="172"/>
      <c r="J11" s="172"/>
    </row>
    <row r="12" spans="1:10">
      <c r="B12" s="6" t="str">
        <f>IF(C2="Oui existant","Etes-vous au courant d’une évolution majeure en cours sur cette application","")</f>
        <v>Etes-vous au courant d’une évolution majeure en cours sur cette application</v>
      </c>
      <c r="C12" s="20" t="s">
        <v>54</v>
      </c>
      <c r="D12" s="20"/>
      <c r="E12" s="12">
        <f>IF(TRIM(B12)="","",IF(TRIM(C12)="",0,1))</f>
        <v>1</v>
      </c>
      <c r="F12" s="16"/>
      <c r="G12" s="173"/>
      <c r="H12" s="173"/>
      <c r="I12" s="172"/>
      <c r="J12" s="172"/>
    </row>
    <row r="13" spans="1:10">
      <c r="B13" s="6" t="str">
        <f>IF(C2="Oui existant","Qui contrôle les évolutions sur cette Application ?","")</f>
        <v>Qui contrôle les évolutions sur cette Application ?</v>
      </c>
      <c r="C13" s="20" t="s">
        <v>810</v>
      </c>
      <c r="D13" s="20"/>
      <c r="E13" s="12">
        <f>IF(TRIM(B13)="","",IF(TRIM(C13)="",0,1))</f>
        <v>1</v>
      </c>
      <c r="F13" s="16"/>
      <c r="G13" s="173"/>
      <c r="H13" s="173"/>
      <c r="I13" s="172"/>
      <c r="J13" s="172"/>
    </row>
    <row r="14" spans="1:10" s="9" customFormat="1" ht="26.1" customHeight="1">
      <c r="B14" s="7" t="str">
        <f>IF(C2="Oui existant","Quelle est la criticité de cette application ? combien de temps peut-on supporter son indisponibilité (colonne détail) ?","Quelle est la criticité de ce besoin ?")</f>
        <v>Quelle est la criticité de cette application ? combien de temps peut-on supporter son indisponibilité (colonne détail) ?</v>
      </c>
      <c r="C14" s="20" t="s">
        <v>719</v>
      </c>
      <c r="D14" s="21" t="s">
        <v>60</v>
      </c>
      <c r="E14" s="12">
        <f>IF(TRIM(B14)="","",IF(TRIM(C14)="",0,1))</f>
        <v>1</v>
      </c>
      <c r="F14" s="16"/>
      <c r="G14" s="173"/>
      <c r="H14" s="173"/>
      <c r="I14" s="181"/>
      <c r="J14" s="181"/>
    </row>
    <row r="15" spans="1:10">
      <c r="B15" s="6" t="str">
        <f>IF(C7="COTS","Est-ce un module du CBS ou une  solution séparée?","")</f>
        <v/>
      </c>
      <c r="C15" s="20"/>
      <c r="D15" s="20"/>
      <c r="E15" s="12" t="str">
        <f t="shared" si="0"/>
        <v/>
      </c>
      <c r="F15" s="16"/>
      <c r="G15" s="173"/>
      <c r="H15" s="173"/>
      <c r="I15" s="172"/>
      <c r="J15" s="172"/>
    </row>
    <row r="16" spans="1:10">
      <c r="B16" s="6" t="str">
        <f>IF(C2="Oui existant","Quand l’application a-t-elle été implémentée ?",IF(AND(C7&lt;&gt;"Non prévu",C7&lt;&gt;""),"Quand l’application sera-t-elle implémentée ?",""))</f>
        <v>Quand l’application a-t-elle été implémentée ?</v>
      </c>
      <c r="C16" s="20">
        <v>2024</v>
      </c>
      <c r="D16" s="155">
        <v>45387</v>
      </c>
      <c r="E16" s="12">
        <f t="shared" si="0"/>
        <v>1</v>
      </c>
      <c r="F16" s="16"/>
      <c r="G16" s="173">
        <f>IF(AND(TRIM(B16)&lt;&gt;"",TRIM(C16)&lt;&gt;""),IF((2024-C16)&lt;=5,10,IF((2024-C16)&lt;=10,2,0)),"")</f>
        <v>10</v>
      </c>
      <c r="H16" s="173">
        <f>IF(AND(TRIM(B16)&lt;&gt;"",TRIM(C16)&lt;&gt;""),10,"")</f>
        <v>10</v>
      </c>
      <c r="I16" s="172"/>
      <c r="J16" s="172"/>
    </row>
    <row r="17" spans="2:10">
      <c r="B17" s="6" t="str">
        <f>IF(C2="Oui existant","Qui l'a implémenté ?",IF(AND(C7&lt;&gt;"Non prévu",C7&lt;&gt;""),"Qui doit l'implémenter ?",""))</f>
        <v>Qui l'a implémenté ?</v>
      </c>
      <c r="C17" s="20" t="s">
        <v>615</v>
      </c>
      <c r="D17" s="20"/>
      <c r="E17" s="12">
        <f t="shared" si="0"/>
        <v>1</v>
      </c>
      <c r="F17" s="16"/>
      <c r="G17" s="173"/>
      <c r="H17" s="173"/>
      <c r="I17" s="172"/>
      <c r="J17" s="172"/>
    </row>
    <row r="18" spans="2:10" ht="76.5">
      <c r="B18" s="6" t="str">
        <f>IF(C2="Oui existant","Quels sont les processus fonctionnels couverts ?",IF(AND(C7&lt;&gt;"Non prévu",C7&lt;&gt;""),"Quels sont les processus fonctionnels qui doivent être couverts ?",""))</f>
        <v>Quels sont les processus fonctionnels couverts ?</v>
      </c>
      <c r="C18" s="21" t="s">
        <v>811</v>
      </c>
      <c r="D18" s="20"/>
      <c r="E18" s="12">
        <f t="shared" si="0"/>
        <v>1</v>
      </c>
      <c r="F18" s="16"/>
      <c r="G18" s="173"/>
      <c r="H18" s="173">
        <f>IF(AND(TRIM(B18)&lt;&gt;"",TRIM(C18)&lt;&gt;""),10,"")</f>
        <v>10</v>
      </c>
      <c r="I18" s="172"/>
      <c r="J18" s="172"/>
    </row>
    <row r="19" spans="2:10">
      <c r="B19" s="6" t="str">
        <f>IF(C2="Oui existant","Est-ce que la solution est integrée au CBS ?",IF(AND(C7&lt;&gt;"Non prévu",C7&lt;&gt;""),"Est-ce que la solution sera integrée au CBS ?",""))</f>
        <v>Est-ce que la solution est integrée au CBS ?</v>
      </c>
      <c r="C19" s="20" t="s">
        <v>39</v>
      </c>
      <c r="D19" s="20"/>
      <c r="E19" s="12">
        <f t="shared" ref="E19:E20" si="1">IF(TRIM(B19)="","",IF(TRIM(C19)="",0,1))</f>
        <v>1</v>
      </c>
      <c r="F19" s="16"/>
      <c r="G19" s="173">
        <f>IF(AND(TRIM(B19)&lt;&gt;"",TRIM(C19)&lt;&gt;""),IF(C19="Oui",20,0),"")</f>
        <v>20</v>
      </c>
      <c r="H19" s="173">
        <f>IF(AND(TRIM(B19)&lt;&gt;"",TRIM(C19)&lt;&gt;""),20,"")</f>
        <v>20</v>
      </c>
      <c r="I19" s="172"/>
      <c r="J19" s="172"/>
    </row>
    <row r="20" spans="2:10">
      <c r="B20" s="6" t="str">
        <f>IF(C19="Oui",IF(C2="Oui existant","Comment et quels sont les processus et données qui transitent ?",IF(AND(C7&lt;&gt;"Non prévu",C7&lt;&gt;""),"Comment et quels seront les processus et données qui vont transiter ?","")),"")</f>
        <v>Comment et quels sont les processus et données qui transitent ?</v>
      </c>
      <c r="C20" s="20" t="s">
        <v>56</v>
      </c>
      <c r="D20" s="20"/>
      <c r="E20" s="12">
        <f t="shared" si="1"/>
        <v>1</v>
      </c>
      <c r="F20" s="16"/>
      <c r="G20" s="171"/>
      <c r="H20" s="171"/>
      <c r="I20" s="172" t="s">
        <v>749</v>
      </c>
      <c r="J20" s="172">
        <v>0</v>
      </c>
    </row>
    <row r="21" spans="2:10">
      <c r="B21" s="6" t="str">
        <f>IF(C2="Oui existant","Quel est le niveau de personnalisation de l’Application ?",IF(C7="COTS","Quel est le niveau de personnalisation prévu de l’Application ?",""))</f>
        <v>Quel est le niveau de personnalisation de l’Application ?</v>
      </c>
      <c r="C21" s="20" t="s">
        <v>749</v>
      </c>
      <c r="D21" s="20"/>
      <c r="E21" s="12">
        <f t="shared" si="0"/>
        <v>1</v>
      </c>
      <c r="F21" s="16"/>
      <c r="G21" s="171">
        <f>IF(AND(TRIM(B21)&lt;&gt;"",TRIM(C21)&lt;&gt;""),IF(ISNA(VLOOKUP(C21,I20:J24,2,0)),1,VLOOKUP(C21,I20:J24,2,0)),"")</f>
        <v>0</v>
      </c>
      <c r="H21" s="171">
        <f>IF(AND(TRIM(B21)&lt;&gt;"",TRIM(C21)&lt;&gt;""),10,"")</f>
        <v>10</v>
      </c>
      <c r="I21" s="172" t="s">
        <v>728</v>
      </c>
      <c r="J21" s="172">
        <v>2</v>
      </c>
    </row>
    <row r="22" spans="2:10">
      <c r="B22" s="6" t="str">
        <f>IF(C2="Oui existant","Quelle(s) technologie(s) sous-jacente(s) ?","")</f>
        <v>Quelle(s) technologie(s) sous-jacente(s) ?</v>
      </c>
      <c r="C22" s="20" t="s">
        <v>56</v>
      </c>
      <c r="D22" s="20"/>
      <c r="E22" s="12">
        <f t="shared" si="0"/>
        <v>1</v>
      </c>
      <c r="F22" s="16"/>
      <c r="G22" s="171"/>
      <c r="H22" s="171"/>
      <c r="I22" s="172" t="s">
        <v>619</v>
      </c>
      <c r="J22" s="172">
        <v>5</v>
      </c>
    </row>
    <row r="23" spans="2:10">
      <c r="B23" s="6" t="str">
        <f>IF(C2="Oui existant","Est-ce que cette solution dispose d'une interface Mobile?",IF(AND(C7&lt;&gt;"Non prévu",C7&lt;&gt;""),"Est-ce qu'il est prévu une version Mobile ?",""))</f>
        <v>Est-ce que cette solution dispose d'une interface Mobile?</v>
      </c>
      <c r="C23" s="20" t="s">
        <v>54</v>
      </c>
      <c r="D23" s="20"/>
      <c r="E23" s="12">
        <f t="shared" si="0"/>
        <v>1</v>
      </c>
      <c r="F23" s="16"/>
      <c r="G23" s="173">
        <f>IF(AND(TRIM(B23)&lt;&gt;"",TRIM(C23)&lt;&gt;""),IF(C23="Oui",10,0),"")</f>
        <v>0</v>
      </c>
      <c r="H23" s="173">
        <f>IF(AND(TRIM(B23)&lt;&gt;"",TRIM(C23)&lt;&gt;""),10,"")</f>
        <v>10</v>
      </c>
      <c r="I23" s="172" t="s">
        <v>781</v>
      </c>
      <c r="J23" s="172">
        <v>8</v>
      </c>
    </row>
    <row r="24" spans="2:10">
      <c r="B24" s="6" t="str">
        <f>IF(AND(C7&lt;&gt;"Non prévu",C7&lt;&gt;""),IF(C23="Oui","Dispose-t-elle d'une version smartphone ou tablette ou les 2  ?",""),"")</f>
        <v/>
      </c>
      <c r="C24" s="22"/>
      <c r="D24" s="20"/>
      <c r="E24" s="12" t="str">
        <f t="shared" si="0"/>
        <v/>
      </c>
      <c r="F24" s="16"/>
      <c r="G24" s="173" t="str">
        <f>IF(AND(TRIM(B24)&lt;&gt;"",TRIM(C24)&lt;&gt;""),IF(C24="Les 2",10,IF(C24="Tablette",7,3)),"")</f>
        <v/>
      </c>
      <c r="H24" s="173" t="str">
        <f>IF(AND(TRIM(B24)&lt;&gt;"",TRIM(C24)&lt;&gt;""),10,"")</f>
        <v/>
      </c>
      <c r="I24" s="172" t="s">
        <v>782</v>
      </c>
      <c r="J24" s="172">
        <v>10</v>
      </c>
    </row>
    <row r="25" spans="2:10" ht="24.6" customHeight="1">
      <c r="B25" s="6" t="str">
        <f>IF(C2="Oui existant","Est-ce qu'il est prévu de remplacer cette solution par une autre ? Si oui, veuillez mettre le nom de la nouvelle solution et la période prévue dans la colonne détails","")</f>
        <v>Est-ce qu'il est prévu de remplacer cette solution par une autre ? Si oui, veuillez mettre le nom de la nouvelle solution et la période prévue dans la colonne détails</v>
      </c>
      <c r="C25" s="20" t="s">
        <v>39</v>
      </c>
      <c r="D25" s="20"/>
      <c r="E25" s="12">
        <f t="shared" si="0"/>
        <v>1</v>
      </c>
      <c r="F25" s="16"/>
      <c r="G25" s="173">
        <f>IF(AND(TRIM(B25)&lt;&gt;"",TRIM(C25)&lt;&gt;""),IF(C25="Non",10,0),"")</f>
        <v>0</v>
      </c>
      <c r="H25" s="173">
        <f>IF(AND(TRIM(B25)&lt;&gt;"",TRIM(C25)&lt;&gt;""),10,"")</f>
        <v>10</v>
      </c>
      <c r="I25" s="172"/>
      <c r="J25" s="172"/>
    </row>
    <row r="26" spans="2:10">
      <c r="B26" s="208" t="str">
        <f>IF(C2="Oui existant","Quel est le nombre d’utilisateurs finaux de cette application ?",IF(AND(C7&lt;&gt;"Non prévu",C7&lt;&gt;""),"Quel est le nombre d’utilisateurs finaux prévus pour cette application ?",""))</f>
        <v>Quel est le nombre d’utilisateurs finaux de cette application ?</v>
      </c>
      <c r="C26" s="177" t="s">
        <v>626</v>
      </c>
      <c r="D26" s="20"/>
      <c r="E26" s="12">
        <f t="shared" si="0"/>
        <v>1</v>
      </c>
      <c r="F26" s="16"/>
      <c r="G26" s="171"/>
      <c r="H26" s="171"/>
      <c r="I26" s="172"/>
      <c r="J26" s="172"/>
    </row>
    <row r="27" spans="2:10">
      <c r="B27" s="6" t="str">
        <f>IF(C2="Oui existant","Y a-t-il des utilisateurs du Groupe sur les activités de la filiale ?","")</f>
        <v>Y a-t-il des utilisateurs du Groupe sur les activités de la filiale ?</v>
      </c>
      <c r="C27" s="20" t="s">
        <v>54</v>
      </c>
      <c r="D27" s="20"/>
      <c r="E27" s="12">
        <f t="shared" si="0"/>
        <v>1</v>
      </c>
      <c r="F27" s="16"/>
      <c r="G27" s="171"/>
      <c r="H27" s="171"/>
      <c r="I27" s="172"/>
      <c r="J27" s="172"/>
    </row>
    <row r="28" spans="2:10">
      <c r="B28" s="6" t="str">
        <f>IF(C27="Oui","Quel est le ratio  ?","")</f>
        <v/>
      </c>
      <c r="C28" s="20"/>
      <c r="D28" s="20"/>
      <c r="E28" s="12" t="str">
        <f t="shared" si="0"/>
        <v/>
      </c>
      <c r="F28" s="16"/>
      <c r="G28" s="171"/>
      <c r="H28" s="171"/>
      <c r="I28" s="172"/>
      <c r="J28" s="172"/>
    </row>
    <row r="29" spans="2:10">
      <c r="B29" s="6" t="str">
        <f>IF(C2="Oui existant","Quels ont été les acquisitions de licences détaillées (nombre, date, coût) ?","")</f>
        <v>Quels ont été les acquisitions de licences détaillées (nombre, date, coût) ?</v>
      </c>
      <c r="C29" s="20" t="s">
        <v>368</v>
      </c>
      <c r="D29" s="20"/>
      <c r="E29" s="12">
        <f t="shared" si="0"/>
        <v>1</v>
      </c>
      <c r="F29" s="16"/>
      <c r="G29" s="171"/>
      <c r="H29" s="171"/>
      <c r="I29" s="172"/>
      <c r="J29" s="172"/>
    </row>
    <row r="30" spans="2:10">
      <c r="B30" s="6" t="str">
        <f>IF(C2="Oui existant","Quel est le nombre actuel de licences détenues par la filiale?",IF(C7="COTS","Combien de licences projettez-vous d'acquérir ?",""))</f>
        <v>Quel est le nombre actuel de licences détenues par la filiale?</v>
      </c>
      <c r="C30" s="20" t="s">
        <v>368</v>
      </c>
      <c r="D30" s="20"/>
      <c r="E30" s="12">
        <f t="shared" si="0"/>
        <v>1</v>
      </c>
      <c r="F30" s="16"/>
      <c r="G30" s="171"/>
      <c r="H30" s="171"/>
      <c r="I30" s="172"/>
      <c r="J30" s="172"/>
    </row>
    <row r="31" spans="2:10">
      <c r="B31" s="6" t="str">
        <f>IF(C2="Oui existant","Quel type de licences (nominatives/partagées) ?",IF(C7="COTS","Est-ce que ce sera des licences nominatives ou partagées ?",""))</f>
        <v>Quel type de licences (nominatives/partagées) ?</v>
      </c>
      <c r="C31" s="20" t="s">
        <v>368</v>
      </c>
      <c r="D31" s="20"/>
      <c r="E31" s="12">
        <f t="shared" si="0"/>
        <v>1</v>
      </c>
      <c r="F31" s="16"/>
      <c r="G31" s="171"/>
      <c r="H31" s="171"/>
      <c r="I31" s="172"/>
      <c r="J31" s="172"/>
    </row>
    <row r="32" spans="2:10" ht="36.6" customHeight="1">
      <c r="B32" s="6" t="str">
        <f>IF(C2="Oui existant","Des licences supplémentaires sont-elles nécessaires pour l'utilisation de l'application (outil supplémentaire, interfaces, modules complémentaires, …) ? Par module / par utilisateur ?",IF(C7="COTS","Est-ce que vous projettez d'acquérir d'autres licences dans un second temps ? combien et quand ?",""))</f>
        <v>Des licences supplémentaires sont-elles nécessaires pour l'utilisation de l'application (outil supplémentaire, interfaces, modules complémentaires, …) ? Par module / par utilisateur ?</v>
      </c>
      <c r="C32" s="20" t="s">
        <v>368</v>
      </c>
      <c r="D32" s="20" t="s">
        <v>368</v>
      </c>
      <c r="E32" s="12">
        <f t="shared" si="0"/>
        <v>1</v>
      </c>
      <c r="F32" s="16"/>
      <c r="G32" s="171"/>
      <c r="H32" s="171"/>
      <c r="I32" s="172"/>
      <c r="J32" s="172"/>
    </row>
    <row r="33" spans="2:10">
      <c r="B33" s="6" t="str">
        <f>IF(C2="Oui existant","Quel est le coût du support éditeur ?",IF(C7="COTS","Quel sera le coût du support éditeur ?",""))</f>
        <v>Quel est le coût du support éditeur ?</v>
      </c>
      <c r="C33" s="20" t="s">
        <v>368</v>
      </c>
      <c r="D33" s="20"/>
      <c r="E33" s="12">
        <f t="shared" si="0"/>
        <v>1</v>
      </c>
      <c r="F33" s="16"/>
      <c r="G33" s="171"/>
      <c r="H33" s="171"/>
      <c r="I33" s="172"/>
      <c r="J33" s="172"/>
    </row>
    <row r="34" spans="2:10" ht="25.5">
      <c r="B34" s="6" t="str">
        <f>IF(C2="Oui existant","Existe-t-il un contrat de support avec un fournisseur ou un partenaire ? Pouvez-vous le partager ?","")</f>
        <v>Existe-t-il un contrat de support avec un fournisseur ou un partenaire ? Pouvez-vous le partager ?</v>
      </c>
      <c r="C34" s="20" t="s">
        <v>368</v>
      </c>
      <c r="D34" s="20"/>
      <c r="E34" s="12">
        <f t="shared" si="0"/>
        <v>1</v>
      </c>
      <c r="F34" s="16"/>
      <c r="G34" s="171">
        <f>IF(AND(TRIM(B34)&lt;&gt;"",TRIM(C34)&lt;&gt;""),IF(C34="Oui",5,0),"")</f>
        <v>0</v>
      </c>
      <c r="H34" s="171">
        <f>IF(AND(TRIM(B34)&lt;&gt;"",TRIM(C34)&lt;&gt;""),5,"")</f>
        <v>5</v>
      </c>
      <c r="I34" s="172"/>
      <c r="J34" s="172"/>
    </row>
    <row r="35" spans="2:10">
      <c r="B35" s="6" t="str">
        <f>IF(C2="Oui existant","Le contrat est-il global couvrant plusieurs filiales ou dédié à la filiale ?",IF(C7="COTS","Projettez-vous une acquisition individuelle ou groupe ?",""))</f>
        <v>Le contrat est-il global couvrant plusieurs filiales ou dédié à la filiale ?</v>
      </c>
      <c r="C35" s="20" t="s">
        <v>368</v>
      </c>
      <c r="D35" s="20"/>
      <c r="E35" s="12">
        <f t="shared" si="0"/>
        <v>1</v>
      </c>
      <c r="F35" s="16"/>
      <c r="G35" s="171"/>
      <c r="H35" s="171"/>
      <c r="I35" s="172"/>
      <c r="J35" s="172"/>
    </row>
    <row r="36" spans="2:10" ht="15.95" customHeight="1">
      <c r="B36" s="6" t="str">
        <f>IF(C2="Oui existant","Le contrat comprend-il un SLA formel ? Cela inclut-il un engagement de performance ?","")</f>
        <v>Le contrat comprend-il un SLA formel ? Cela inclut-il un engagement de performance ?</v>
      </c>
      <c r="C36" s="20" t="s">
        <v>368</v>
      </c>
      <c r="D36" s="20"/>
      <c r="E36" s="12">
        <f>IF(TRIM(B36)="","",IF(TRIM(C36)="",0,1))</f>
        <v>1</v>
      </c>
      <c r="F36" s="16"/>
      <c r="G36" s="171">
        <f>IF(AND(TRIM(B36)&lt;&gt;"",TRIM(C36)&lt;&gt;""),IF(C36="Oui et oui",5,IF(C36="Oui et non",3,0)),"")</f>
        <v>0</v>
      </c>
      <c r="H36" s="171">
        <f>IF(AND(TRIM(B36)&lt;&gt;"",TRIM(C36)&lt;&gt;""),5,"")</f>
        <v>5</v>
      </c>
      <c r="I36" s="172"/>
      <c r="J36" s="172"/>
    </row>
    <row r="37" spans="2:10" ht="102">
      <c r="B37" s="6" t="str">
        <f>IF(C2="Oui existant","Combien de ETP internes sont dédiés aux support (Niveaux 1, 2 et 3) de cette solution ?
Veuillez décrire dans la colonne détail de quelle entité sont-ils (Holding ou pays), la répartition des principales activités, les compétences et les rôles",IF(AND(C7&lt;&gt;"Non prévu",C7&lt;&gt;""),"Combien de ETP internes projettez-vous de dédier aux support (Niveaux 1, 2 et 3) de cette solution ?",""))</f>
        <v>Combien de ETP internes sont dédiés aux support (Niveaux 1, 2 et 3) de cette solution ?
Veuillez décrire dans la colonne détail de quelle entité sont-ils (Holding ou pays), la répartition des principales activités, les compétences et les rôles</v>
      </c>
      <c r="C37" s="222" t="s">
        <v>812</v>
      </c>
      <c r="D37" s="222" t="s">
        <v>812</v>
      </c>
      <c r="E37" s="12">
        <f>IF(TRIM(B37)="","",IF(TRIM(C37)="",0,IF(TRIM(D37)="",0.5,1)))</f>
        <v>1</v>
      </c>
      <c r="F37" s="16"/>
      <c r="G37" s="171"/>
      <c r="H37" s="171"/>
      <c r="I37" s="172"/>
      <c r="J37" s="172"/>
    </row>
    <row r="38" spans="2:10" ht="51" customHeight="1">
      <c r="B38" s="6" t="str">
        <f>IF(C2="Oui existant","Combien de ETP internes sont dédiés aux changes opérés sur cette solution (incluant Dev, Config, Mise en prod) ?
Veuillez décrire dans la col. détail de quelle entité sont-ils (Holding ou pays), la répartition des activités, les compétences et les rôles",IF(AND(C7&lt;&gt;"Non prévu",C7&lt;&gt;""),"Combien de ETP internes projettez-vous de dédier aux futurs changes sur cette solution (incluant Dev, Config, Mise en prod) ?",""))</f>
        <v>Combien de ETP internes sont dédiés aux changes opérés sur cette solution (incluant Dev, Config, Mise en prod) ?
Veuillez décrire dans la col. détail de quelle entité sont-ils (Holding ou pays), la répartition des activités, les compétences et les rôles</v>
      </c>
      <c r="C38" s="21" t="s">
        <v>648</v>
      </c>
      <c r="D38" s="21" t="s">
        <v>648</v>
      </c>
      <c r="E38" s="12">
        <f>IF(TRIM(B38)="","",IF(TRIM(C38)="",0,IF(TRIM(D38)="",0.5,1)))</f>
        <v>1</v>
      </c>
      <c r="F38" s="16"/>
      <c r="G38" s="171"/>
      <c r="H38" s="171"/>
      <c r="I38" s="172"/>
      <c r="J38" s="172"/>
    </row>
    <row r="39" spans="2:10" ht="51">
      <c r="B39" s="6" t="str">
        <f>IF(C2="Oui existant","Qui administre cette solution et apporte le support aux utilisateurs l'IT Groupe, l'IT local ou les 2 ?",IF(AND(C7&lt;&gt;"Non prévu",C7&lt;&gt;""),"Qui va administrer cette solution et apporter le support aux utilisateurs: l'IT Groupe, l'IT local ou les 2 ?",""))</f>
        <v>Qui administre cette solution et apporte le support aux utilisateurs l'IT Groupe, l'IT local ou les 2 ?</v>
      </c>
      <c r="C39" s="20" t="s">
        <v>623</v>
      </c>
      <c r="D39" s="21" t="s">
        <v>650</v>
      </c>
      <c r="E39" s="12">
        <f t="shared" si="0"/>
        <v>1</v>
      </c>
      <c r="F39" s="16"/>
      <c r="G39" s="171"/>
      <c r="H39" s="171"/>
      <c r="I39" s="172"/>
      <c r="J39" s="172"/>
    </row>
    <row r="40" spans="2:10" ht="38.25">
      <c r="B40" s="6" t="str">
        <f>IF(C39="Les 2","A quelle proportion chacun ? et existe-t-il un SLA interne entre Group IT et la filiale ? S'il existe, pouvez-vous le partager
vous pouvez décrire dans la partie détails les responsabilités de chaque partie","")</f>
        <v>A quelle proportion chacun ? et existe-t-il un SLA interne entre Group IT et la filiale ? S'il existe, pouvez-vous le partager
vous pouvez décrire dans la partie détails les responsabilités de chaque partie</v>
      </c>
      <c r="C40" s="20" t="s">
        <v>25</v>
      </c>
      <c r="D40" s="21" t="s">
        <v>25</v>
      </c>
      <c r="E40" s="12">
        <f t="shared" si="0"/>
        <v>1</v>
      </c>
      <c r="F40" s="16"/>
      <c r="G40" s="171"/>
      <c r="H40" s="171"/>
      <c r="I40" s="172"/>
      <c r="J40" s="172"/>
    </row>
    <row r="41" spans="2:10" ht="25.5">
      <c r="B41" s="6" t="str">
        <f>IF(C2="Oui existant","Avez-vous un historique des KPI pour la disponibilité et le support de cette application ? Si oui, pouvez-vous les partager","")</f>
        <v>Avez-vous un historique des KPI pour la disponibilité et le support de cette application ? Si oui, pouvez-vous les partager</v>
      </c>
      <c r="C41" s="20" t="s">
        <v>54</v>
      </c>
      <c r="D41" s="20"/>
      <c r="E41" s="12">
        <f t="shared" si="0"/>
        <v>1</v>
      </c>
      <c r="F41" s="16"/>
      <c r="G41" s="171">
        <f>IF(AND(TRIM(B41)&lt;&gt;"",TRIM(C41)&lt;&gt;""),IF(C41="Oui",3,0),"")</f>
        <v>0</v>
      </c>
      <c r="H41" s="171">
        <f>IF(AND(TRIM(B41)&lt;&gt;"",TRIM(C41)&lt;&gt;""),3,"")</f>
        <v>3</v>
      </c>
      <c r="I41" s="172"/>
      <c r="J41" s="172"/>
    </row>
    <row r="42" spans="2:10">
      <c r="B42" s="6" t="str">
        <f>IF(C2="Oui existant","Existe-t-il un processus de suivi des contrats groupe et tiers ?","")</f>
        <v>Existe-t-il un processus de suivi des contrats groupe et tiers ?</v>
      </c>
      <c r="C42" s="20" t="s">
        <v>54</v>
      </c>
      <c r="D42" s="20"/>
      <c r="E42" s="12">
        <f t="shared" si="0"/>
        <v>1</v>
      </c>
      <c r="F42" s="16"/>
      <c r="G42" s="171"/>
      <c r="H42" s="171"/>
      <c r="I42" s="172"/>
      <c r="J42" s="172"/>
    </row>
    <row r="43" spans="2:10">
      <c r="B43" s="6" t="str">
        <f>IF(C2="Oui existant","L'application est-elle installée sur site ou utilisée sur le Cloud (SaaS) ?",IF(AND(C7&lt;&gt;"Non prévu",C7&lt;&gt;""),"La nouvelle solution sera-t-elle installée sur site ou utilisée sur le Cloud (SaaS) ?",""))</f>
        <v>L'application est-elle installée sur site ou utilisée sur le Cloud (SaaS) ?</v>
      </c>
      <c r="C43" s="20" t="s">
        <v>655</v>
      </c>
      <c r="D43" s="20"/>
      <c r="E43" s="12">
        <f t="shared" si="0"/>
        <v>1</v>
      </c>
      <c r="F43" s="16"/>
      <c r="G43" s="171">
        <f>IF(AND(TRIM(B43)&lt;&gt;"",TRIM(C43)&lt;&gt;""),IF(C43="Cloud",5,2),"")</f>
        <v>2</v>
      </c>
      <c r="H43" s="171">
        <f>IF(AND(TRIM(B43)&lt;&gt;"",TRIM(C43)&lt;&gt;""),5,"")</f>
        <v>5</v>
      </c>
      <c r="I43" s="172"/>
      <c r="J43" s="172"/>
    </row>
    <row r="44" spans="2:10">
      <c r="B44" s="6" t="str">
        <f>IF(AND(C43="Cloud",C7="COTS"),"Est-ce entièrement SaaS ou Infra gérée par l'équipe locale ?","")</f>
        <v/>
      </c>
      <c r="C44" s="22"/>
      <c r="D44" s="20"/>
      <c r="E44" s="12" t="str">
        <f t="shared" si="0"/>
        <v/>
      </c>
      <c r="F44" s="16"/>
      <c r="G44" s="171" t="str">
        <f>IF(AND(TRIM(B44)&lt;&gt;"",TRIM(C44)&lt;&gt;""),IF(C44="SaaS",3,1),"")</f>
        <v/>
      </c>
      <c r="H44" s="171" t="str">
        <f>IF(AND(TRIM(B44)&lt;&gt;"",TRIM(C44)&lt;&gt;""),3,"")</f>
        <v/>
      </c>
      <c r="I44" s="172"/>
      <c r="J44" s="172"/>
    </row>
    <row r="45" spans="2:10">
      <c r="B45" s="6" t="str">
        <f>IF(C2="Oui existant","S'agit-il d'une architecture Client/Serveur à 3 niveaux ? Décrivez s'il vous plait","")</f>
        <v>S'agit-il d'une architecture Client/Serveur à 3 niveaux ? Décrivez s'il vous plait</v>
      </c>
      <c r="C45" s="20" t="s">
        <v>54</v>
      </c>
      <c r="D45" s="21" t="s">
        <v>56</v>
      </c>
      <c r="E45" s="12">
        <f>IF(TRIM(B45)="","",IF(TRIM(C45)="",0,IF(TRIM(D45)="",0.5,1)))</f>
        <v>1</v>
      </c>
      <c r="F45" s="16"/>
      <c r="G45" s="171"/>
      <c r="H45" s="171"/>
      <c r="I45" s="172"/>
      <c r="J45" s="172"/>
    </row>
    <row r="46" spans="2:10">
      <c r="B46" s="6" t="str">
        <f>IF(C43="On-site","Comment sont acquis les serveurs (achat/location/sous-traitance) ?","")</f>
        <v>Comment sont acquis les serveurs (achat/location/sous-traitance) ?</v>
      </c>
      <c r="C46" s="22" t="s">
        <v>659</v>
      </c>
      <c r="D46" s="20"/>
      <c r="E46" s="12">
        <f t="shared" si="0"/>
        <v>1</v>
      </c>
      <c r="F46" s="16"/>
      <c r="G46" s="171"/>
      <c r="H46" s="171"/>
      <c r="I46" s="172"/>
      <c r="J46" s="172"/>
    </row>
    <row r="47" spans="2:10">
      <c r="B47" s="6" t="str">
        <f>IF(C2="Oui existant","Où sont installés les serveurs ?","")</f>
        <v>Où sont installés les serveurs ?</v>
      </c>
      <c r="C47" s="22" t="s">
        <v>661</v>
      </c>
      <c r="D47" s="20"/>
      <c r="E47" s="12">
        <f t="shared" si="0"/>
        <v>1</v>
      </c>
      <c r="F47" s="16"/>
      <c r="G47" s="171"/>
      <c r="H47" s="171"/>
      <c r="I47" s="172"/>
      <c r="J47" s="172"/>
    </row>
    <row r="48" spans="2:10">
      <c r="B48" s="6" t="str">
        <f>IF(C2="Oui existant","Sur quels systèmes (versions) cette application s'exécute-t-elle ?",IF(AND(C7&lt;&gt;"Non prévu",C7&lt;&gt;""),"Sur quels systèmes (versions) cette application sera-t-elle implémentée ?",""))</f>
        <v>Sur quels systèmes (versions) cette application s'exécute-t-elle ?</v>
      </c>
      <c r="C48" s="22" t="s">
        <v>663</v>
      </c>
      <c r="D48" s="20"/>
      <c r="E48" s="12">
        <f t="shared" si="0"/>
        <v>1</v>
      </c>
      <c r="F48" s="16"/>
      <c r="G48" s="171"/>
      <c r="H48" s="171"/>
      <c r="I48" s="172"/>
      <c r="J48" s="172"/>
    </row>
    <row r="49" spans="2:10">
      <c r="B49" s="6" t="str">
        <f>IF(C2="Oui existant","Sur quelle base de données cette application tourne-t-elle ?",IF(AND(C7&lt;&gt;"Non prévu",C7&lt;&gt;""),"Sur quelle base de données cette application tournera-t-elle ?",""))</f>
        <v>Sur quelle base de données cette application tourne-t-elle ?</v>
      </c>
      <c r="C49" s="22" t="s">
        <v>665</v>
      </c>
      <c r="D49" s="20"/>
      <c r="E49" s="12">
        <f t="shared" si="0"/>
        <v>1</v>
      </c>
      <c r="F49" s="16"/>
      <c r="G49" s="171"/>
      <c r="H49" s="171"/>
      <c r="I49" s="172"/>
      <c r="J49" s="172"/>
    </row>
    <row r="50" spans="2:10">
      <c r="B50" s="6" t="str">
        <f>IF(C2="Oui existant","Existe-t-il une architecture haute disponibilité (réplication) ?",IF(AND(C7&lt;&gt;"Non prévu",C7&lt;&gt;""),"Est-ce qu'il est prévu une architecture haute disponibilité (réplication) ?",""))</f>
        <v>Existe-t-il une architecture haute disponibilité (réplication) ?</v>
      </c>
      <c r="C50" s="22" t="s">
        <v>54</v>
      </c>
      <c r="D50" s="20"/>
      <c r="E50" s="12">
        <f t="shared" si="0"/>
        <v>1</v>
      </c>
      <c r="F50" s="16"/>
      <c r="G50" s="171">
        <f>IF(AND(TRIM(B50)&lt;&gt;"",TRIM(C50)&lt;&gt;""),IF(C50="Oui",5,0),"")</f>
        <v>0</v>
      </c>
      <c r="H50" s="171">
        <f t="shared" ref="H50:H52" si="2">IF(AND(TRIM(B50)&lt;&gt;"",TRIM(C50)&lt;&gt;""),5,"")</f>
        <v>5</v>
      </c>
      <c r="I50" s="172"/>
      <c r="J50" s="172"/>
    </row>
    <row r="51" spans="2:10">
      <c r="B51" s="6" t="str">
        <f>IF(C50="Oui","Entièrement ou partiellement ? Actif-Actif ou Actif-Passif ?","")</f>
        <v/>
      </c>
      <c r="C51" s="22"/>
      <c r="D51" s="20"/>
      <c r="E51" s="12" t="str">
        <f t="shared" si="0"/>
        <v/>
      </c>
      <c r="F51" s="16"/>
      <c r="G51" s="171"/>
      <c r="H51" s="171"/>
      <c r="I51" s="172"/>
      <c r="J51" s="172"/>
    </row>
    <row r="52" spans="2:10">
      <c r="B52" s="6" t="str">
        <f>IF(C2="Oui existant","Existe-t-il un plan de récupération pour cette application ?","")</f>
        <v>Existe-t-il un plan de récupération pour cette application ?</v>
      </c>
      <c r="C52" s="20" t="s">
        <v>39</v>
      </c>
      <c r="D52" s="20"/>
      <c r="E52" s="12">
        <f t="shared" si="0"/>
        <v>1</v>
      </c>
      <c r="F52" s="16"/>
      <c r="G52" s="171">
        <f>IF(AND(TRIM(B52)&lt;&gt;"",TRIM(C52)&lt;&gt;""),IF(C52="Oui",5,0),"")</f>
        <v>5</v>
      </c>
      <c r="H52" s="171">
        <f t="shared" si="2"/>
        <v>5</v>
      </c>
      <c r="I52" s="172"/>
      <c r="J52" s="172"/>
    </row>
    <row r="53" spans="2:10">
      <c r="B53" s="6" t="str">
        <f>IF(C2="Oui existant","Qui gère les données de la base de données ?",IF(AND(C7&lt;&gt;"Non prévu",C7&lt;&gt;""),"Qui va gèrer les données de la base de données ?",""))</f>
        <v>Qui gère les données de la base de données ?</v>
      </c>
      <c r="C53" s="20" t="s">
        <v>672</v>
      </c>
      <c r="D53" s="20"/>
      <c r="E53" s="12">
        <f t="shared" si="0"/>
        <v>1</v>
      </c>
      <c r="F53" s="16"/>
      <c r="G53" s="171"/>
      <c r="H53" s="171"/>
      <c r="I53" s="172"/>
      <c r="J53" s="172"/>
    </row>
    <row r="54" spans="2:10" ht="40.5" customHeight="1">
      <c r="B54" s="6" t="str">
        <f>IF(C2="Oui existant","Quelles sont les interfaces existantes de cette application ? Veuillez décrire et partager tout document d'architecture",IF(AND(C7&lt;&gt;"Non prévu",C7&lt;&gt;""),"Quelles sont les interfaces prévues ? Veuillez décrire et partager tout document d'architecture cible",""))</f>
        <v>Quelles sont les interfaces existantes de cette application ? Veuillez décrire et partager tout document d'architecture</v>
      </c>
      <c r="C54" s="209" t="s">
        <v>368</v>
      </c>
      <c r="D54" s="209" t="s">
        <v>368</v>
      </c>
      <c r="E54" s="12">
        <f>IF(TRIM(B54)="","",IF(TRIM(C54)="",0,IF(TRIM(D54)="",0.5,1)))</f>
        <v>1</v>
      </c>
      <c r="F54" s="16"/>
      <c r="G54" s="171"/>
      <c r="H54" s="171"/>
      <c r="I54" s="172"/>
      <c r="J54" s="172"/>
    </row>
    <row r="55" spans="2:10" ht="40.5" customHeight="1">
      <c r="B55" s="6" t="str">
        <f>IF(C2="Oui existant","L'application est-elle complètement en temps réel ou y'a-t-il des batchs la nuit ? Décrivez s'il vous plait",IF(AND(C7&lt;&gt;"Non prévu",C7&lt;&gt;""),"L'application sera-t-elle complètement en temps réel ou y'aura-t-il des batchs la nuit ? Décrivez s'il vous plait",""))</f>
        <v>L'application est-elle complètement en temps réel ou y'a-t-il des batchs la nuit ? Décrivez s'il vous plait</v>
      </c>
      <c r="C55" s="20" t="s">
        <v>677</v>
      </c>
      <c r="D55" s="20" t="s">
        <v>677</v>
      </c>
      <c r="E55" s="12">
        <f>IF(TRIM(B55)="","",IF(TRIM(C55)="",0,IF(TRIM(D55)="",0.5,1)))</f>
        <v>1</v>
      </c>
      <c r="F55" s="16"/>
      <c r="G55" s="171"/>
      <c r="H55" s="171"/>
      <c r="I55" s="172"/>
      <c r="J55" s="172"/>
    </row>
    <row r="56" spans="2:10" ht="38.25">
      <c r="B56" s="6" t="str">
        <f>IF(C2="Oui existant","Avez-vous connaissance d'un quelconque problème potentiel lié à la continuité de cette application (par exemple départ ou indisponibilité des ressources clés, fin de support, bug critique, ...), si oui lequel dans détails ?","")</f>
        <v>Avez-vous connaissance d'un quelconque problème potentiel lié à la continuité de cette application (par exemple départ ou indisponibilité des ressources clés, fin de support, bug critique, ...), si oui lequel dans détails ?</v>
      </c>
      <c r="C56" s="22" t="s">
        <v>54</v>
      </c>
      <c r="D56" s="20"/>
      <c r="E56" s="12">
        <f t="shared" si="0"/>
        <v>1</v>
      </c>
      <c r="F56" s="16"/>
      <c r="G56" s="171">
        <f>IF(AND(TRIM(B56)&lt;&gt;"",TRIM(C56)&lt;&gt;""),IF(C56="Oui",0,10),"")</f>
        <v>10</v>
      </c>
      <c r="H56" s="171">
        <f>IF(AND(TRIM(B56)&lt;&gt;"",TRIM(C56)&lt;&gt;""),10,"")</f>
        <v>10</v>
      </c>
      <c r="I56" s="172"/>
      <c r="J56" s="172"/>
    </row>
    <row r="57" spans="2:10" ht="31.5" customHeight="1">
      <c r="B57" s="6" t="str">
        <f>IF(C2="Oui existant","Est-ce que des sauvegardes sont réalisées régulièrement ?",IF(AND(C7&lt;&gt;"Non prévu",C7&lt;&gt;""),"Est-ce que des sauvegardes sont prévus dès l'implémentation ?",""))</f>
        <v>Est-ce que des sauvegardes sont réalisées régulièrement ?</v>
      </c>
      <c r="C57" s="22" t="s">
        <v>54</v>
      </c>
      <c r="D57" s="20"/>
      <c r="E57" s="12">
        <f t="shared" si="0"/>
        <v>1</v>
      </c>
      <c r="F57" s="16"/>
      <c r="G57" s="171">
        <f>IF(AND(TRIM(B57)&lt;&gt;"",TRIM(C57)&lt;&gt;""),IF(C57="Oui",5,0),"")</f>
        <v>0</v>
      </c>
      <c r="H57" s="171">
        <f t="shared" ref="H57" si="3">IF(AND(TRIM(B57)&lt;&gt;"",TRIM(C57)&lt;&gt;""),5,"")</f>
        <v>5</v>
      </c>
      <c r="I57" s="172"/>
      <c r="J57" s="172"/>
    </row>
    <row r="58" spans="2:10">
      <c r="B58" s="6" t="str">
        <f>IF(C57="Oui","A quelle fréquence sont-elles exécutées?","")</f>
        <v/>
      </c>
      <c r="C58" s="22"/>
      <c r="D58" s="20"/>
      <c r="E58" s="12" t="str">
        <f t="shared" si="0"/>
        <v/>
      </c>
      <c r="F58" s="16"/>
      <c r="G58" s="173"/>
      <c r="H58" s="173" t="str">
        <f>IF(AND(TRIM(B58)&lt;&gt;"",TRIM(C58)&lt;&gt;""),3,"")</f>
        <v/>
      </c>
      <c r="I58" s="172"/>
      <c r="J58" s="172"/>
    </row>
    <row r="59" spans="2:10">
      <c r="B59" s="6" t="str">
        <f>IF(C57="Oui","Avez-vous une politique de rétention en place ? Si oui, pouvez-vous me la partager?","")</f>
        <v/>
      </c>
      <c r="C59" s="22"/>
      <c r="D59" s="20"/>
      <c r="E59" s="12" t="str">
        <f t="shared" si="0"/>
        <v/>
      </c>
      <c r="F59" s="16"/>
      <c r="G59" s="173" t="str">
        <f>IF(AND(TRIM(B59)&lt;&gt;"",TRIM(C59)&lt;&gt;""),IF(C59="Oui",2,0),"")</f>
        <v/>
      </c>
      <c r="H59" s="173" t="str">
        <f>IF(AND(TRIM(B59)&lt;&gt;"",TRIM(C59)&lt;&gt;""),2,"")</f>
        <v/>
      </c>
      <c r="I59" s="172"/>
      <c r="J59" s="172"/>
    </row>
    <row r="60" spans="2:10">
      <c r="B60" s="6" t="str">
        <f>IF(C57="Oui","Quelle est la solution de sauvegarde/récupération utilisée ?","")</f>
        <v/>
      </c>
      <c r="C60" s="22"/>
      <c r="D60" s="20"/>
      <c r="E60" s="12" t="str">
        <f t="shared" si="0"/>
        <v/>
      </c>
      <c r="F60" s="16"/>
      <c r="G60" s="173"/>
      <c r="H60" s="173" t="str">
        <f t="shared" ref="H60" si="4">IF(AND(TRIM(B60)&lt;&gt;"",TRIM(C60)&lt;&gt;""),3,"")</f>
        <v/>
      </c>
      <c r="I60" s="172"/>
      <c r="J60" s="172"/>
    </row>
    <row r="61" spans="2:10">
      <c r="B61" s="6" t="str">
        <f>IF(C57="Oui","Quelle est la taille totale estimée des sauvegardes ?","")</f>
        <v/>
      </c>
      <c r="C61" s="22"/>
      <c r="D61" s="20"/>
      <c r="E61" s="12" t="str">
        <f t="shared" si="0"/>
        <v/>
      </c>
      <c r="F61" s="16"/>
      <c r="G61" s="171"/>
      <c r="H61" s="171"/>
      <c r="I61" s="172"/>
      <c r="J61" s="172"/>
    </row>
    <row r="62" spans="2:10">
      <c r="F62" s="16"/>
      <c r="G62" s="171">
        <f>SUM(G3:G61)</f>
        <v>52</v>
      </c>
      <c r="H62" s="171">
        <f>SUM(H3:H61)</f>
        <v>123</v>
      </c>
      <c r="I62" s="172"/>
      <c r="J62" s="172"/>
    </row>
    <row r="63" spans="2:10">
      <c r="F63" s="16"/>
    </row>
    <row r="64" spans="2:10">
      <c r="F64" s="16"/>
    </row>
    <row r="65" spans="6:6">
      <c r="F65" s="16"/>
    </row>
    <row r="66" spans="6:6">
      <c r="F66" s="16"/>
    </row>
    <row r="67" spans="6:6">
      <c r="F67" s="16"/>
    </row>
    <row r="123" spans="1:1">
      <c r="A123" t="s">
        <v>223</v>
      </c>
    </row>
  </sheetData>
  <sheetProtection formatRows="0"/>
  <mergeCells count="4">
    <mergeCell ref="A1:B1"/>
    <mergeCell ref="F9:F11"/>
    <mergeCell ref="G9:G11"/>
    <mergeCell ref="H9:H11"/>
  </mergeCells>
  <conditionalFormatting sqref="B8:B13">
    <cfRule type="containsBlanks" dxfId="511" priority="29">
      <formula>LEN(TRIM(B8))=0</formula>
    </cfRule>
  </conditionalFormatting>
  <conditionalFormatting sqref="B15:B61">
    <cfRule type="containsBlanks" dxfId="510" priority="16">
      <formula>LEN(TRIM(B15))=0</formula>
    </cfRule>
  </conditionalFormatting>
  <conditionalFormatting sqref="C7">
    <cfRule type="containsBlanks" dxfId="509" priority="20">
      <formula>LEN(TRIM(C7))=0</formula>
    </cfRule>
  </conditionalFormatting>
  <conditionalFormatting sqref="C8:C13 C15 C18:C24">
    <cfRule type="expression" dxfId="508" priority="21">
      <formula>AND($B8&lt;&gt;"",$C8="")</formula>
    </cfRule>
  </conditionalFormatting>
  <conditionalFormatting sqref="C14">
    <cfRule type="containsBlanks" dxfId="507" priority="104">
      <formula>LEN(TRIM(C14))=0</formula>
    </cfRule>
  </conditionalFormatting>
  <conditionalFormatting sqref="C25 D32 C27:C36">
    <cfRule type="expression" dxfId="506" priority="23">
      <formula>AND($B25&lt;&gt;"",$C25="")</formula>
    </cfRule>
  </conditionalFormatting>
  <conditionalFormatting sqref="C39">
    <cfRule type="expression" dxfId="505" priority="17">
      <formula>AND($B39&lt;&gt;"",$C39="")</formula>
    </cfRule>
  </conditionalFormatting>
  <conditionalFormatting sqref="C41:C51 C56:C61">
    <cfRule type="expression" dxfId="504" priority="67">
      <formula>AND($B41&lt;&gt;"",$C41="")</formula>
    </cfRule>
  </conditionalFormatting>
  <conditionalFormatting sqref="C8:D13 C15:D15 D17 C30:C36 C18:D25 C27:D32 D26">
    <cfRule type="expression" dxfId="503" priority="22">
      <formula>$B8=""</formula>
    </cfRule>
  </conditionalFormatting>
  <conditionalFormatting sqref="C33:D36">
    <cfRule type="expression" dxfId="502" priority="24">
      <formula>$B33=""</formula>
    </cfRule>
  </conditionalFormatting>
  <conditionalFormatting sqref="C39:D43">
    <cfRule type="expression" dxfId="501" priority="12">
      <formula>$B39=""</formula>
    </cfRule>
  </conditionalFormatting>
  <conditionalFormatting sqref="C44:D44">
    <cfRule type="expression" dxfId="500" priority="99">
      <formula>$B44=""</formula>
    </cfRule>
  </conditionalFormatting>
  <conditionalFormatting sqref="C45:D45">
    <cfRule type="expression" dxfId="499" priority="36">
      <formula>$B45=""</formula>
    </cfRule>
  </conditionalFormatting>
  <conditionalFormatting sqref="C46:D51 D52:D53">
    <cfRule type="expression" dxfId="498" priority="113">
      <formula>$B46=""</formula>
    </cfRule>
  </conditionalFormatting>
  <conditionalFormatting sqref="C56:D61">
    <cfRule type="expression" dxfId="497" priority="32">
      <formula>$B56=""</formula>
    </cfRule>
  </conditionalFormatting>
  <conditionalFormatting sqref="D32">
    <cfRule type="containsBlanks" dxfId="496" priority="103">
      <formula>LEN(TRIM(D32))=0</formula>
    </cfRule>
  </conditionalFormatting>
  <conditionalFormatting sqref="D40">
    <cfRule type="containsBlanks" dxfId="495" priority="13">
      <formula>LEN(TRIM(D40))=0</formula>
    </cfRule>
  </conditionalFormatting>
  <conditionalFormatting sqref="D45">
    <cfRule type="containsBlanks" dxfId="494" priority="37">
      <formula>LEN(TRIM(D45))=0</formula>
    </cfRule>
  </conditionalFormatting>
  <conditionalFormatting sqref="C16">
    <cfRule type="containsBlanks" dxfId="493" priority="10">
      <formula>LEN(TRIM(C16))=0</formula>
    </cfRule>
  </conditionalFormatting>
  <conditionalFormatting sqref="D16">
    <cfRule type="containsBlanks" dxfId="492" priority="11">
      <formula>LEN(TRIM(D16))=0</formula>
    </cfRule>
  </conditionalFormatting>
  <conditionalFormatting sqref="C17">
    <cfRule type="containsBlanks" dxfId="491" priority="9">
      <formula>LEN(TRIM(C17))=0</formula>
    </cfRule>
  </conditionalFormatting>
  <conditionalFormatting sqref="C37:C38">
    <cfRule type="expression" dxfId="490" priority="7">
      <formula>$B37=""</formula>
    </cfRule>
  </conditionalFormatting>
  <conditionalFormatting sqref="C37:C38">
    <cfRule type="containsBlanks" dxfId="489" priority="8">
      <formula>LEN(TRIM(C37))=0</formula>
    </cfRule>
  </conditionalFormatting>
  <conditionalFormatting sqref="D37:D38">
    <cfRule type="expression" dxfId="488" priority="5">
      <formula>$B37=""</formula>
    </cfRule>
  </conditionalFormatting>
  <conditionalFormatting sqref="D37:D38">
    <cfRule type="containsBlanks" dxfId="487" priority="6">
      <formula>LEN(TRIM(D37))=0</formula>
    </cfRule>
  </conditionalFormatting>
  <conditionalFormatting sqref="C26">
    <cfRule type="containsBlanks" dxfId="486" priority="1">
      <formula>LEN(TRIM(C26))=0</formula>
    </cfRule>
  </conditionalFormatting>
  <conditionalFormatting sqref="C52:C53">
    <cfRule type="containsBlanks" dxfId="485" priority="4">
      <formula>LEN(TRIM(C52))=0</formula>
    </cfRule>
  </conditionalFormatting>
  <conditionalFormatting sqref="C55:D55">
    <cfRule type="containsBlanks" dxfId="484" priority="3">
      <formula>LEN(TRIM(C55))=0</formula>
    </cfRule>
  </conditionalFormatting>
  <conditionalFormatting sqref="C54:D54">
    <cfRule type="containsBlanks" dxfId="483" priority="2">
      <formula>LEN(TRIM(C54))=0</formula>
    </cfRule>
  </conditionalFormatting>
  <dataValidations count="11">
    <dataValidation type="list" allowBlank="1" showInputMessage="1" showErrorMessage="1" sqref="C24" xr:uid="{00000000-0002-0000-0D00-000000000000}">
      <formula1>"Smartphone,Tablette,Les 2"</formula1>
    </dataValidation>
    <dataValidation type="list" allowBlank="1" showInputMessage="1" showErrorMessage="1" sqref="C15" xr:uid="{00000000-0002-0000-0D00-000001000000}">
      <formula1>"Module du CBS,Solution séparée"</formula1>
    </dataValidation>
    <dataValidation type="list" allowBlank="1" showInputMessage="1" showErrorMessage="1" sqref="C2" xr:uid="{00000000-0002-0000-0D00-000002000000}">
      <formula1>"Oui existant,Non existant"</formula1>
    </dataValidation>
    <dataValidation type="list" allowBlank="1" showInputMessage="1" showErrorMessage="1" sqref="C21" xr:uid="{00000000-0002-0000-0D00-000003000000}">
      <formula1>"Très haut,Haut,Moyen,Faible, Inexistant"</formula1>
    </dataValidation>
    <dataValidation type="list" allowBlank="1" showInputMessage="1" showErrorMessage="1" sqref="C14" xr:uid="{00000000-0002-0000-0D00-000004000000}">
      <formula1>"Primoridal,Critique,Moyen,Faible"</formula1>
    </dataValidation>
    <dataValidation type="list" allowBlank="1" showInputMessage="1" showErrorMessage="1" sqref="C27 C41:C42 C56:C57 C50 C23 C12 C45 C59 C19 C25 C52" xr:uid="{00000000-0002-0000-0D00-000005000000}">
      <formula1>"Oui,Non"</formula1>
    </dataValidation>
    <dataValidation type="list" allowBlank="1" showInputMessage="1" showErrorMessage="1" sqref="C43" xr:uid="{00000000-0002-0000-0D00-000006000000}">
      <formula1>"On-site,Cloud"</formula1>
    </dataValidation>
    <dataValidation type="list" allowBlank="1" showInputMessage="1" showErrorMessage="1" sqref="C44" xr:uid="{00000000-0002-0000-0D00-000007000000}">
      <formula1>"SaaS,Infra gérée"</formula1>
    </dataValidation>
    <dataValidation type="list" allowBlank="1" showInputMessage="1" showErrorMessage="1" sqref="C46" xr:uid="{00000000-0002-0000-0D00-000008000000}">
      <formula1>"Achat,Location,Sous-traitance"</formula1>
    </dataValidation>
    <dataValidation type="list" allowBlank="1" showInputMessage="1" showErrorMessage="1" sqref="C7" xr:uid="{00000000-0002-0000-0D00-000009000000}">
      <formula1>"COTS,Développement interne,Développement externalisé,Non prévu"</formula1>
    </dataValidation>
    <dataValidation type="list" allowBlank="1" showInputMessage="1" showErrorMessage="1" sqref="C39" xr:uid="{00000000-0002-0000-0D00-00000A000000}">
      <formula1>"IT Groupe,IT Local,Les 2"</formula1>
    </dataValidation>
  </dataValidations>
  <hyperlinks>
    <hyperlink ref="A1" location="Sommaire!A1" display="Retour à la page d'accueil" xr:uid="{00000000-0004-0000-0D00-000000000000}"/>
    <hyperlink ref="A1:B1" location="Accueil!A1" display="Retour à la page d'accueil" xr:uid="{00000000-0004-0000-0D00-000001000000}"/>
  </hyperlinks>
  <pageMargins left="0.7" right="0.7" top="0.75" bottom="0.75"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DB4BCA"/>
  </sheetPr>
  <dimension ref="A1:J123"/>
  <sheetViews>
    <sheetView showGridLines="0" workbookViewId="0">
      <pane ySplit="6" topLeftCell="A7" activePane="bottomLeft" state="frozen"/>
      <selection pane="bottomLeft" activeCell="B37" sqref="B37"/>
    </sheetView>
  </sheetViews>
  <sheetFormatPr defaultColWidth="11.42578125" defaultRowHeight="14.25"/>
  <cols>
    <col min="1" max="1" width="2.28515625" customWidth="1"/>
    <col min="2" max="2" width="63.140625" style="10" customWidth="1"/>
    <col min="3" max="3" width="17.28515625" style="15" customWidth="1"/>
    <col min="4" max="4" width="47" customWidth="1"/>
    <col min="5" max="5" width="15.28515625" hidden="1" customWidth="1"/>
    <col min="6" max="6" width="5.85546875" customWidth="1"/>
    <col min="7" max="8" width="8.85546875" hidden="1" customWidth="1"/>
    <col min="9" max="10" width="11.42578125" hidden="1" customWidth="1"/>
  </cols>
  <sheetData>
    <row r="1" spans="1:10">
      <c r="A1" s="302" t="s">
        <v>26</v>
      </c>
      <c r="B1" s="302"/>
    </row>
    <row r="2" spans="1:10" s="49" customFormat="1" ht="36">
      <c r="B2" s="48" t="s">
        <v>813</v>
      </c>
      <c r="C2" s="120" t="s">
        <v>768</v>
      </c>
    </row>
    <row r="3" spans="1:10">
      <c r="B3" s="13" t="s">
        <v>578</v>
      </c>
    </row>
    <row r="4" spans="1:10">
      <c r="B4" s="13" t="s">
        <v>579</v>
      </c>
    </row>
    <row r="5" spans="1:10" ht="6" customHeight="1"/>
    <row r="6" spans="1:10" ht="15">
      <c r="B6" s="46" t="s">
        <v>580</v>
      </c>
      <c r="C6" s="47" t="s">
        <v>581</v>
      </c>
      <c r="D6" s="47" t="s">
        <v>118</v>
      </c>
      <c r="E6" s="33" t="s">
        <v>31</v>
      </c>
      <c r="G6" s="171"/>
      <c r="H6" s="171"/>
      <c r="I6" s="178" t="s">
        <v>8</v>
      </c>
      <c r="J6" s="178" t="s">
        <v>769</v>
      </c>
    </row>
    <row r="7" spans="1:10" ht="24.95" customHeight="1">
      <c r="B7" s="6" t="str">
        <f>IF(C2="Oui existant","COTS ou Développement interne? (Commercial Off-The-Shelf solution)","Vous prévoyez quel type de solution?: COTS ou Développement interne? (Commercial Off-The-Shelf solution)")</f>
        <v>Vous prévoyez quel type de solution?: COTS ou Développement interne? (Commercial Off-The-Shelf solution)</v>
      </c>
      <c r="C7" s="20" t="s">
        <v>770</v>
      </c>
      <c r="D7" s="21"/>
      <c r="E7" s="12">
        <f>IF(TRIM(B7)="","",IF(TRIM(C7)="",0,1))</f>
        <v>1</v>
      </c>
      <c r="G7" s="171">
        <f>IF(AND(TRIM(B7)&lt;&gt;"",TRIM(C7)&lt;&gt;""),IF(C7="COTS",5,IF(C7="Développement interne",3,IF(C7="Développement externalisé",1,0))),"")</f>
        <v>0</v>
      </c>
      <c r="H7" s="171">
        <f>IF(AND(TRIM(B7)&lt;&gt;"",TRIM(C7)&lt;&gt;""),5,"")</f>
        <v>5</v>
      </c>
      <c r="I7" s="172" t="s">
        <v>814</v>
      </c>
      <c r="J7" s="172">
        <v>10</v>
      </c>
    </row>
    <row r="8" spans="1:10">
      <c r="B8" s="6" t="str">
        <f>IF(C7="COTS","Nom de l'éditeur","")</f>
        <v/>
      </c>
      <c r="C8" s="20"/>
      <c r="D8" s="20"/>
      <c r="E8" s="12" t="str">
        <f t="shared" ref="E8:E61" si="0">IF(TRIM(B8)="","",IF(TRIM(C8)="",0,1))</f>
        <v/>
      </c>
      <c r="G8" s="171" t="str">
        <f>IF(AND(TRIM(B8)&lt;&gt;"",TRIM(C8)&lt;&gt;""),IF(ISNA(VLOOKUP(C8,I7:J13,2,0)),1,VLOOKUP(C8,I7:J13,2,0)),"")</f>
        <v/>
      </c>
      <c r="H8" s="171" t="str">
        <f>IF(AND(TRIM(B8)&lt;&gt;"",TRIM(C8)&lt;&gt;""),10,"")</f>
        <v/>
      </c>
      <c r="I8" s="172" t="s">
        <v>815</v>
      </c>
      <c r="J8" s="172">
        <v>10</v>
      </c>
    </row>
    <row r="9" spans="1:10">
      <c r="B9" s="6" t="str">
        <f>IF(C2="Oui existant","Nom de la solution",IF(AND(C7&lt;&gt;"Non prévu",C7&lt;&gt;""),"Nom de la solution (si déjà identifiée)",""))</f>
        <v/>
      </c>
      <c r="C9" s="20"/>
      <c r="D9" s="20"/>
      <c r="E9" s="12" t="str">
        <f t="shared" si="0"/>
        <v/>
      </c>
      <c r="G9" s="398"/>
      <c r="H9" s="398" t="str">
        <f>IF(AND(TRIM(B9)&lt;&gt;"",TRIM(C9)&lt;&gt;""),5,"")</f>
        <v/>
      </c>
      <c r="I9" s="172" t="s">
        <v>585</v>
      </c>
      <c r="J9" s="172">
        <v>9</v>
      </c>
    </row>
    <row r="10" spans="1:10">
      <c r="B10" s="6" t="str">
        <f>IF(C2="Oui existant","Quelle est la version/release de l'application ?",IF(C7="COTS","Quelle est la version/release qui sera implémentée ?",""))</f>
        <v/>
      </c>
      <c r="C10" s="20"/>
      <c r="D10" s="20"/>
      <c r="E10" s="12" t="str">
        <f>IF(TRIM(B10)="","",IF(TRIM(C10)="",0,1))</f>
        <v/>
      </c>
      <c r="G10" s="398"/>
      <c r="H10" s="398"/>
      <c r="I10" s="172" t="s">
        <v>816</v>
      </c>
      <c r="J10" s="172">
        <v>8</v>
      </c>
    </row>
    <row r="11" spans="1:10">
      <c r="B11" s="6" t="str">
        <f>IF(C2="Oui existant","Quelle est la dernière version de l'application ?",IF(C7="COTS","Quelle est la dernière version de cette nouvelle solution ?",""))</f>
        <v/>
      </c>
      <c r="C11" s="20"/>
      <c r="D11" s="20"/>
      <c r="E11" s="12" t="str">
        <f>IF(TRIM(B11)="","",IF(TRIM(C11)="",0,1))</f>
        <v/>
      </c>
      <c r="G11" s="398"/>
      <c r="H11" s="398"/>
      <c r="I11" s="172" t="s">
        <v>817</v>
      </c>
      <c r="J11" s="172">
        <v>7</v>
      </c>
    </row>
    <row r="12" spans="1:10">
      <c r="B12" s="6" t="str">
        <f>IF(C2="Oui existant","Etes-vous au courant d’une évolution majeure en cours sur cette application","")</f>
        <v/>
      </c>
      <c r="C12" s="20"/>
      <c r="D12" s="20"/>
      <c r="E12" s="12" t="str">
        <f>IF(TRIM(B12)="","",IF(TRIM(C12)="",0,1))</f>
        <v/>
      </c>
      <c r="G12" s="171"/>
      <c r="H12" s="171"/>
      <c r="I12" s="172" t="s">
        <v>818</v>
      </c>
      <c r="J12" s="172">
        <v>7</v>
      </c>
    </row>
    <row r="13" spans="1:10">
      <c r="B13" s="6" t="str">
        <f>IF(C2="Oui existant","Qui contrôle les évolutions sur cette Application ?","")</f>
        <v/>
      </c>
      <c r="C13" s="20"/>
      <c r="D13" s="20"/>
      <c r="E13" s="12" t="str">
        <f>IF(TRIM(B13)="","",IF(TRIM(C13)="",0,1))</f>
        <v/>
      </c>
      <c r="G13" s="171"/>
      <c r="H13" s="171"/>
      <c r="I13" s="172" t="s">
        <v>819</v>
      </c>
      <c r="J13" s="172">
        <v>6</v>
      </c>
    </row>
    <row r="14" spans="1:10" s="9" customFormat="1" ht="26.1" customHeight="1">
      <c r="B14" s="7" t="str">
        <f>IF(C2="Oui existant","Quelle est la criticité de cette application ? combien de temps peut-on supporter son indisponibilité (colonne détail) ?","Quelle est la criticité de ce besoin ?")</f>
        <v>Quelle est la criticité de ce besoin ?</v>
      </c>
      <c r="C14" s="20" t="s">
        <v>619</v>
      </c>
      <c r="D14" s="21"/>
      <c r="E14" s="12">
        <f>IF(TRIM(B14)="","",IF(TRIM(C14)="",0,1))</f>
        <v>1</v>
      </c>
      <c r="G14" s="171"/>
      <c r="H14" s="171"/>
      <c r="I14" s="172" t="s">
        <v>820</v>
      </c>
      <c r="J14" s="172">
        <v>6</v>
      </c>
    </row>
    <row r="15" spans="1:10">
      <c r="B15" s="6" t="str">
        <f>IF(C7="COTS","Est-ce un module du CBS ou une  solution séparée?","")</f>
        <v/>
      </c>
      <c r="C15" s="20"/>
      <c r="D15" s="20"/>
      <c r="E15" s="12" t="str">
        <f t="shared" si="0"/>
        <v/>
      </c>
      <c r="G15" s="171"/>
      <c r="H15" s="171"/>
      <c r="I15" s="172" t="s">
        <v>821</v>
      </c>
      <c r="J15" s="172">
        <v>5</v>
      </c>
    </row>
    <row r="16" spans="1:10">
      <c r="B16" s="6" t="str">
        <f>IF(C2="Oui existant","Quand l’application a-t-elle été implémentée ?",IF(AND(C7&lt;&gt;"Non prévu",C7&lt;&gt;""),"Quand l’application sera-t-elle implémentée ?",""))</f>
        <v/>
      </c>
      <c r="C16" s="20"/>
      <c r="D16" s="20"/>
      <c r="E16" s="12" t="str">
        <f t="shared" si="0"/>
        <v/>
      </c>
      <c r="G16" s="173" t="str">
        <f>IF(AND(TRIM(B16)&lt;&gt;"",TRIM(C16)&lt;&gt;""),IF((2024-C16)&lt;=5,10,IF((2024-C16)&lt;=10,2,0)),"")</f>
        <v/>
      </c>
      <c r="H16" s="173" t="str">
        <f>IF(AND(TRIM(B16)&lt;&gt;"",TRIM(C16)&lt;&gt;""),10,"")</f>
        <v/>
      </c>
      <c r="I16" s="172" t="s">
        <v>822</v>
      </c>
      <c r="J16" s="172">
        <v>5</v>
      </c>
    </row>
    <row r="17" spans="2:10">
      <c r="B17" s="6" t="str">
        <f>IF(C2="Oui existant","Qui l'a implémenté ?",IF(AND(C7&lt;&gt;"Non prévu",C7&lt;&gt;""),"Qui doit l'implémenter ?",""))</f>
        <v/>
      </c>
      <c r="C17" s="20"/>
      <c r="D17" s="20"/>
      <c r="E17" s="12" t="str">
        <f t="shared" si="0"/>
        <v/>
      </c>
      <c r="G17" s="171"/>
      <c r="H17" s="171"/>
      <c r="I17" s="172" t="s">
        <v>823</v>
      </c>
      <c r="J17" s="172">
        <v>5</v>
      </c>
    </row>
    <row r="18" spans="2:10" ht="42.95" customHeight="1">
      <c r="B18" s="6" t="str">
        <f>IF(C2="Oui existant","Quels sont les processus fonctionnels couverts ?",IF(AND(C7&lt;&gt;"Non prévu",C7&lt;&gt;""),"Quels sont les processus fonctionnels qui doivent être couverts ?",""))</f>
        <v/>
      </c>
      <c r="C18" s="20"/>
      <c r="D18" s="20"/>
      <c r="E18" s="12" t="str">
        <f t="shared" si="0"/>
        <v/>
      </c>
      <c r="G18" s="171"/>
      <c r="H18" s="171" t="str">
        <f>IF(AND(TRIM(B18)&lt;&gt;"",TRIM(C18)&lt;&gt;""),10,"")</f>
        <v/>
      </c>
      <c r="I18" s="172"/>
      <c r="J18" s="172"/>
    </row>
    <row r="19" spans="2:10">
      <c r="B19" s="6" t="str">
        <f>IF(C2="Oui existant","Est-ce que la solution est integrée au CBS ?",IF(AND(C7&lt;&gt;"Non prévu",C7&lt;&gt;""),"Est-ce que la solution sera integrée au CBS ?",""))</f>
        <v/>
      </c>
      <c r="C19" s="20"/>
      <c r="D19" s="20"/>
      <c r="E19" s="12" t="str">
        <f t="shared" ref="E19:E20" si="1">IF(TRIM(B19)="","",IF(TRIM(C19)="",0,1))</f>
        <v/>
      </c>
      <c r="G19" s="173" t="str">
        <f>IF(AND(TRIM(B19)&lt;&gt;"",TRIM(C19)&lt;&gt;""),IF(C19="Oui",20,0),"")</f>
        <v/>
      </c>
      <c r="H19" s="173" t="str">
        <f>IF(AND(TRIM(B19)&lt;&gt;"",TRIM(C19)&lt;&gt;""),20,"")</f>
        <v/>
      </c>
      <c r="I19" s="172" t="s">
        <v>749</v>
      </c>
      <c r="J19" s="172">
        <v>0</v>
      </c>
    </row>
    <row r="20" spans="2:10">
      <c r="B20" s="6" t="str">
        <f>IF(C19="Oui",IF(C2="Oui existant","Comment et quels sont les processus et données qui transitent ?",IF(AND(C7&lt;&gt;"Non prévu",C7&lt;&gt;""),"Comment et quels seront les processus et données qui vont transiter ?","")),"")</f>
        <v/>
      </c>
      <c r="C20" s="20"/>
      <c r="D20" s="20"/>
      <c r="E20" s="12" t="str">
        <f t="shared" si="1"/>
        <v/>
      </c>
      <c r="G20" s="171"/>
      <c r="H20" s="171"/>
      <c r="I20" s="172" t="s">
        <v>728</v>
      </c>
      <c r="J20" s="172">
        <v>2</v>
      </c>
    </row>
    <row r="21" spans="2:10">
      <c r="B21" s="6" t="str">
        <f>IF(C2="Oui existant","Quel est le niveau de personnalisation de l’Application ?",IF(C7="COTS","Quel est le niveau de personnalisation prévu de l’Application ?",""))</f>
        <v/>
      </c>
      <c r="C21" s="20"/>
      <c r="D21" s="20"/>
      <c r="E21" s="12" t="str">
        <f t="shared" si="0"/>
        <v/>
      </c>
      <c r="G21" s="171" t="str">
        <f>IF(AND(TRIM(B21)&lt;&gt;"",TRIM(C21)&lt;&gt;""),IF(ISNA(VLOOKUP(C21,I19:J23,2,0)),1,VLOOKUP(C21,I19:J23,2,0)),"")</f>
        <v/>
      </c>
      <c r="H21" s="171" t="str">
        <f>IF(AND(TRIM(B21)&lt;&gt;"",TRIM(C21)&lt;&gt;""),10,"")</f>
        <v/>
      </c>
      <c r="I21" s="172" t="s">
        <v>619</v>
      </c>
      <c r="J21" s="172">
        <v>5</v>
      </c>
    </row>
    <row r="22" spans="2:10">
      <c r="B22" s="6" t="str">
        <f>IF(C2="Oui existant","Quelle(s) technologie(s) sous-jacente(s) ?","")</f>
        <v/>
      </c>
      <c r="C22" s="20"/>
      <c r="D22" s="20"/>
      <c r="E22" s="12" t="str">
        <f t="shared" si="0"/>
        <v/>
      </c>
      <c r="G22" s="171"/>
      <c r="H22" s="171"/>
      <c r="I22" s="172" t="s">
        <v>781</v>
      </c>
      <c r="J22" s="172">
        <v>8</v>
      </c>
    </row>
    <row r="23" spans="2:10">
      <c r="B23" s="6" t="str">
        <f>IF(C2="Oui existant","Est-ce que cette solution dispose d'une interface Mobile?",IF(AND(C7&lt;&gt;"Non prévu",C7&lt;&gt;""),"Est-ce qu'il est prévu une version Mobile ?",""))</f>
        <v/>
      </c>
      <c r="C23" s="20"/>
      <c r="D23" s="20"/>
      <c r="E23" s="12" t="str">
        <f t="shared" si="0"/>
        <v/>
      </c>
      <c r="G23" s="173" t="str">
        <f>IF(AND(TRIM(B23)&lt;&gt;"",TRIM(C23)&lt;&gt;""),IF(C23="Oui",10,0),"")</f>
        <v/>
      </c>
      <c r="H23" s="173" t="str">
        <f>IF(AND(TRIM(B23)&lt;&gt;"",TRIM(C23)&lt;&gt;""),10,"")</f>
        <v/>
      </c>
      <c r="I23" s="172" t="s">
        <v>782</v>
      </c>
      <c r="J23" s="172">
        <v>10</v>
      </c>
    </row>
    <row r="24" spans="2:10">
      <c r="B24" s="6" t="str">
        <f>IF(AND(C7&lt;&gt;"Non prévu",C7&lt;&gt;""),IF(C23="Oui","Dispose-t-elle d'une version smartphone ou tablette ou les 2  ?",""),"")</f>
        <v/>
      </c>
      <c r="C24" s="22"/>
      <c r="D24" s="20"/>
      <c r="E24" s="12" t="str">
        <f t="shared" si="0"/>
        <v/>
      </c>
      <c r="G24" s="173" t="str">
        <f>IF(AND(TRIM(B24)&lt;&gt;"",TRIM(C24)&lt;&gt;""),IF(C24="Les 2",10,IF(C24="Tablette",7,3)),"")</f>
        <v/>
      </c>
      <c r="H24" s="173" t="str">
        <f>IF(AND(TRIM(B24)&lt;&gt;"",TRIM(C24)&lt;&gt;""),10,"")</f>
        <v/>
      </c>
      <c r="I24" s="172"/>
      <c r="J24" s="172"/>
    </row>
    <row r="25" spans="2:10" ht="24.6" customHeight="1">
      <c r="B25" s="6" t="str">
        <f>IF(C2="Oui existant","Est-ce qu'il est prévu de remplacer cette solution par une autre ? Si oui, veuillez mettre le nom de la nouvelle solution et la période prévue dans la colonne détails","")</f>
        <v/>
      </c>
      <c r="C25" s="20"/>
      <c r="D25" s="20"/>
      <c r="E25" s="12" t="str">
        <f t="shared" si="0"/>
        <v/>
      </c>
      <c r="G25" s="173" t="str">
        <f>IF(AND(TRIM(B25)&lt;&gt;"",TRIM(C25)&lt;&gt;""),IF(C25="Non",10,0),"")</f>
        <v/>
      </c>
      <c r="H25" s="173" t="str">
        <f>IF(AND(TRIM(B25)&lt;&gt;"",TRIM(C25)&lt;&gt;""),10,"")</f>
        <v/>
      </c>
      <c r="I25" s="172"/>
      <c r="J25" s="172"/>
    </row>
    <row r="26" spans="2:10">
      <c r="B26" s="6" t="str">
        <f>IF(C2="Oui existant","Quel est le nombre d’utilisateurs finaux de cette application ?",IF(AND(C7&lt;&gt;"Non prévu",C7&lt;&gt;""),"Quel est le nombre d’utilisateurs finaux prévus pour cette application ?",""))</f>
        <v/>
      </c>
      <c r="C26" s="59"/>
      <c r="D26" s="20"/>
      <c r="E26" s="12" t="str">
        <f t="shared" si="0"/>
        <v/>
      </c>
      <c r="G26" s="171"/>
      <c r="H26" s="171"/>
      <c r="I26" s="172"/>
      <c r="J26" s="172"/>
    </row>
    <row r="27" spans="2:10">
      <c r="B27" s="6" t="str">
        <f>IF(C2="Oui existant","Y a-t-il des utilisateurs du Groupe sur les activités de la filiale ?","")</f>
        <v/>
      </c>
      <c r="C27" s="20"/>
      <c r="D27" s="20"/>
      <c r="E27" s="12" t="str">
        <f t="shared" si="0"/>
        <v/>
      </c>
      <c r="G27" s="171"/>
      <c r="H27" s="171"/>
      <c r="I27" s="172"/>
      <c r="J27" s="172"/>
    </row>
    <row r="28" spans="2:10">
      <c r="B28" s="6" t="str">
        <f>IF(C27="Oui","Quel est le ratio  ?","")</f>
        <v/>
      </c>
      <c r="C28" s="20"/>
      <c r="D28" s="20"/>
      <c r="E28" s="12" t="str">
        <f t="shared" si="0"/>
        <v/>
      </c>
      <c r="G28" s="171"/>
      <c r="H28" s="171"/>
      <c r="I28" s="172"/>
      <c r="J28" s="172"/>
    </row>
    <row r="29" spans="2:10">
      <c r="B29" s="6" t="str">
        <f>IF(C2="Oui existant","Quels ont été les acquisitions de licences détaillées (nombre, date, coût) ?","")</f>
        <v/>
      </c>
      <c r="C29" s="20"/>
      <c r="D29" s="20"/>
      <c r="E29" s="12" t="str">
        <f t="shared" si="0"/>
        <v/>
      </c>
      <c r="G29" s="171"/>
      <c r="H29" s="171"/>
      <c r="I29" s="172"/>
      <c r="J29" s="172"/>
    </row>
    <row r="30" spans="2:10">
      <c r="B30" s="6" t="str">
        <f>IF(C2="Oui existant","Quel est le nombre actuel de licences détenues par la filiale?",IF(C7="COTS","Combien de licences projettez-vous d'acquérir ?",""))</f>
        <v/>
      </c>
      <c r="C30" s="20"/>
      <c r="D30" s="20"/>
      <c r="E30" s="12" t="str">
        <f t="shared" si="0"/>
        <v/>
      </c>
      <c r="G30" s="171"/>
      <c r="H30" s="171"/>
      <c r="I30" s="172"/>
      <c r="J30" s="172"/>
    </row>
    <row r="31" spans="2:10">
      <c r="B31" s="6" t="str">
        <f>IF(C2="Oui existant","Quel type de licences (nominatives/partagées) ?",IF(C7="COTS","Est-ce que ce sera des licences nominatives ou partagées ?",""))</f>
        <v/>
      </c>
      <c r="C31" s="20"/>
      <c r="D31" s="20"/>
      <c r="E31" s="12" t="str">
        <f t="shared" si="0"/>
        <v/>
      </c>
      <c r="G31" s="171"/>
      <c r="H31" s="171"/>
      <c r="I31" s="172"/>
      <c r="J31" s="172"/>
    </row>
    <row r="32" spans="2:10" ht="36.6" customHeight="1">
      <c r="B32" s="6" t="str">
        <f>IF(C2="Oui existant","Des licences supplémentaires sont-elles nécessaires pour l'utilisation de l'application (outil supplémentaire, interfaces, modules complémentaires, …) ? Par module / par utilisateur ?",IF(C7="COTS","Est-ce que vous projettez d'acquérir d'autres licences dans un second temps ? combien et quand ?",""))</f>
        <v/>
      </c>
      <c r="C32" s="20"/>
      <c r="D32" s="21"/>
      <c r="E32" s="12" t="str">
        <f t="shared" si="0"/>
        <v/>
      </c>
      <c r="G32" s="171"/>
      <c r="H32" s="171"/>
      <c r="I32" s="172"/>
      <c r="J32" s="172"/>
    </row>
    <row r="33" spans="2:10">
      <c r="B33" s="6" t="str">
        <f>IF(C2="Oui existant","Quel est le coût du support éditeur ?",IF(C7="COTS","Quel sera le coût du support éditeur ?",""))</f>
        <v/>
      </c>
      <c r="C33" s="20"/>
      <c r="D33" s="20"/>
      <c r="E33" s="12" t="str">
        <f t="shared" si="0"/>
        <v/>
      </c>
      <c r="G33" s="171"/>
      <c r="H33" s="171"/>
      <c r="I33" s="172"/>
      <c r="J33" s="172"/>
    </row>
    <row r="34" spans="2:10">
      <c r="B34" s="6" t="str">
        <f>IF(C2="Oui existant","Existe-t-il un contrat de support avec un fournisseur ou un partenaire ? Pouvez-vous le partager ?","")</f>
        <v/>
      </c>
      <c r="C34" s="20"/>
      <c r="D34" s="20"/>
      <c r="E34" s="12" t="str">
        <f t="shared" si="0"/>
        <v/>
      </c>
      <c r="G34" s="171" t="str">
        <f>IF(AND(TRIM(B34)&lt;&gt;"",TRIM(C34)&lt;&gt;""),IF(C34="Oui",5,0),"")</f>
        <v/>
      </c>
      <c r="H34" s="171" t="str">
        <f>IF(AND(TRIM(B34)&lt;&gt;"",TRIM(C34)&lt;&gt;""),5,"")</f>
        <v/>
      </c>
      <c r="I34" s="172"/>
      <c r="J34" s="172"/>
    </row>
    <row r="35" spans="2:10">
      <c r="B35" s="6" t="str">
        <f>IF(C2="Oui existant","Le contrat est-il global couvrant plusieurs filiales ou dédié à la filiale ?",IF(C7="COTS","Projettez-vous une acquisition individuelle ou groupe ?",""))</f>
        <v/>
      </c>
      <c r="C35" s="20"/>
      <c r="D35" s="20"/>
      <c r="E35" s="12" t="str">
        <f t="shared" si="0"/>
        <v/>
      </c>
      <c r="G35" s="171"/>
      <c r="H35" s="171"/>
      <c r="I35" s="172"/>
      <c r="J35" s="172"/>
    </row>
    <row r="36" spans="2:10" ht="15.95" customHeight="1">
      <c r="B36" s="6" t="str">
        <f>IF(C2="Oui existant","Le contrat comprend-il un SLA formel ? Cela inclut-il un engagement de performance ?","")</f>
        <v/>
      </c>
      <c r="C36" s="20"/>
      <c r="D36" s="20"/>
      <c r="E36" s="12" t="str">
        <f>IF(TRIM(B36)="","",IF(TRIM(C36)="",0,1))</f>
        <v/>
      </c>
      <c r="G36" s="171" t="str">
        <f>IF(AND(TRIM(B36)&lt;&gt;"",TRIM(C36)&lt;&gt;""),IF(C36="Oui et oui",5,IF(C36="Oui et non",3,0)),"")</f>
        <v/>
      </c>
      <c r="H36" s="171" t="str">
        <f>IF(AND(TRIM(B36)&lt;&gt;"",TRIM(C36)&lt;&gt;""),5,"")</f>
        <v/>
      </c>
      <c r="I36" s="172"/>
      <c r="J36" s="172"/>
    </row>
    <row r="37" spans="2:10" ht="39.950000000000003" customHeight="1">
      <c r="B37" s="6" t="str">
        <f>IF(C2="Oui existant","Combien de ETP internes sont dédiés aux support (Niveaux 1, 2 et 3) de cette solution ?
Veuillez décrire dans la colonne détail de quelle entité sont-ils (Holding ou pays), la répartition des principales activités, les compétences et les rôles",IF(AND(C7&lt;&gt;"Non prévu",C7&lt;&gt;""),"Combien de ETP internes projettez-vous de dédier aux support (Niveaux 1, 2 et 3) de cette solution ?",""))</f>
        <v/>
      </c>
      <c r="C37" s="20"/>
      <c r="D37" s="21"/>
      <c r="E37" s="12" t="str">
        <f>IF(TRIM(B37)="","",IF(TRIM(C37)="",0,IF(TRIM(D37)="",0.5,1)))</f>
        <v/>
      </c>
      <c r="G37" s="171"/>
      <c r="H37" s="171"/>
      <c r="I37" s="172"/>
      <c r="J37" s="172"/>
    </row>
    <row r="38" spans="2:10" ht="51" customHeight="1">
      <c r="B38" s="6" t="str">
        <f>IF(C2="Oui existant","Combien de ETP internes sont dédiés aux changes opérés sur cette solution (incluant Dev, Config, Mise en prod) ?
Veuillez décrire dans la col. détail de quelle entité sont-ils (Holding ou pays), la répartition des activités, les compétences et les rôles",IF(AND(C7&lt;&gt;"Non prévu",C7&lt;&gt;""),"Combien de ETP internes projettez-vous de dédier aux futurs changes sur cette solution (incluant Dev, Config, Mise en prod) ?",""))</f>
        <v/>
      </c>
      <c r="C38" s="20"/>
      <c r="D38" s="21"/>
      <c r="E38" s="12" t="str">
        <f>IF(TRIM(B38)="","",IF(TRIM(C38)="",0,IF(TRIM(D38)="",0.5,1)))</f>
        <v/>
      </c>
      <c r="G38" s="171"/>
      <c r="H38" s="171"/>
      <c r="I38" s="172"/>
      <c r="J38" s="172"/>
    </row>
    <row r="39" spans="2:10">
      <c r="B39" s="6" t="str">
        <f>IF(C2="Oui existant","Qui administre cette solution et apporte le support aux utilisateurs l'IT Groupe, l'IT local ou les 2 ?",IF(AND(C7&lt;&gt;"Non prévu",C7&lt;&gt;""),"Qui va administrer cette solution et apporter le support aux utilisateurs: l'IT Groupe, l'IT local ou les 2 ?",""))</f>
        <v/>
      </c>
      <c r="C39" s="20"/>
      <c r="D39" s="20"/>
      <c r="E39" s="12" t="str">
        <f t="shared" si="0"/>
        <v/>
      </c>
      <c r="G39" s="171"/>
      <c r="H39" s="171"/>
      <c r="I39" s="172"/>
      <c r="J39" s="172"/>
    </row>
    <row r="40" spans="2:10" ht="26.45" customHeight="1">
      <c r="B40" s="6" t="str">
        <f>IF(C39="Les 2","A quelle proportion chacun ? et existe-t-il un SLA interne entre Group IT et la filiale ? S'il existe, pouvez-vous le partager
vous pouvez décrire dans la partie détails les responsabilités de chaque partie","")</f>
        <v/>
      </c>
      <c r="C40" s="20"/>
      <c r="D40" s="21"/>
      <c r="E40" s="12" t="str">
        <f t="shared" si="0"/>
        <v/>
      </c>
      <c r="G40" s="171"/>
      <c r="H40" s="171"/>
      <c r="I40" s="172"/>
      <c r="J40" s="172"/>
    </row>
    <row r="41" spans="2:10">
      <c r="B41" s="6" t="str">
        <f>IF(C2="Oui existant","Avez-vous un historique des KPI pour la disponibilité et le support de cette application ? Si oui, pouvez-vous les partager","")</f>
        <v/>
      </c>
      <c r="C41" s="20"/>
      <c r="D41" s="20"/>
      <c r="E41" s="12" t="str">
        <f t="shared" si="0"/>
        <v/>
      </c>
      <c r="G41" s="171" t="str">
        <f>IF(AND(TRIM(B41)&lt;&gt;"",TRIM(C41)&lt;&gt;""),IF(C41="Oui",3,0),"")</f>
        <v/>
      </c>
      <c r="H41" s="171" t="str">
        <f>IF(AND(TRIM(B41)&lt;&gt;"",TRIM(C41)&lt;&gt;""),3,"")</f>
        <v/>
      </c>
      <c r="I41" s="172"/>
      <c r="J41" s="172"/>
    </row>
    <row r="42" spans="2:10">
      <c r="B42" s="6" t="str">
        <f>IF(C2="Oui existant","Existe-t-il un processus de suivi des contrats groupe et tiers ?","")</f>
        <v/>
      </c>
      <c r="C42" s="20"/>
      <c r="D42" s="20"/>
      <c r="E42" s="12" t="str">
        <f t="shared" si="0"/>
        <v/>
      </c>
      <c r="G42" s="171"/>
      <c r="H42" s="171"/>
      <c r="I42" s="172"/>
      <c r="J42" s="172"/>
    </row>
    <row r="43" spans="2:10">
      <c r="B43" s="6" t="str">
        <f>IF(C2="Oui existant","L'application est-elle installée sur site ou utilisée sur le Cloud (SaaS) ?",IF(AND(C7&lt;&gt;"Non prévu",C7&lt;&gt;""),"La nouvelle solution sera-t-elle installée sur site ou utilisée sur le Cloud (SaaS) ?",""))</f>
        <v/>
      </c>
      <c r="C43" s="20"/>
      <c r="D43" s="20"/>
      <c r="E43" s="12" t="str">
        <f t="shared" si="0"/>
        <v/>
      </c>
      <c r="G43" s="173" t="str">
        <f>IF(AND(TRIM(B43)&lt;&gt;"",TRIM(C43)&lt;&gt;""),IF(C43="Cloud",5,2),"")</f>
        <v/>
      </c>
      <c r="H43" s="173" t="str">
        <f>IF(AND(TRIM(B43)&lt;&gt;"",TRIM(C43)&lt;&gt;""),5,"")</f>
        <v/>
      </c>
      <c r="I43" s="172"/>
      <c r="J43" s="172"/>
    </row>
    <row r="44" spans="2:10">
      <c r="B44" s="6" t="str">
        <f>IF(AND(C43="Cloud",C7="COTS"),"Est-ce entièrement SaaS ou Infra gérée par l'équipe locale ?","")</f>
        <v/>
      </c>
      <c r="C44" s="22"/>
      <c r="D44" s="20"/>
      <c r="E44" s="12" t="str">
        <f t="shared" si="0"/>
        <v/>
      </c>
      <c r="G44" s="173" t="str">
        <f>IF(AND(TRIM(B44)&lt;&gt;"",TRIM(C44)&lt;&gt;""),IF(C44="SaaS",10,5),"")</f>
        <v/>
      </c>
      <c r="H44" s="173" t="str">
        <f>IF(AND(TRIM(B44)&lt;&gt;"",TRIM(C44)&lt;&gt;""),10,"")</f>
        <v/>
      </c>
      <c r="I44" s="172"/>
      <c r="J44" s="172"/>
    </row>
    <row r="45" spans="2:10">
      <c r="B45" s="6" t="str">
        <f>IF(C2="Oui existant","S'agit-il d'une architecture Client/Serveur à 3 niveaux ? Décrivez s'il vous plait","")</f>
        <v/>
      </c>
      <c r="C45" s="20"/>
      <c r="D45" s="21"/>
      <c r="E45" s="12" t="str">
        <f>IF(TRIM(B45)="","",IF(TRIM(C45)="",0,IF(TRIM(D45)="",0.5,1)))</f>
        <v/>
      </c>
      <c r="G45" s="171"/>
      <c r="H45" s="171"/>
      <c r="I45" s="172"/>
      <c r="J45" s="172"/>
    </row>
    <row r="46" spans="2:10">
      <c r="B46" s="6" t="str">
        <f>IF(C43="On-site","Comment sont acquis les serveurs (achat/location/sous-traitance) ?","")</f>
        <v/>
      </c>
      <c r="C46" s="22"/>
      <c r="D46" s="20"/>
      <c r="E46" s="12" t="str">
        <f t="shared" si="0"/>
        <v/>
      </c>
      <c r="G46" s="171"/>
      <c r="H46" s="171"/>
      <c r="I46" s="172"/>
      <c r="J46" s="172"/>
    </row>
    <row r="47" spans="2:10">
      <c r="B47" s="6" t="str">
        <f>IF(C2="Oui existant","Où sont installés les serveurs ?","")</f>
        <v/>
      </c>
      <c r="C47" s="22"/>
      <c r="D47" s="20"/>
      <c r="E47" s="12" t="str">
        <f t="shared" si="0"/>
        <v/>
      </c>
      <c r="G47" s="171"/>
      <c r="H47" s="171"/>
      <c r="I47" s="172"/>
      <c r="J47" s="172"/>
    </row>
    <row r="48" spans="2:10">
      <c r="B48" s="6" t="str">
        <f>IF(C2="Oui existant","Sur quels systèmes (versions) cette application s'exécute-t-elle ?",IF(AND(C7&lt;&gt;"Non prévu",C7&lt;&gt;""),"Sur quels systèmes (versions) cette application sera-t-elle implémentée ?",""))</f>
        <v/>
      </c>
      <c r="C48" s="22"/>
      <c r="D48" s="20"/>
      <c r="E48" s="12" t="str">
        <f t="shared" si="0"/>
        <v/>
      </c>
      <c r="G48" s="171"/>
      <c r="H48" s="171"/>
      <c r="I48" s="172"/>
      <c r="J48" s="172"/>
    </row>
    <row r="49" spans="2:10">
      <c r="B49" s="6" t="str">
        <f>IF(C2="Oui existant","Sur quelle base de données cette application tourne-t-elle ?",IF(AND(C7&lt;&gt;"Non prévu",C7&lt;&gt;""),"Sur quelle base de données cette application tournera-t-elle ?",""))</f>
        <v/>
      </c>
      <c r="C49" s="22"/>
      <c r="D49" s="20"/>
      <c r="E49" s="12" t="str">
        <f t="shared" si="0"/>
        <v/>
      </c>
      <c r="G49" s="171"/>
      <c r="H49" s="171"/>
      <c r="I49" s="172"/>
      <c r="J49" s="172"/>
    </row>
    <row r="50" spans="2:10">
      <c r="B50" s="6" t="str">
        <f>IF(C2="Oui existant","Existe-t-il une architecture haute disponibilité (réplication) ?",IF(AND(C7&lt;&gt;"Non prévu",C7&lt;&gt;""),"Est-ce qu'il est prévu une architecture haute disponibilité (réplication) ?",""))</f>
        <v/>
      </c>
      <c r="C50" s="22"/>
      <c r="D50" s="20"/>
      <c r="E50" s="12" t="str">
        <f t="shared" si="0"/>
        <v/>
      </c>
      <c r="G50" s="171" t="str">
        <f>IF(AND(TRIM(B50)&lt;&gt;"",TRIM(C50)&lt;&gt;""),IF(C50="Oui",5,0),"")</f>
        <v/>
      </c>
      <c r="H50" s="171" t="str">
        <f t="shared" ref="H50:H52" si="2">IF(AND(TRIM(B50)&lt;&gt;"",TRIM(C50)&lt;&gt;""),5,"")</f>
        <v/>
      </c>
      <c r="I50" s="172"/>
      <c r="J50" s="172"/>
    </row>
    <row r="51" spans="2:10">
      <c r="B51" s="6" t="str">
        <f>IF(C50="Oui","Entièrement ou partiellement ? Actif-Actif ou Actif-Passif ?","")</f>
        <v/>
      </c>
      <c r="C51" s="22"/>
      <c r="D51" s="20"/>
      <c r="E51" s="12" t="str">
        <f t="shared" si="0"/>
        <v/>
      </c>
      <c r="G51" s="171"/>
      <c r="H51" s="171"/>
      <c r="I51" s="172"/>
      <c r="J51" s="172"/>
    </row>
    <row r="52" spans="2:10">
      <c r="B52" s="6" t="str">
        <f>IF(C2="Oui existant","Existe-t-il un plan de récupération pour cette application ?","")</f>
        <v/>
      </c>
      <c r="C52" s="22"/>
      <c r="D52" s="20"/>
      <c r="E52" s="12" t="str">
        <f t="shared" si="0"/>
        <v/>
      </c>
      <c r="G52" s="171" t="str">
        <f>IF(AND(TRIM(B52)&lt;&gt;"",TRIM(C52)&lt;&gt;""),IF(C52="Oui",5,0),"")</f>
        <v/>
      </c>
      <c r="H52" s="171" t="str">
        <f t="shared" si="2"/>
        <v/>
      </c>
      <c r="I52" s="172"/>
      <c r="J52" s="172"/>
    </row>
    <row r="53" spans="2:10">
      <c r="B53" s="6" t="str">
        <f>IF(C2="Oui existant","Qui gère les données de la base de données ?",IF(AND(C7&lt;&gt;"Non prévu",C7&lt;&gt;""),"Qui va gèrer les données de la base de données ?",""))</f>
        <v/>
      </c>
      <c r="C53" s="22"/>
      <c r="D53" s="20"/>
      <c r="E53" s="12" t="str">
        <f t="shared" si="0"/>
        <v/>
      </c>
      <c r="G53" s="171"/>
      <c r="H53" s="171"/>
      <c r="I53" s="172"/>
      <c r="J53" s="172"/>
    </row>
    <row r="54" spans="2:10" ht="40.5" customHeight="1">
      <c r="B54" s="6" t="str">
        <f>IF(C2="Oui existant","Quelles sont les interfaces existantes de cette application ? Veuillez décrire et partager tout document d'architecture",IF(AND(C7&lt;&gt;"Non prévu",C7&lt;&gt;""),"Quelles sont les interfaces prévues ? Veuillez décrire et partager tout document d'architecture cible",""))</f>
        <v/>
      </c>
      <c r="C54" s="20"/>
      <c r="D54" s="21"/>
      <c r="E54" s="12" t="str">
        <f>IF(TRIM(B54)="","",IF(TRIM(C54)="",0,IF(TRIM(D54)="",0.5,1)))</f>
        <v/>
      </c>
      <c r="G54" s="171"/>
      <c r="H54" s="171"/>
      <c r="I54" s="172"/>
      <c r="J54" s="172"/>
    </row>
    <row r="55" spans="2:10" ht="40.5" customHeight="1">
      <c r="B55" s="6" t="str">
        <f>IF(C2="Oui existant","L'application est-elle complètement en temps réel ou y'a-t-il des batchs la nuit ? Décrivez s'il vous plait",IF(AND(C7&lt;&gt;"Non prévu",C7&lt;&gt;""),"L'application sera-t-elle complètement en temps réel ou y'aura-t-il des batchs la nuit ? Décrivez s'il vous plait",""))</f>
        <v/>
      </c>
      <c r="C55" s="20"/>
      <c r="D55" s="21"/>
      <c r="E55" s="12" t="str">
        <f>IF(TRIM(B55)="","",IF(TRIM(C55)="",0,IF(TRIM(D55)="",0.5,1)))</f>
        <v/>
      </c>
      <c r="G55" s="171"/>
      <c r="H55" s="171"/>
      <c r="I55" s="172"/>
      <c r="J55" s="172"/>
    </row>
    <row r="56" spans="2:10">
      <c r="B56" s="6" t="str">
        <f>IF(C2="Oui existant","Avez-vous connaissance d'un quelconque problème potentiel lié à la continuité de cette application (par exemple départ ou indisponibilité des ressources clés, fin de support, bug critique, ...), si oui lequel dans détails ?","")</f>
        <v/>
      </c>
      <c r="C56" s="22"/>
      <c r="D56" s="20"/>
      <c r="E56" s="12" t="str">
        <f t="shared" si="0"/>
        <v/>
      </c>
      <c r="G56" s="171" t="str">
        <f>IF(AND(TRIM(B56)&lt;&gt;"",TRIM(C56)&lt;&gt;""),IF(C56="Oui",0,10),"")</f>
        <v/>
      </c>
      <c r="H56" s="171" t="str">
        <f>IF(AND(TRIM(B56)&lt;&gt;"",TRIM(C56)&lt;&gt;""),10,"")</f>
        <v/>
      </c>
      <c r="I56" s="172"/>
      <c r="J56" s="172"/>
    </row>
    <row r="57" spans="2:10">
      <c r="B57" s="6" t="str">
        <f>IF(C2="Oui existant","Est-ce que des sauvegardes sont réalisées régulièrement ?",IF(AND(C7&lt;&gt;"Non prévu",C7&lt;&gt;""),"Est-ce que des sauvegardes sont prévus dès l'implémentation ?",""))</f>
        <v/>
      </c>
      <c r="C57" s="22"/>
      <c r="D57" s="20"/>
      <c r="E57" s="12" t="str">
        <f t="shared" si="0"/>
        <v/>
      </c>
      <c r="G57" s="171" t="str">
        <f>IF(AND(TRIM(B57)&lt;&gt;"",TRIM(C57)&lt;&gt;""),IF(C57="Oui",5,0),"")</f>
        <v/>
      </c>
      <c r="H57" s="171" t="str">
        <f t="shared" ref="H57" si="3">IF(AND(TRIM(B57)&lt;&gt;"",TRIM(C57)&lt;&gt;""),5,"")</f>
        <v/>
      </c>
      <c r="I57" s="172"/>
      <c r="J57" s="172"/>
    </row>
    <row r="58" spans="2:10">
      <c r="B58" s="6" t="str">
        <f>IF(C57="Oui","A quelle fréquence sont-elles exécutées?","")</f>
        <v/>
      </c>
      <c r="C58" s="22"/>
      <c r="D58" s="20"/>
      <c r="E58" s="12" t="str">
        <f t="shared" si="0"/>
        <v/>
      </c>
      <c r="G58" s="173"/>
      <c r="H58" s="173" t="str">
        <f>IF(AND(TRIM(B58)&lt;&gt;"",TRIM(C58)&lt;&gt;""),3,"")</f>
        <v/>
      </c>
      <c r="I58" s="172"/>
      <c r="J58" s="172"/>
    </row>
    <row r="59" spans="2:10">
      <c r="B59" s="6" t="str">
        <f>IF(C57="Oui","Avez-vous une politique de rétention en place ? Si oui, pouvez-vous me la partager?","")</f>
        <v/>
      </c>
      <c r="C59" s="22"/>
      <c r="D59" s="20"/>
      <c r="E59" s="12" t="str">
        <f t="shared" si="0"/>
        <v/>
      </c>
      <c r="G59" s="173" t="str">
        <f>IF(AND(TRIM(B59)&lt;&gt;"",TRIM(C59)&lt;&gt;""),IF(C59="Oui",2,0),"")</f>
        <v/>
      </c>
      <c r="H59" s="173" t="str">
        <f>IF(AND(TRIM(B59)&lt;&gt;"",TRIM(C59)&lt;&gt;""),2,"")</f>
        <v/>
      </c>
      <c r="I59" s="172"/>
      <c r="J59" s="172"/>
    </row>
    <row r="60" spans="2:10">
      <c r="B60" s="6" t="str">
        <f>IF(C57="Oui","Quelle est la solution de sauvegarde/récupération utilisée ?","")</f>
        <v/>
      </c>
      <c r="C60" s="22"/>
      <c r="D60" s="20"/>
      <c r="E60" s="12" t="str">
        <f t="shared" si="0"/>
        <v/>
      </c>
      <c r="G60" s="173"/>
      <c r="H60" s="173" t="str">
        <f t="shared" ref="H60" si="4">IF(AND(TRIM(B60)&lt;&gt;"",TRIM(C60)&lt;&gt;""),3,"")</f>
        <v/>
      </c>
      <c r="I60" s="172"/>
      <c r="J60" s="172"/>
    </row>
    <row r="61" spans="2:10">
      <c r="B61" s="6" t="str">
        <f>IF(C57="Oui","Quelle est la taille totale estimée des sauvegardes ?","")</f>
        <v/>
      </c>
      <c r="C61" s="22"/>
      <c r="D61" s="20"/>
      <c r="E61" s="12" t="str">
        <f t="shared" si="0"/>
        <v/>
      </c>
      <c r="G61" s="171"/>
      <c r="H61" s="171"/>
      <c r="I61" s="172"/>
      <c r="J61" s="172"/>
    </row>
    <row r="62" spans="2:10">
      <c r="G62" s="171">
        <f>SUM(G5:G61)</f>
        <v>0</v>
      </c>
      <c r="H62" s="171">
        <f>SUM(H5:H61)</f>
        <v>5</v>
      </c>
      <c r="I62" s="172"/>
      <c r="J62" s="172"/>
    </row>
    <row r="63" spans="2:10">
      <c r="G63" s="16"/>
    </row>
    <row r="64" spans="2:10">
      <c r="G64" s="16"/>
    </row>
    <row r="65" spans="7:7">
      <c r="G65" s="16"/>
    </row>
    <row r="66" spans="7:7">
      <c r="G66" s="16"/>
    </row>
    <row r="67" spans="7:7">
      <c r="G67" s="16"/>
    </row>
    <row r="123" spans="1:1">
      <c r="A123" t="s">
        <v>223</v>
      </c>
    </row>
  </sheetData>
  <sheetProtection formatRows="0"/>
  <mergeCells count="3">
    <mergeCell ref="A1:B1"/>
    <mergeCell ref="G9:G11"/>
    <mergeCell ref="H9:H11"/>
  </mergeCells>
  <conditionalFormatting sqref="B8:B13">
    <cfRule type="containsBlanks" dxfId="482" priority="18">
      <formula>LEN(TRIM(B8))=0</formula>
    </cfRule>
  </conditionalFormatting>
  <conditionalFormatting sqref="B15:B61">
    <cfRule type="containsBlanks" dxfId="481" priority="5">
      <formula>LEN(TRIM(B15))=0</formula>
    </cfRule>
  </conditionalFormatting>
  <conditionalFormatting sqref="C7">
    <cfRule type="containsBlanks" dxfId="480" priority="9">
      <formula>LEN(TRIM(C7))=0</formula>
    </cfRule>
  </conditionalFormatting>
  <conditionalFormatting sqref="C8:C13 C15:C24">
    <cfRule type="expression" dxfId="479" priority="10">
      <formula>AND($B8&lt;&gt;"",$C8="")</formula>
    </cfRule>
  </conditionalFormatting>
  <conditionalFormatting sqref="C14">
    <cfRule type="containsBlanks" dxfId="478" priority="92">
      <formula>LEN(TRIM(C14))=0</formula>
    </cfRule>
  </conditionalFormatting>
  <conditionalFormatting sqref="C25:C36">
    <cfRule type="expression" dxfId="477" priority="12">
      <formula>AND($B25&lt;&gt;"",$C25="")</formula>
    </cfRule>
  </conditionalFormatting>
  <conditionalFormatting sqref="C37:C38">
    <cfRule type="expression" dxfId="476" priority="39">
      <formula>AND($B37&lt;&gt;"",$C37="")</formula>
    </cfRule>
  </conditionalFormatting>
  <conditionalFormatting sqref="C39">
    <cfRule type="expression" dxfId="475" priority="6">
      <formula>AND($B39&lt;&gt;"",$C39="")</formula>
    </cfRule>
  </conditionalFormatting>
  <conditionalFormatting sqref="C41:C61">
    <cfRule type="expression" dxfId="474" priority="56">
      <formula>AND($B41&lt;&gt;"",$C41="")</formula>
    </cfRule>
  </conditionalFormatting>
  <conditionalFormatting sqref="C8:D13 C15:D32">
    <cfRule type="expression" dxfId="473" priority="11">
      <formula>$B8=""</formula>
    </cfRule>
  </conditionalFormatting>
  <conditionalFormatting sqref="C33:D38">
    <cfRule type="expression" dxfId="472" priority="13">
      <formula>$B33=""</formula>
    </cfRule>
  </conditionalFormatting>
  <conditionalFormatting sqref="C39:D43">
    <cfRule type="expression" dxfId="471" priority="1">
      <formula>$B39=""</formula>
    </cfRule>
  </conditionalFormatting>
  <conditionalFormatting sqref="C44:D44">
    <cfRule type="expression" dxfId="470" priority="87">
      <formula>$B44=""</formula>
    </cfRule>
  </conditionalFormatting>
  <conditionalFormatting sqref="C45:D45">
    <cfRule type="expression" dxfId="469" priority="25">
      <formula>$B45=""</formula>
    </cfRule>
  </conditionalFormatting>
  <conditionalFormatting sqref="C46:D53">
    <cfRule type="expression" dxfId="468" priority="101">
      <formula>$B46=""</formula>
    </cfRule>
  </conditionalFormatting>
  <conditionalFormatting sqref="C54:D61">
    <cfRule type="expression" dxfId="467" priority="21">
      <formula>$B54=""</formula>
    </cfRule>
  </conditionalFormatting>
  <conditionalFormatting sqref="D32">
    <cfRule type="containsBlanks" dxfId="466" priority="91">
      <formula>LEN(TRIM(D32))=0</formula>
    </cfRule>
  </conditionalFormatting>
  <conditionalFormatting sqref="D37:D38">
    <cfRule type="containsBlanks" dxfId="465" priority="28">
      <formula>LEN(TRIM(D37))=0</formula>
    </cfRule>
  </conditionalFormatting>
  <conditionalFormatting sqref="D40">
    <cfRule type="containsBlanks" dxfId="464" priority="2">
      <formula>LEN(TRIM(D40))=0</formula>
    </cfRule>
  </conditionalFormatting>
  <conditionalFormatting sqref="D45">
    <cfRule type="containsBlanks" dxfId="463" priority="26">
      <formula>LEN(TRIM(D45))=0</formula>
    </cfRule>
  </conditionalFormatting>
  <conditionalFormatting sqref="D54:D55">
    <cfRule type="containsBlanks" dxfId="462" priority="22">
      <formula>LEN(TRIM(D54))=0</formula>
    </cfRule>
  </conditionalFormatting>
  <dataValidations count="14">
    <dataValidation type="list" allowBlank="1" showInputMessage="1" showErrorMessage="1" sqref="C24" xr:uid="{00000000-0002-0000-0E00-000000000000}">
      <formula1>"Smartphone,Tablette,Les 2"</formula1>
    </dataValidation>
    <dataValidation type="list" allowBlank="1" showInputMessage="1" showErrorMessage="1" sqref="C15" xr:uid="{00000000-0002-0000-0E00-000001000000}">
      <formula1>"Module du CBS,Solution séparée"</formula1>
    </dataValidation>
    <dataValidation type="list" allowBlank="1" showInputMessage="1" showErrorMessage="1" sqref="C2" xr:uid="{00000000-0002-0000-0E00-000002000000}">
      <formula1>"Oui existant,Non existant"</formula1>
    </dataValidation>
    <dataValidation type="list" allowBlank="1" showInputMessage="1" showErrorMessage="1" sqref="C21" xr:uid="{00000000-0002-0000-0E00-000003000000}">
      <formula1>"Très haut,Haut,Moyen,Faible, Inexistant"</formula1>
    </dataValidation>
    <dataValidation type="list" allowBlank="1" showInputMessage="1" showErrorMessage="1" sqref="C14" xr:uid="{00000000-0002-0000-0E00-000004000000}">
      <formula1>"Primoridal,Critique,Moyen,Faible"</formula1>
    </dataValidation>
    <dataValidation type="list" allowBlank="1" showInputMessage="1" showErrorMessage="1" sqref="C27 C34 C56:C57 C50 C52 C12 C45 C59 C19 C25 C23 C41:C42" xr:uid="{00000000-0002-0000-0E00-000005000000}">
      <formula1>"Oui,Non"</formula1>
    </dataValidation>
    <dataValidation type="list" allowBlank="1" showInputMessage="1" showErrorMessage="1" sqref="C31" xr:uid="{00000000-0002-0000-0E00-000006000000}">
      <formula1>"Nominatives,Partagées,NA"</formula1>
    </dataValidation>
    <dataValidation type="list" allowBlank="1" showInputMessage="1" showErrorMessage="1" sqref="C35" xr:uid="{00000000-0002-0000-0E00-000007000000}">
      <formula1>"Global,Dédié"</formula1>
    </dataValidation>
    <dataValidation type="list" allowBlank="1" showInputMessage="1" showErrorMessage="1" sqref="C43" xr:uid="{00000000-0002-0000-0E00-000008000000}">
      <formula1>"On-site,Cloud"</formula1>
    </dataValidation>
    <dataValidation type="list" allowBlank="1" showInputMessage="1" showErrorMessage="1" sqref="C44" xr:uid="{00000000-0002-0000-0E00-000009000000}">
      <formula1>"SaaS,Infra gérée"</formula1>
    </dataValidation>
    <dataValidation type="list" allowBlank="1" showInputMessage="1" showErrorMessage="1" sqref="C46" xr:uid="{00000000-0002-0000-0E00-00000A000000}">
      <formula1>"Achat,Location,Sous-traitance"</formula1>
    </dataValidation>
    <dataValidation type="list" allowBlank="1" showInputMessage="1" showErrorMessage="1" sqref="C36" xr:uid="{00000000-0002-0000-0E00-00000B000000}">
      <formula1>"Oui et oui,Oui et non,Non pour les 2"</formula1>
    </dataValidation>
    <dataValidation type="list" allowBlank="1" showInputMessage="1" showErrorMessage="1" sqref="C7" xr:uid="{00000000-0002-0000-0E00-00000C000000}">
      <formula1>"COTS,Développement interne,Développement externalisé,Non prévu"</formula1>
    </dataValidation>
    <dataValidation type="list" allowBlank="1" showInputMessage="1" showErrorMessage="1" sqref="C39" xr:uid="{00000000-0002-0000-0E00-00000D000000}">
      <formula1>"IT Groupe,IT Local,Les 2"</formula1>
    </dataValidation>
  </dataValidations>
  <hyperlinks>
    <hyperlink ref="A1" location="Sommaire!A1" display="Retour à la page d'accueil" xr:uid="{00000000-0004-0000-0E00-000000000000}"/>
    <hyperlink ref="A1:B1" location="Accueil!A1" display="Retour à la page d'accueil" xr:uid="{00000000-0004-0000-0E00-000001000000}"/>
  </hyperlinks>
  <pageMargins left="0.7" right="0.7" top="0.75" bottom="0.75" header="0.3" footer="0.3"/>
  <pageSetup paperSize="9" orientation="portrait" horizontalDpi="4294967293"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C7CF6"/>
  </sheetPr>
  <dimension ref="A1:K123"/>
  <sheetViews>
    <sheetView showGridLines="0" workbookViewId="0">
      <pane ySplit="6" topLeftCell="A7" activePane="bottomLeft" state="frozen"/>
      <selection pane="bottomLeft" sqref="A1:B1"/>
    </sheetView>
  </sheetViews>
  <sheetFormatPr defaultColWidth="11.42578125" defaultRowHeight="14.25"/>
  <cols>
    <col min="1" max="1" width="2.28515625" customWidth="1"/>
    <col min="2" max="2" width="63.140625" style="10" customWidth="1"/>
    <col min="3" max="3" width="32.42578125" style="15" customWidth="1"/>
    <col min="4" max="4" width="96.85546875" customWidth="1"/>
    <col min="5" max="5" width="7.28515625" hidden="1" customWidth="1"/>
    <col min="6" max="6" width="6.85546875" customWidth="1"/>
    <col min="7" max="11" width="11.42578125" hidden="1" customWidth="1"/>
  </cols>
  <sheetData>
    <row r="1" spans="1:11">
      <c r="A1" s="302" t="s">
        <v>26</v>
      </c>
      <c r="B1" s="302"/>
    </row>
    <row r="2" spans="1:11" s="49" customFormat="1" ht="36">
      <c r="B2" s="139" t="s">
        <v>824</v>
      </c>
      <c r="C2" s="140" t="s">
        <v>768</v>
      </c>
    </row>
    <row r="3" spans="1:11">
      <c r="B3" s="13" t="s">
        <v>578</v>
      </c>
    </row>
    <row r="4" spans="1:11">
      <c r="B4" s="13" t="s">
        <v>579</v>
      </c>
    </row>
    <row r="5" spans="1:11" ht="6" customHeight="1"/>
    <row r="6" spans="1:11" ht="18">
      <c r="B6" s="139" t="s">
        <v>580</v>
      </c>
      <c r="C6" s="139" t="s">
        <v>581</v>
      </c>
      <c r="D6" s="139" t="s">
        <v>118</v>
      </c>
      <c r="E6" s="58" t="s">
        <v>31</v>
      </c>
      <c r="G6" s="16"/>
      <c r="H6" s="16"/>
      <c r="I6" s="141" t="s">
        <v>8</v>
      </c>
      <c r="J6" s="141" t="s">
        <v>769</v>
      </c>
      <c r="K6" s="141" t="s">
        <v>825</v>
      </c>
    </row>
    <row r="7" spans="1:11" ht="24.95" customHeight="1">
      <c r="B7" s="6" t="str">
        <f>IF(C2="Oui existant","COTS ou Développement interne? (Commercial Off-The-Shelf solution)",IF(C2="Non existant","Vous prévoyez quel type de solution?: COTS ou Développement interne? (Commercial Off-The-Shelf solution)",""))</f>
        <v>Vous prévoyez quel type de solution?: COTS ou Développement interne? (Commercial Off-The-Shelf solution)</v>
      </c>
      <c r="C7" s="20" t="s">
        <v>770</v>
      </c>
      <c r="D7" s="20"/>
      <c r="E7" s="12">
        <f>IF(TRIM(B7)="","",IF(TRIM(C7)="",0,1))</f>
        <v>1</v>
      </c>
      <c r="G7" s="16">
        <f>IF(AND(TRIM(B7)&lt;&gt;"",TRIM(C7)&lt;&gt;""),IF(C7="COTS",5,IF(C7="Développement interne",3,IF(C7="Développement externalisé",1,0))),"")</f>
        <v>0</v>
      </c>
      <c r="H7" s="16">
        <f>IF(AND(TRIM(B7)&lt;&gt;"",TRIM(C7)&lt;&gt;""),5,"")</f>
        <v>5</v>
      </c>
      <c r="I7" t="s">
        <v>826</v>
      </c>
      <c r="J7">
        <v>5</v>
      </c>
      <c r="K7">
        <v>23</v>
      </c>
    </row>
    <row r="8" spans="1:11">
      <c r="B8" s="6" t="str">
        <f>IF(C2="Oui module du CRM","",IF(C7="COTS","Nom de l'éditeur",""))</f>
        <v/>
      </c>
      <c r="C8" s="20"/>
      <c r="D8" s="20"/>
      <c r="E8" s="12" t="str">
        <f t="shared" ref="E8:E61" si="0">IF(TRIM(B8)="","",IF(TRIM(C8)="",0,1))</f>
        <v/>
      </c>
      <c r="G8" s="16" t="str">
        <f>IF(AND(TRIM(B8)&lt;&gt;"",TRIM(C8)&lt;&gt;""),IF(ISNA(VLOOKUP(C8,I7:J13,2,0)),1,VLOOKUP(C8,I7:J13,2,0)),"")</f>
        <v/>
      </c>
      <c r="H8" s="16" t="str">
        <f>IF(AND(TRIM(B8)&lt;&gt;"",TRIM(C8)&lt;&gt;""),10,"")</f>
        <v/>
      </c>
      <c r="I8" t="s">
        <v>827</v>
      </c>
      <c r="J8">
        <v>3</v>
      </c>
      <c r="K8">
        <v>14</v>
      </c>
    </row>
    <row r="9" spans="1:11">
      <c r="B9" s="6" t="str">
        <f>IF(C2="Oui module du CRM","",IF(C2="Oui existant","Nom de la solution",IF(AND(C7&lt;&gt;"Non prévu",C7&lt;&gt;""),"Nom de la solution (si déjà identifiée)","")))</f>
        <v/>
      </c>
      <c r="C9" s="20"/>
      <c r="D9" s="20"/>
      <c r="E9" s="12" t="str">
        <f t="shared" si="0"/>
        <v/>
      </c>
      <c r="G9" s="397">
        <v>0</v>
      </c>
      <c r="H9" s="397" t="str">
        <f>IF(AND(TRIM(B9)&lt;&gt;"",TRIM(C9)&lt;&gt;""),5,"")</f>
        <v/>
      </c>
      <c r="I9" t="s">
        <v>828</v>
      </c>
      <c r="J9">
        <v>4</v>
      </c>
      <c r="K9">
        <v>11</v>
      </c>
    </row>
    <row r="10" spans="1:11">
      <c r="B10" s="6" t="str">
        <f>IF(C2="Oui module du CRM","",IF(C2="Oui existant","Quelle est la version/release de l'application ?",IF(C7="COTS","Quelle est la version/release qui sera implémentée ?","")))</f>
        <v/>
      </c>
      <c r="C10" s="20"/>
      <c r="D10" s="20"/>
      <c r="E10" s="12" t="str">
        <f>IF(TRIM(B10)="","",IF(TRIM(C10)="",0,1))</f>
        <v/>
      </c>
      <c r="G10" s="397"/>
      <c r="H10" s="397"/>
      <c r="I10" t="s">
        <v>780</v>
      </c>
      <c r="J10">
        <v>3</v>
      </c>
    </row>
    <row r="11" spans="1:11">
      <c r="B11" s="6" t="str">
        <f>IF(C2="Oui module du CRM","",IF(C2="Oui existant","Quelle est la dernière version de l'application ?",IF(C7="COTS","Quelle est la dernière version de cette nouvelle solution ?","")))</f>
        <v/>
      </c>
      <c r="C11" s="20"/>
      <c r="D11" s="20"/>
      <c r="E11" s="12" t="str">
        <f>IF(TRIM(B11)="","",IF(TRIM(C11)="",0,1))</f>
        <v/>
      </c>
      <c r="G11" s="397"/>
      <c r="H11" s="397"/>
      <c r="I11" t="s">
        <v>829</v>
      </c>
      <c r="J11">
        <v>3</v>
      </c>
      <c r="K11">
        <v>9</v>
      </c>
    </row>
    <row r="12" spans="1:11">
      <c r="B12" s="6" t="str">
        <f>IF(C2="Oui module du CRM","",IF(C2="Oui existant","Etes-vous au courant d’une évolution majeure en cours sur cette application",""))</f>
        <v/>
      </c>
      <c r="C12" s="20"/>
      <c r="D12" s="20"/>
      <c r="E12" s="12" t="str">
        <f>IF(TRIM(B12)="","",IF(TRIM(C12)="",0,1))</f>
        <v/>
      </c>
      <c r="G12" s="16"/>
      <c r="H12" s="16"/>
      <c r="I12" t="s">
        <v>819</v>
      </c>
      <c r="J12">
        <v>3</v>
      </c>
    </row>
    <row r="13" spans="1:11">
      <c r="B13" s="6" t="str">
        <f>IF(C2="Oui module du CRM","",IF(C2="Oui existant","Qui contrôle les évolutions sur cette Application ?",""))</f>
        <v/>
      </c>
      <c r="C13" s="20"/>
      <c r="D13" s="20"/>
      <c r="E13" s="12" t="str">
        <f>IF(TRIM(B13)="","",IF(TRIM(C13)="",0,1))</f>
        <v/>
      </c>
      <c r="G13" s="16"/>
      <c r="H13" s="16"/>
      <c r="I13" t="s">
        <v>830</v>
      </c>
      <c r="J13">
        <v>3</v>
      </c>
    </row>
    <row r="14" spans="1:11" s="9" customFormat="1" ht="26.1" customHeight="1">
      <c r="B14" s="6" t="str">
        <f>IF(C2="Oui module du CRM","",IF(C2="Oui existant","Quelle est la criticité de cette application ? combien de temps peut-on supporter son indisponibilité (colonne détail) ?","Quelle est la criticité de ce besoin ?"))</f>
        <v>Quelle est la criticité de ce besoin ?</v>
      </c>
      <c r="C14" s="20" t="s">
        <v>619</v>
      </c>
      <c r="D14" s="20"/>
      <c r="E14" s="12">
        <f>IF(TRIM(B14)="","",IF(TRIM(C14)="",0,1))</f>
        <v>1</v>
      </c>
      <c r="G14" s="16"/>
      <c r="H14" s="16"/>
      <c r="I14" t="s">
        <v>831</v>
      </c>
      <c r="J14">
        <v>3</v>
      </c>
      <c r="K14"/>
    </row>
    <row r="15" spans="1:11">
      <c r="B15" s="6" t="str">
        <f>IF(C2="Oui module du CRM","",IF(C7="COTS","Est-ce un module du CBS ou une  solution séparée?",""))</f>
        <v/>
      </c>
      <c r="C15" s="20"/>
      <c r="D15" s="20"/>
      <c r="E15" s="12" t="str">
        <f t="shared" si="0"/>
        <v/>
      </c>
      <c r="G15" s="16"/>
      <c r="H15" s="16"/>
    </row>
    <row r="16" spans="1:11">
      <c r="B16" s="6" t="str">
        <f>IF(C2="Oui module du CRM","",IF(C2="Oui existant","Quand l’application a-t-elle été implémentée ?",IF(AND(C7&lt;&gt;"Non prévu",C7&lt;&gt;""),"Quand l’application sera-t-elle implémentée ?","")))</f>
        <v/>
      </c>
      <c r="C16" s="20"/>
      <c r="D16" s="20"/>
      <c r="E16" s="12" t="str">
        <f t="shared" si="0"/>
        <v/>
      </c>
      <c r="G16" s="16" t="str">
        <f>IF(AND(TRIM(B16)&lt;&gt;"",TRIM(C16)&lt;&gt;""),IF(C16&gt;2024,0,IF((2024-C16)&gt;10,0,10-(2024-C16))),"")</f>
        <v/>
      </c>
      <c r="H16" s="16" t="str">
        <f>IF(AND(TRIM(B16)&lt;&gt;"",TRIM(C16)&lt;&gt;""),10,"")</f>
        <v/>
      </c>
    </row>
    <row r="17" spans="2:10">
      <c r="B17" s="6" t="str">
        <f>IF(C2="Oui module du CRM","",IF(C2="Oui existant","Qui l'a implémenté ?",IF(AND(C7&lt;&gt;"Non prévu",C7&lt;&gt;""),"Qui doit l'implémenter ?","")))</f>
        <v/>
      </c>
      <c r="C17" s="20"/>
      <c r="D17" s="20"/>
      <c r="E17" s="12" t="str">
        <f t="shared" si="0"/>
        <v/>
      </c>
      <c r="G17" s="16"/>
      <c r="H17" s="16"/>
    </row>
    <row r="18" spans="2:10" ht="42.95" customHeight="1">
      <c r="B18" s="6" t="str">
        <f>IF(C2="Oui existant","Quels sont les processus fonctionnels couverts ?",IF(AND(C7&lt;&gt;"Non prévu",C7&lt;&gt;""),"Quels sont les processus fonctionnels qui doivent être couverts ?",""))</f>
        <v/>
      </c>
      <c r="C18" s="20"/>
      <c r="D18" s="20"/>
      <c r="E18" s="12" t="str">
        <f t="shared" si="0"/>
        <v/>
      </c>
      <c r="G18" s="16">
        <v>0</v>
      </c>
      <c r="H18" s="16" t="str">
        <f>IF(AND(TRIM(B18)&lt;&gt;"",TRIM(C18)&lt;&gt;""),10,"")</f>
        <v/>
      </c>
    </row>
    <row r="19" spans="2:10">
      <c r="B19" s="6" t="str">
        <f>IF(C2="Oui existant","Est-ce que la solution est integrée au CBS ?",IF(AND(C7&lt;&gt;"Non prévu",C7&lt;&gt;""),"Est-ce que la solution sera integrée au CBS ?",""))</f>
        <v/>
      </c>
      <c r="C19" s="20"/>
      <c r="D19" s="20"/>
      <c r="E19" s="12" t="str">
        <f t="shared" ref="E19:E20" si="1">IF(TRIM(B19)="","",IF(TRIM(C19)="",0,1))</f>
        <v/>
      </c>
      <c r="G19" s="16" t="str">
        <f>IF(AND(TRIM(B19)&lt;&gt;"",TRIM(C19)&lt;&gt;""),IF(C19="Oui",10,0),"")</f>
        <v/>
      </c>
      <c r="H19" s="16" t="str">
        <f t="shared" ref="H19" si="2">IF(AND(TRIM(B19)&lt;&gt;"",TRIM(C19)&lt;&gt;""),10,"")</f>
        <v/>
      </c>
    </row>
    <row r="20" spans="2:10">
      <c r="B20" s="6" t="str">
        <f>IF(C19="Oui",IF(C2="Oui existant","Comment et quels sont les processus et données qui transitent ?",IF(AND(C7&lt;&gt;"Non prévu",C7&lt;&gt;""),"Comment et quels seront les processus et données qui vont transiter ?","")),"")</f>
        <v/>
      </c>
      <c r="C20" s="20"/>
      <c r="D20" s="20"/>
      <c r="E20" s="12" t="str">
        <f t="shared" si="1"/>
        <v/>
      </c>
      <c r="G20" s="16"/>
      <c r="H20" s="16"/>
    </row>
    <row r="21" spans="2:10">
      <c r="B21" s="6" t="str">
        <f>IF(C2="Oui module du CRM","",IF(C2="Oui existant","Quel est le niveau de personnalisation de l’Application ?",IF(C7="COTS","Quel est le niveau de personnalisation prévu de l’Application ?","")))</f>
        <v/>
      </c>
      <c r="C21" s="20"/>
      <c r="D21" s="20"/>
      <c r="E21" s="12" t="str">
        <f t="shared" si="0"/>
        <v/>
      </c>
      <c r="G21" s="16" t="str">
        <f>IF(AND(TRIM(B21)&lt;&gt;"",TRIM(C21)&lt;&gt;""),IF(ISNA(VLOOKUP(C21,I23:J25,2,0)),1,VLOOKUP(C21,I23:J25,2,0)),"")</f>
        <v/>
      </c>
      <c r="H21" s="16" t="str">
        <f>IF(AND(TRIM(B21)&lt;&gt;"",TRIM(C21)&lt;&gt;""),10,"")</f>
        <v/>
      </c>
      <c r="I21" t="s">
        <v>749</v>
      </c>
      <c r="J21">
        <v>0</v>
      </c>
    </row>
    <row r="22" spans="2:10">
      <c r="B22" s="6" t="str">
        <f>IF(C2="Oui module du CRM","",IF(C2="Oui existant","Quelle(s) technologie(s) sous-jacente(s) ?",""))</f>
        <v/>
      </c>
      <c r="C22" s="20"/>
      <c r="D22" s="20"/>
      <c r="E22" s="12" t="str">
        <f t="shared" si="0"/>
        <v/>
      </c>
      <c r="G22" s="16"/>
      <c r="H22" s="16"/>
      <c r="I22" t="s">
        <v>728</v>
      </c>
      <c r="J22">
        <v>2</v>
      </c>
    </row>
    <row r="23" spans="2:10">
      <c r="B23" s="6" t="str">
        <f>IF(C2="Oui module du CRM","",IF(C2="Oui existant","Est-ce que cette solution dispose d'une interface Mobile ?",IF(AND(C7&lt;&gt;"Non prévu",C7&lt;&gt;""),"Est-ce que cette solution disposera d'une interface Mobile ?","")))</f>
        <v/>
      </c>
      <c r="C23" s="20"/>
      <c r="D23" s="20"/>
      <c r="E23" s="12" t="str">
        <f t="shared" si="0"/>
        <v/>
      </c>
      <c r="G23" s="16" t="str">
        <f>IF(AND(TRIM(B23)&lt;&gt;"",TRIM(C23)&lt;&gt;""),IF(C23="Oui",3,0),"")</f>
        <v/>
      </c>
      <c r="H23" s="16" t="str">
        <f>IF(AND(TRIM(B23)&lt;&gt;"",TRIM(C23)&lt;&gt;""),3,"")</f>
        <v/>
      </c>
      <c r="I23" t="s">
        <v>619</v>
      </c>
      <c r="J23">
        <v>4</v>
      </c>
    </row>
    <row r="24" spans="2:10">
      <c r="B24" s="6" t="str">
        <f>IF(AND(C7&lt;&gt;"Non prévu",C7&lt;&gt;""),IF(C23="Oui","Dispose-t-elle d'une version smartphone ou tablette ou les 2  ?",""),"")</f>
        <v/>
      </c>
      <c r="C24" s="22"/>
      <c r="D24" s="20"/>
      <c r="E24" s="12" t="str">
        <f t="shared" si="0"/>
        <v/>
      </c>
      <c r="G24" s="16"/>
      <c r="H24" s="16"/>
      <c r="I24" t="s">
        <v>781</v>
      </c>
      <c r="J24">
        <v>6</v>
      </c>
    </row>
    <row r="25" spans="2:10" ht="24.6" customHeight="1">
      <c r="B25" s="6" t="str">
        <f>IF(C2="Oui module du CRM","",IF(C2="Oui existant","Est-ce qu'il est prévu de remplacer cette solution par une autre ? Si oui, veuillez mettre le nom de la nouvelle solution et la période prévue dans la colonne détails",""))</f>
        <v/>
      </c>
      <c r="C25" s="20"/>
      <c r="D25" s="20"/>
      <c r="E25" s="12" t="str">
        <f t="shared" si="0"/>
        <v/>
      </c>
      <c r="G25" s="16"/>
      <c r="H25" s="16"/>
      <c r="I25" t="s">
        <v>782</v>
      </c>
      <c r="J25">
        <v>10</v>
      </c>
    </row>
    <row r="26" spans="2:10">
      <c r="B26" s="6" t="str">
        <f>IF(C2="Oui module du CRM","",IF(C2="Oui existant","Quel est le nombre d’utilisateurs finaux de cette application ?",IF(AND(C7&lt;&gt;"Non prévu",C7&lt;&gt;""),"Quel est le nombre d’utilisateurs finaux prévus pour cette application ?","")))</f>
        <v/>
      </c>
      <c r="C26" s="59"/>
      <c r="D26" s="20"/>
      <c r="E26" s="12" t="str">
        <f t="shared" si="0"/>
        <v/>
      </c>
      <c r="G26" s="16"/>
      <c r="H26" s="16"/>
    </row>
    <row r="27" spans="2:10">
      <c r="B27" s="6" t="str">
        <f>IF(C2="Oui module du CRM","",IF(C2="Oui existant","Y a-t-il des utilisateurs du Groupe sur les activités de la filiale ?",""))</f>
        <v/>
      </c>
      <c r="C27" s="20"/>
      <c r="D27" s="20"/>
      <c r="E27" s="12" t="str">
        <f t="shared" si="0"/>
        <v/>
      </c>
      <c r="G27" s="16"/>
      <c r="H27" s="16"/>
    </row>
    <row r="28" spans="2:10">
      <c r="B28" s="6" t="str">
        <f>IF(C2="Oui module du CRM","",IF(C27="Oui","Quel est le ratio  ?",""))</f>
        <v/>
      </c>
      <c r="C28" s="20"/>
      <c r="D28" s="20"/>
      <c r="E28" s="12" t="str">
        <f t="shared" si="0"/>
        <v/>
      </c>
      <c r="G28" s="16"/>
      <c r="H28" s="16"/>
    </row>
    <row r="29" spans="2:10">
      <c r="B29" s="6" t="str">
        <f>IF(C2="Oui module du CRM","",IF(C2="Oui existant","Quels ont été les acquisitions de licences détaillées (nombre, date, coût) ?",""))</f>
        <v/>
      </c>
      <c r="C29" s="20"/>
      <c r="D29" s="20"/>
      <c r="E29" s="12" t="str">
        <f t="shared" si="0"/>
        <v/>
      </c>
      <c r="G29" s="16"/>
      <c r="H29" s="16"/>
    </row>
    <row r="30" spans="2:10">
      <c r="B30" s="6" t="str">
        <f>IF(C2="Oui module du CRM","",IF(C2="Oui existant","Quel est le nombre actuel de licences détenues par la filiale?",IF(C7="COTS","Combien de licences projettez-vous d'acquérir ?","")))</f>
        <v/>
      </c>
      <c r="C30" s="20"/>
      <c r="D30" s="20"/>
      <c r="E30" s="12" t="str">
        <f t="shared" si="0"/>
        <v/>
      </c>
      <c r="G30" s="16"/>
      <c r="H30" s="16"/>
    </row>
    <row r="31" spans="2:10">
      <c r="B31" s="6" t="str">
        <f>IF(C2="Oui module du CRM","",IF(C2="Oui existant","Quel type de licences (nominatives/partagées) ?",IF(C7="COTS","Est-ce que ce sera des licences nominatives ou partagées ?","")))</f>
        <v/>
      </c>
      <c r="C31" s="20"/>
      <c r="D31" s="20"/>
      <c r="E31" s="12" t="str">
        <f t="shared" si="0"/>
        <v/>
      </c>
      <c r="G31" s="16"/>
      <c r="H31" s="16"/>
    </row>
    <row r="32" spans="2:10" ht="36.6" customHeight="1">
      <c r="B32" s="6" t="str">
        <f>IF(C2="Oui module du CRM","",IF(C2="Oui existant","Des licences supplémentaires sont-elles nécessaires pour l'utilisation de l'application (outil supplémentaire, interfaces, modules complémentaires, …) ? Par module / par utilisateur ?",IF(C7="COTS","Est-ce que vous projettez d'acquérir d'autres licences dans un second temps ? combien et quand ?","")))</f>
        <v/>
      </c>
      <c r="C32" s="20"/>
      <c r="D32" s="21"/>
      <c r="E32" s="12" t="str">
        <f t="shared" si="0"/>
        <v/>
      </c>
      <c r="G32" s="16"/>
      <c r="H32" s="16"/>
    </row>
    <row r="33" spans="2:8">
      <c r="B33" s="6" t="str">
        <f>IF(C2="Oui module du CRM","",IF(C2="Oui existant","Quel est le coût du support éditeur ?",IF(C7="COTS","Quel sera le coût du support éditeur ?","")))</f>
        <v/>
      </c>
      <c r="C33" s="20"/>
      <c r="D33" s="20"/>
      <c r="E33" s="12" t="str">
        <f t="shared" si="0"/>
        <v/>
      </c>
      <c r="G33" s="16"/>
      <c r="H33" s="16"/>
    </row>
    <row r="34" spans="2:8">
      <c r="B34" s="6" t="str">
        <f>IF(C2="Oui module du CRM","",IF(C2="Oui existant","Existe-t-il un contrat de support avec un fournisseur ou un partenaire ? Pouvez-vous le partager ?",""))</f>
        <v/>
      </c>
      <c r="C34" s="20"/>
      <c r="D34" s="20"/>
      <c r="E34" s="12" t="str">
        <f t="shared" si="0"/>
        <v/>
      </c>
      <c r="G34" s="16" t="str">
        <f>IF(AND(TRIM(B34)&lt;&gt;"",TRIM(C34)&lt;&gt;""),IF(C34="Oui",5,0),"")</f>
        <v/>
      </c>
      <c r="H34" s="16" t="str">
        <f>IF(AND(TRIM(B34)&lt;&gt;"",TRIM(C34)&lt;&gt;""),5,"")</f>
        <v/>
      </c>
    </row>
    <row r="35" spans="2:8">
      <c r="B35" s="6" t="str">
        <f>IF(C2="Oui module du CRM","",IF(C2="Oui existant","Le contrat est-il global couvrant plusieurs filiales ou dédié à la filiale ?",IF(C7="COTS","Projettez-vous une acquisition individuelle ou groupe ?","")))</f>
        <v/>
      </c>
      <c r="C35" s="20"/>
      <c r="D35" s="20"/>
      <c r="E35" s="12" t="str">
        <f t="shared" si="0"/>
        <v/>
      </c>
      <c r="G35" s="16"/>
      <c r="H35" s="16"/>
    </row>
    <row r="36" spans="2:8" ht="15.95" customHeight="1">
      <c r="B36" s="6" t="str">
        <f>IF(C2="Oui module du CRM","",IF(C2="Oui existant","Le contrat comprend-il un SLA formel ? Cela inclut-il un engagement de performance ?",""))</f>
        <v/>
      </c>
      <c r="C36" s="20"/>
      <c r="D36" s="20"/>
      <c r="E36" s="12" t="str">
        <f>IF(TRIM(B36)="","",IF(TRIM(C36)="",0,1))</f>
        <v/>
      </c>
      <c r="G36" s="16" t="str">
        <f>IF(AND(TRIM(B36)&lt;&gt;"",TRIM(C36)&lt;&gt;""),IF(C36="Oui et oui",5,IF(C36="Oui et non",3,0)),"")</f>
        <v/>
      </c>
      <c r="H36" s="16" t="str">
        <f>IF(AND(TRIM(B36)&lt;&gt;"",TRIM(C36)&lt;&gt;""),5,"")</f>
        <v/>
      </c>
    </row>
    <row r="37" spans="2:8" ht="39.950000000000003" customHeight="1">
      <c r="B37" s="6" t="str">
        <f>IF(C2="Oui existant","Combien de ETP internes sont dédiés aux support (Niveaux 1, 2 et 3) de cette solution ?
Veuillez décrire dans la colonne détail de quelle entité sont-ils (Holding ou pays), la répartition des principales activités, les compétences et les rôles",IF(AND(C7&lt;&gt;"Non prévu",C7&lt;&gt;""),"Combien de ETP internes projettez-vous de dédier aux support (Niveaux 1, 2 et 3) de cette solution ?",""))</f>
        <v/>
      </c>
      <c r="C37" s="20"/>
      <c r="D37" s="21"/>
      <c r="E37" s="12" t="str">
        <f t="shared" si="0"/>
        <v/>
      </c>
      <c r="G37" s="16"/>
      <c r="H37" s="16"/>
    </row>
    <row r="38" spans="2:8" ht="51" customHeight="1">
      <c r="B38" s="6" t="str">
        <f>IF(C2="Oui existant","Combien de ETP internes sont dédiés aux changes opérés sur cette solution (incluant Dev, Config, Mise en prod) ?
Veuillez décrire dans la col. détail de quelle entité sont-ils (Holding ou pays), la répartition des activités, les compétences et les rôles",IF(AND(C7&lt;&gt;"Non prévu",C7&lt;&gt;""),"Combien de ETP internes projettez-vous de dédier aux futurs changes sur cette solution (incluant Dev, Config, Mise en prod) ?",""))</f>
        <v/>
      </c>
      <c r="C38" s="20"/>
      <c r="D38" s="21"/>
      <c r="E38" s="12" t="str">
        <f t="shared" si="0"/>
        <v/>
      </c>
      <c r="G38" s="16"/>
      <c r="H38" s="16"/>
    </row>
    <row r="39" spans="2:8">
      <c r="B39" s="6" t="str">
        <f>IF(C2="Oui existant","Qui administre cette solution et apporte le support aux utilisateurs l'IT Groupe, l'IT local ou les 2 ?",IF(AND(C7&lt;&gt;"Non prévu",C7&lt;&gt;""),"Qui va administrer cette solution et apporter le support aux utilisateurs: l'IT Groupe, l'IT local ou les 2 ?",""))</f>
        <v/>
      </c>
      <c r="C39" s="20"/>
      <c r="D39" s="20"/>
      <c r="E39" s="12" t="str">
        <f t="shared" si="0"/>
        <v/>
      </c>
      <c r="G39" s="16"/>
      <c r="H39" s="16"/>
    </row>
    <row r="40" spans="2:8" ht="26.45" customHeight="1">
      <c r="B40" s="6" t="str">
        <f>IF(C39="Les 2","A quelle proportion chacun ? et existe-t-il un SLA interne entre Group IT et la filiale ? S'il existe, pouvez-vous le partager
vous pouvez décrire dans la partie détails les responsabilités de chaque partie","")</f>
        <v/>
      </c>
      <c r="C40" s="20"/>
      <c r="D40" s="21"/>
      <c r="E40" s="12" t="str">
        <f t="shared" si="0"/>
        <v/>
      </c>
      <c r="G40" s="16"/>
      <c r="H40" s="16"/>
    </row>
    <row r="41" spans="2:8">
      <c r="B41" s="6" t="str">
        <f>IF(C2="Oui module du CRM","",IF(C2="Oui existant","Avez-vous un historique des KPI pour la disponibilité et le support de cette application ? Si oui, pouvez-vous les partager",""))</f>
        <v/>
      </c>
      <c r="C41" s="20"/>
      <c r="D41" s="20"/>
      <c r="E41" s="12" t="str">
        <f t="shared" si="0"/>
        <v/>
      </c>
      <c r="G41" s="16" t="str">
        <f>IF(AND(TRIM(B41)&lt;&gt;"",TRIM(C41)&lt;&gt;""),IF(C41="Oui",3,0),"")</f>
        <v/>
      </c>
      <c r="H41" s="16" t="str">
        <f>IF(AND(TRIM(B41)&lt;&gt;"",TRIM(C41)&lt;&gt;""),3,"")</f>
        <v/>
      </c>
    </row>
    <row r="42" spans="2:8">
      <c r="B42" s="6" t="str">
        <f>IF(C2="Oui module du CRM","",IF(C2="Oui existant","Existe-t-il un processus de suivi des contrats groupe et tiers ?",""))</f>
        <v/>
      </c>
      <c r="C42" s="20"/>
      <c r="D42" s="20"/>
      <c r="E42" s="12" t="str">
        <f t="shared" si="0"/>
        <v/>
      </c>
      <c r="G42" s="16" t="str">
        <f>IF(AND(TRIM(B42)&lt;&gt;"",TRIM(C42)&lt;&gt;""),IF(C42="Oui",3,0),"")</f>
        <v/>
      </c>
      <c r="H42" s="16" t="str">
        <f>IF(AND(TRIM(B42)&lt;&gt;"",TRIM(C42)&lt;&gt;""),3,"")</f>
        <v/>
      </c>
    </row>
    <row r="43" spans="2:8">
      <c r="B43" s="6" t="str">
        <f>IF(C2="Oui module du CRM","",IF(C2="Oui existant","L'application est-elle installée sur site ou utilisée sur le Cloud (SaaS) ?",IF(AND(C7&lt;&gt;"Non prévu",C7&lt;&gt;""),"La nouvelle solution sera-t-elle installée sur site ou utilisée sur le Cloud (SaaS) ?","")))</f>
        <v/>
      </c>
      <c r="C43" s="20"/>
      <c r="D43" s="20"/>
      <c r="E43" s="12" t="str">
        <f t="shared" si="0"/>
        <v/>
      </c>
      <c r="G43" s="16" t="str">
        <f>IF(AND(TRIM(B43)&lt;&gt;"",TRIM(C43)&lt;&gt;""),IF(C43="Cloud",3,1),"")</f>
        <v/>
      </c>
      <c r="H43" s="16" t="str">
        <f>IF(AND(TRIM(B43)&lt;&gt;"",TRIM(C43)&lt;&gt;""),3,"")</f>
        <v/>
      </c>
    </row>
    <row r="44" spans="2:8">
      <c r="B44" s="6" t="str">
        <f>IF(C2="Oui module du CRM","",IF(AND(C43="Cloud",C7="COTS"),"Si c'est sur le Cloud, est-ce entièrement SaaS ou Infra gérée par l'équipe locale ?",""))</f>
        <v/>
      </c>
      <c r="C44" s="22"/>
      <c r="D44" s="20"/>
      <c r="E44" s="12" t="str">
        <f t="shared" si="0"/>
        <v/>
      </c>
      <c r="G44" s="16"/>
      <c r="H44" s="16"/>
    </row>
    <row r="45" spans="2:8">
      <c r="B45" s="6" t="str">
        <f>IF(C2="Oui module du CRM","",IF(C2="Oui existant","S'agit-il d'une architecture Client/Serveur à 3 niveaux ? Décrivez s'il vous plait",""))</f>
        <v/>
      </c>
      <c r="C45" s="20"/>
      <c r="D45" s="21"/>
      <c r="E45" s="12" t="str">
        <f t="shared" si="0"/>
        <v/>
      </c>
      <c r="G45" s="16"/>
      <c r="H45" s="16"/>
    </row>
    <row r="46" spans="2:8">
      <c r="B46" s="6" t="str">
        <f>IF(C2="Oui module du CRM","",IF(C43="On-site","Comment sont acquis les serveurs (achat/location/sous-traitance) ?",""))</f>
        <v/>
      </c>
      <c r="C46" s="22"/>
      <c r="D46" s="20"/>
      <c r="E46" s="12" t="str">
        <f t="shared" si="0"/>
        <v/>
      </c>
      <c r="G46" s="16"/>
      <c r="H46" s="16"/>
    </row>
    <row r="47" spans="2:8">
      <c r="B47" s="6" t="str">
        <f>IF(C2="Oui module du CRM","",IF(C2="Oui existant","Où sont installés les serveurs ?",""))</f>
        <v/>
      </c>
      <c r="C47" s="22"/>
      <c r="D47" s="20"/>
      <c r="E47" s="12" t="str">
        <f t="shared" si="0"/>
        <v/>
      </c>
      <c r="G47" s="16"/>
      <c r="H47" s="16"/>
    </row>
    <row r="48" spans="2:8">
      <c r="B48" s="6" t="str">
        <f>IF(C2="Oui module du CRM","",IF(C2="Oui existant","Sur quels systèmes (versions) cette application s'exécute-t-elle ?",IF(AND(C7&lt;&gt;"Non prévu",C7&lt;&gt;""),"Sur quels systèmes (versions) cette application sera-t-elle implémentée ?","")))</f>
        <v/>
      </c>
      <c r="C48" s="22"/>
      <c r="D48" s="20"/>
      <c r="E48" s="12" t="str">
        <f t="shared" si="0"/>
        <v/>
      </c>
      <c r="G48" s="16"/>
      <c r="H48" s="16"/>
    </row>
    <row r="49" spans="2:8">
      <c r="B49" s="6" t="str">
        <f>IF(C2="Oui module du CRM","",IF(C2="Oui existant","Sur quelle base de données cette application tourne-t-elle ?",IF(AND(C7&lt;&gt;"Non prévu",C7&lt;&gt;""),"Sur quelle base de données cette application tournera-t-elle ?","")))</f>
        <v/>
      </c>
      <c r="C49" s="22"/>
      <c r="D49" s="20"/>
      <c r="E49" s="12" t="str">
        <f t="shared" si="0"/>
        <v/>
      </c>
      <c r="G49" s="16"/>
      <c r="H49" s="16"/>
    </row>
    <row r="50" spans="2:8">
      <c r="B50" s="6" t="str">
        <f>IF(C2="Oui module du CRM","",IF(C2="Oui existant","Existe-t-il une architecture haute disponibilité (réplication) ?",IF(AND(C7&lt;&gt;"Non prévu",C7&lt;&gt;""),"Est-ce qu'il est prévu une architecture haute disponibilité (réplication) ?","")))</f>
        <v/>
      </c>
      <c r="C50" s="22"/>
      <c r="D50" s="20"/>
      <c r="E50" s="12" t="str">
        <f t="shared" si="0"/>
        <v/>
      </c>
      <c r="G50" s="16" t="str">
        <f>IF(AND(TRIM(B50)&lt;&gt;"",TRIM(C50)&lt;&gt;""),IF(C50="Oui",5,0),"")</f>
        <v/>
      </c>
      <c r="H50" s="16" t="str">
        <f t="shared" ref="H50:H52" si="3">IF(AND(TRIM(B50)&lt;&gt;"",TRIM(C50)&lt;&gt;""),5,"")</f>
        <v/>
      </c>
    </row>
    <row r="51" spans="2:8">
      <c r="B51" s="6" t="str">
        <f>IF(C2="Oui module du CRM","",IF(C50="Oui","Entièrement ou partiellement ? Actif-Actif ou Actif-Passif ?",""))</f>
        <v/>
      </c>
      <c r="C51" s="22"/>
      <c r="D51" s="20"/>
      <c r="E51" s="12" t="str">
        <f t="shared" si="0"/>
        <v/>
      </c>
      <c r="G51" s="16"/>
      <c r="H51" s="16"/>
    </row>
    <row r="52" spans="2:8">
      <c r="B52" s="6" t="str">
        <f>IF(C2="Oui module du CRM","",IF(C2="Oui existant","Existe-t-il un plan de récupération pour cette application ?",""))</f>
        <v/>
      </c>
      <c r="C52" s="22"/>
      <c r="D52" s="20"/>
      <c r="E52" s="12" t="str">
        <f t="shared" si="0"/>
        <v/>
      </c>
      <c r="G52" s="16" t="str">
        <f>IF(AND(TRIM(B52)&lt;&gt;"",TRIM(C52)&lt;&gt;""),IF(C52="Oui",5,0),"")</f>
        <v/>
      </c>
      <c r="H52" s="16" t="str">
        <f t="shared" si="3"/>
        <v/>
      </c>
    </row>
    <row r="53" spans="2:8">
      <c r="B53" s="6" t="str">
        <f>IF(C2="Oui module du CRM","",IF(C2="Oui existant","Qui gère les données de la base de données ?",IF(AND(C7&lt;&gt;"Non prévu",C7&lt;&gt;""),"Qui va gèrer les données de la base de données ?","")))</f>
        <v/>
      </c>
      <c r="C53" s="22"/>
      <c r="D53" s="20"/>
      <c r="E53" s="12" t="str">
        <f t="shared" si="0"/>
        <v/>
      </c>
      <c r="G53" s="16"/>
      <c r="H53" s="16"/>
    </row>
    <row r="54" spans="2:8" ht="40.5" customHeight="1">
      <c r="B54" s="6" t="str">
        <f>IF(C2="Oui module du CRM","",IF(C2="Oui existant","Quelles sont les interfaces existantes de cette application ? Veuillez décrire et partager tout document d'architecture",IF(AND(C7&lt;&gt;"Non prévu",C7&lt;&gt;""),"Quelles sont les interfaces prévues ? Veuillez décrire et partager tout document d'architecture cible","")))</f>
        <v/>
      </c>
      <c r="C54" s="20"/>
      <c r="D54" s="21"/>
      <c r="E54" s="12" t="str">
        <f t="shared" si="0"/>
        <v/>
      </c>
      <c r="G54" s="16"/>
      <c r="H54" s="16"/>
    </row>
    <row r="55" spans="2:8" ht="40.5" customHeight="1">
      <c r="B55" s="6" t="str">
        <f>IF(C2="Oui module du CRM","",IF(C2="Oui existant","L'application est-elle complètement en temps réel ou y'a-t-il des batchs la nuit ? Décrivez s'il vous plait",IF(AND(C7&lt;&gt;"Non prévu",C7&lt;&gt;""),"L'application sera-t-elle complètement en temps réel ou y'aura-t-il des batchs la nuit ? Décrivez s'il vous plait","")))</f>
        <v/>
      </c>
      <c r="C55" s="20"/>
      <c r="D55" s="21"/>
      <c r="E55" s="12" t="str">
        <f t="shared" si="0"/>
        <v/>
      </c>
      <c r="G55" s="16"/>
      <c r="H55" s="16"/>
    </row>
    <row r="56" spans="2:8">
      <c r="B56" s="6" t="str">
        <f>IF(C2="Oui module du CRM","",IF(C2="Oui existant","Avez-vous connaissance d'un quelconque problème potentiel lié à la continuité de cette application (par exemple départ ou indisponibilité des ressources clés, fin de support, bug critique, ...), si oui lequel dans détails ?",""))</f>
        <v/>
      </c>
      <c r="C56" s="22"/>
      <c r="D56" s="20"/>
      <c r="E56" s="12" t="str">
        <f t="shared" si="0"/>
        <v/>
      </c>
      <c r="G56" s="16" t="str">
        <f>IF(AND(TRIM(B56)&lt;&gt;"",TRIM(C56)&lt;&gt;""),IF(C56="Oui",0,10),"")</f>
        <v/>
      </c>
      <c r="H56" s="16" t="str">
        <f>IF(AND(TRIM(B56)&lt;&gt;"",TRIM(C56)&lt;&gt;""),10,"")</f>
        <v/>
      </c>
    </row>
    <row r="57" spans="2:8">
      <c r="B57" s="6" t="str">
        <f>IF(C2="Oui module du CRM","",IF(C2="Oui existant","Est-ce que des sauvegardes sont réalisées régulièrement ?",IF(AND(C7&lt;&gt;"Non prévu",C7&lt;&gt;""),"Est-ce que des sauvegardes sont prévus dès l'implémentation ?","")))</f>
        <v/>
      </c>
      <c r="C57" s="22"/>
      <c r="D57" s="20"/>
      <c r="E57" s="12" t="str">
        <f t="shared" si="0"/>
        <v/>
      </c>
      <c r="G57" s="16" t="str">
        <f>IF(AND(TRIM(B57)&lt;&gt;"",TRIM(C57)&lt;&gt;""),IF(C57="Oui",5,0),"")</f>
        <v/>
      </c>
      <c r="H57" s="16" t="str">
        <f t="shared" ref="H57" si="4">IF(AND(TRIM(B57)&lt;&gt;"",TRIM(C57)&lt;&gt;""),5,"")</f>
        <v/>
      </c>
    </row>
    <row r="58" spans="2:8">
      <c r="B58" s="6" t="str">
        <f>IF(C2="Oui module du CRM","",IF(C57="Oui","A quelle fréquence sont-elles exécutées?",""))</f>
        <v/>
      </c>
      <c r="C58" s="22"/>
      <c r="D58" s="20"/>
      <c r="E58" s="12" t="str">
        <f t="shared" si="0"/>
        <v/>
      </c>
      <c r="G58" s="16"/>
      <c r="H58" s="16"/>
    </row>
    <row r="59" spans="2:8">
      <c r="B59" s="6" t="str">
        <f>IF(C2="Oui module du CRM","",IF(C57="Oui","Avez-vous une politique de rétention en place ? Si oui, pouvez-vous me la partager?",""))</f>
        <v/>
      </c>
      <c r="C59" s="22"/>
      <c r="D59" s="20"/>
      <c r="E59" s="12" t="str">
        <f t="shared" si="0"/>
        <v/>
      </c>
      <c r="G59" s="16"/>
      <c r="H59" s="16"/>
    </row>
    <row r="60" spans="2:8">
      <c r="B60" s="6" t="str">
        <f>IF(C2="Oui module du CRM","",IF(C57="Oui","Quelle est la solution de sauvegarde/récupération utilisée ?",""))</f>
        <v/>
      </c>
      <c r="C60" s="22"/>
      <c r="D60" s="20"/>
      <c r="E60" s="12" t="str">
        <f t="shared" si="0"/>
        <v/>
      </c>
      <c r="G60" s="16"/>
      <c r="H60" s="16"/>
    </row>
    <row r="61" spans="2:8">
      <c r="B61" s="6" t="str">
        <f>IF(C2="Oui module du CRM","",IF(C57="Oui","Quelle est la taille totale estimée des sauvegardes ?",""))</f>
        <v/>
      </c>
      <c r="C61" s="22"/>
      <c r="D61" s="20"/>
      <c r="E61" s="12" t="str">
        <f t="shared" si="0"/>
        <v/>
      </c>
      <c r="G61" s="16"/>
      <c r="H61" s="16"/>
    </row>
    <row r="62" spans="2:8">
      <c r="G62" s="16">
        <f>SUM(G3:G61)</f>
        <v>0</v>
      </c>
      <c r="H62" s="16">
        <f>SUM(H3:H61)</f>
        <v>5</v>
      </c>
    </row>
    <row r="63" spans="2:8">
      <c r="G63" s="16"/>
    </row>
    <row r="64" spans="2:8">
      <c r="G64" s="16"/>
    </row>
    <row r="65" spans="7:7">
      <c r="G65" s="16"/>
    </row>
    <row r="66" spans="7:7">
      <c r="G66" s="16"/>
    </row>
    <row r="67" spans="7:7">
      <c r="G67" s="16"/>
    </row>
    <row r="123" spans="1:1">
      <c r="A123" t="s">
        <v>223</v>
      </c>
    </row>
  </sheetData>
  <sheetProtection formatRows="0"/>
  <mergeCells count="3">
    <mergeCell ref="A1:B1"/>
    <mergeCell ref="G9:G11"/>
    <mergeCell ref="H9:H11"/>
  </mergeCells>
  <conditionalFormatting sqref="B7:B61">
    <cfRule type="containsBlanks" dxfId="461" priority="5">
      <formula>LEN(TRIM(B7))=0</formula>
    </cfRule>
  </conditionalFormatting>
  <conditionalFormatting sqref="C7:C36">
    <cfRule type="expression" dxfId="460" priority="10">
      <formula>AND($B7&lt;&gt;"",$C7="")</formula>
    </cfRule>
  </conditionalFormatting>
  <conditionalFormatting sqref="C37:C38">
    <cfRule type="expression" dxfId="459" priority="23">
      <formula>AND($B37&lt;&gt;"",$C37="")</formula>
    </cfRule>
  </conditionalFormatting>
  <conditionalFormatting sqref="C39">
    <cfRule type="expression" dxfId="458" priority="6">
      <formula>AND($B39&lt;&gt;"",$C39="")</formula>
    </cfRule>
  </conditionalFormatting>
  <conditionalFormatting sqref="C41:C61">
    <cfRule type="expression" dxfId="457" priority="27">
      <formula>AND($B41&lt;&gt;"",$C41="")</formula>
    </cfRule>
  </conditionalFormatting>
  <conditionalFormatting sqref="C7:D38">
    <cfRule type="expression" dxfId="456" priority="14">
      <formula>$B7=""</formula>
    </cfRule>
  </conditionalFormatting>
  <conditionalFormatting sqref="C39:D43">
    <cfRule type="expression" dxfId="455" priority="1">
      <formula>$B39=""</formula>
    </cfRule>
  </conditionalFormatting>
  <conditionalFormatting sqref="C44:D44">
    <cfRule type="expression" dxfId="454" priority="35">
      <formula>$B44=""</formula>
    </cfRule>
  </conditionalFormatting>
  <conditionalFormatting sqref="C45:D45">
    <cfRule type="expression" dxfId="453" priority="19">
      <formula>$B45=""</formula>
    </cfRule>
  </conditionalFormatting>
  <conditionalFormatting sqref="C46:D53">
    <cfRule type="expression" dxfId="452" priority="40">
      <formula>$B46=""</formula>
    </cfRule>
  </conditionalFormatting>
  <conditionalFormatting sqref="C54:D61">
    <cfRule type="expression" dxfId="451" priority="17">
      <formula>$B54=""</formula>
    </cfRule>
  </conditionalFormatting>
  <conditionalFormatting sqref="D32">
    <cfRule type="containsBlanks" dxfId="450" priority="38">
      <formula>LEN(TRIM(D32))=0</formula>
    </cfRule>
  </conditionalFormatting>
  <conditionalFormatting sqref="D37:D38">
    <cfRule type="containsBlanks" dxfId="449" priority="22">
      <formula>LEN(TRIM(D37))=0</formula>
    </cfRule>
  </conditionalFormatting>
  <conditionalFormatting sqref="D40">
    <cfRule type="containsBlanks" dxfId="448" priority="2">
      <formula>LEN(TRIM(D40))=0</formula>
    </cfRule>
  </conditionalFormatting>
  <conditionalFormatting sqref="D45">
    <cfRule type="containsBlanks" dxfId="447" priority="20">
      <formula>LEN(TRIM(D45))=0</formula>
    </cfRule>
  </conditionalFormatting>
  <conditionalFormatting sqref="D54:D55">
    <cfRule type="containsBlanks" dxfId="446" priority="18">
      <formula>LEN(TRIM(D54))=0</formula>
    </cfRule>
  </conditionalFormatting>
  <dataValidations count="14">
    <dataValidation type="list" allowBlank="1" showInputMessage="1" showErrorMessage="1" sqref="C36" xr:uid="{00000000-0002-0000-0F00-000000000000}">
      <formula1>"Oui et oui,Oui et non,Non pour les 2"</formula1>
    </dataValidation>
    <dataValidation type="list" allowBlank="1" showInputMessage="1" showErrorMessage="1" sqref="C46" xr:uid="{00000000-0002-0000-0F00-000001000000}">
      <formula1>"Achat,Location,Sous-traitance"</formula1>
    </dataValidation>
    <dataValidation type="list" allowBlank="1" showInputMessage="1" showErrorMessage="1" sqref="C44" xr:uid="{00000000-0002-0000-0F00-000002000000}">
      <formula1>"SaaS,Infra gérée"</formula1>
    </dataValidation>
    <dataValidation type="list" allowBlank="1" showInputMessage="1" showErrorMessage="1" sqref="C43" xr:uid="{00000000-0002-0000-0F00-000003000000}">
      <formula1>"On-site,Cloud"</formula1>
    </dataValidation>
    <dataValidation type="list" allowBlank="1" showInputMessage="1" showErrorMessage="1" sqref="C35:C36" xr:uid="{00000000-0002-0000-0F00-000004000000}">
      <formula1>"Global,Dédié"</formula1>
    </dataValidation>
    <dataValidation type="list" allowBlank="1" showInputMessage="1" showErrorMessage="1" sqref="C31" xr:uid="{00000000-0002-0000-0F00-000005000000}">
      <formula1>"Nominatives,Partagées,NA"</formula1>
    </dataValidation>
    <dataValidation type="list" allowBlank="1" showInputMessage="1" showErrorMessage="1" sqref="C27 C34 C56:C57 C50 C52 C12 C45 C59 C19 C25 C23 C41:C42" xr:uid="{00000000-0002-0000-0F00-000006000000}">
      <formula1>"Oui,Non"</formula1>
    </dataValidation>
    <dataValidation type="list" allowBlank="1" showInputMessage="1" showErrorMessage="1" sqref="C14" xr:uid="{00000000-0002-0000-0F00-000007000000}">
      <formula1>"Primoridal,Critique,Moyen,Faible"</formula1>
    </dataValidation>
    <dataValidation type="list" allowBlank="1" showInputMessage="1" showErrorMessage="1" sqref="C21" xr:uid="{00000000-0002-0000-0F00-000008000000}">
      <formula1>"Très haut,Haut,Moyen,Faible, Inexistant"</formula1>
    </dataValidation>
    <dataValidation type="list" allowBlank="1" showInputMessage="1" showErrorMessage="1" sqref="C2" xr:uid="{00000000-0002-0000-0F00-000009000000}">
      <formula1>"Oui existant,Oui module du CRM,Non existant"</formula1>
    </dataValidation>
    <dataValidation type="list" allowBlank="1" showInputMessage="1" showErrorMessage="1" sqref="C15" xr:uid="{00000000-0002-0000-0F00-00000A000000}">
      <formula1>"Module du CBS,Solution séparée"</formula1>
    </dataValidation>
    <dataValidation type="list" allowBlank="1" showInputMessage="1" showErrorMessage="1" sqref="C24" xr:uid="{00000000-0002-0000-0F00-00000B000000}">
      <formula1>"Smartphone,Tablette,Les 2"</formula1>
    </dataValidation>
    <dataValidation type="list" allowBlank="1" showInputMessage="1" showErrorMessage="1" sqref="C7" xr:uid="{00000000-0002-0000-0F00-00000C000000}">
      <formula1>"COTS,Développement interne,Développement externalisé,Non prévu"</formula1>
    </dataValidation>
    <dataValidation type="list" allowBlank="1" showInputMessage="1" showErrorMessage="1" sqref="C39" xr:uid="{00000000-0002-0000-0F00-00000D000000}">
      <formula1>"IT Groupe,IT Local,Les 2"</formula1>
    </dataValidation>
  </dataValidations>
  <hyperlinks>
    <hyperlink ref="A1" location="Sommaire!A1" display="Retour à la page d'accueil" xr:uid="{00000000-0004-0000-0F00-000000000000}"/>
    <hyperlink ref="A1:B1" location="Accueil!A1" display="Retour à la page d'accueil" xr:uid="{00000000-0004-0000-0F00-000001000000}"/>
  </hyperlinks>
  <pageMargins left="0.7" right="0.7" top="0.75" bottom="0.75"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09AB6"/>
  </sheetPr>
  <dimension ref="A1:J123"/>
  <sheetViews>
    <sheetView showGridLines="0" workbookViewId="0">
      <pane ySplit="6" topLeftCell="A7" activePane="bottomLeft" state="frozen"/>
      <selection pane="bottomLeft" activeCell="D7" sqref="D7"/>
    </sheetView>
  </sheetViews>
  <sheetFormatPr defaultColWidth="11.42578125" defaultRowHeight="14.25"/>
  <cols>
    <col min="1" max="1" width="2.28515625" customWidth="1"/>
    <col min="2" max="2" width="63.140625" style="10" customWidth="1"/>
    <col min="3" max="3" width="26.5703125" style="15" customWidth="1"/>
    <col min="4" max="4" width="71.85546875" customWidth="1"/>
    <col min="5" max="5" width="10.42578125" hidden="1" customWidth="1"/>
    <col min="6" max="6" width="10" customWidth="1"/>
    <col min="7" max="7" width="6.28515625" style="16" hidden="1" customWidth="1"/>
    <col min="8" max="8" width="6.28515625" hidden="1" customWidth="1"/>
    <col min="9" max="9" width="11.42578125" hidden="1" customWidth="1"/>
    <col min="10" max="10" width="4.85546875" hidden="1" customWidth="1"/>
  </cols>
  <sheetData>
    <row r="1" spans="1:10">
      <c r="A1" s="302" t="s">
        <v>26</v>
      </c>
      <c r="B1" s="302"/>
    </row>
    <row r="2" spans="1:10" s="49" customFormat="1" ht="36">
      <c r="B2" s="50" t="s">
        <v>832</v>
      </c>
      <c r="C2" s="121" t="s">
        <v>768</v>
      </c>
      <c r="D2" s="9"/>
      <c r="G2" s="16"/>
    </row>
    <row r="3" spans="1:10">
      <c r="B3" s="13" t="s">
        <v>578</v>
      </c>
    </row>
    <row r="4" spans="1:10">
      <c r="B4" s="13" t="s">
        <v>579</v>
      </c>
    </row>
    <row r="5" spans="1:10" ht="6" customHeight="1"/>
    <row r="6" spans="1:10" ht="15">
      <c r="B6" s="51" t="s">
        <v>580</v>
      </c>
      <c r="C6" s="52" t="s">
        <v>581</v>
      </c>
      <c r="D6" s="52" t="s">
        <v>118</v>
      </c>
      <c r="E6" s="33" t="s">
        <v>31</v>
      </c>
      <c r="G6" s="171"/>
      <c r="H6" s="171"/>
      <c r="I6" s="172"/>
      <c r="J6" s="172"/>
    </row>
    <row r="7" spans="1:10" ht="24.95" customHeight="1">
      <c r="B7" s="6" t="str">
        <f>IF(C2="Oui existant","COTS ou Développement interne? (Commercial Off-The-Shelf solution)","Vous prévoyez quel type de solution?: COTS ou Développement interne? (Commercial Off-The-Shelf solution)")</f>
        <v>Vous prévoyez quel type de solution?: COTS ou Développement interne? (Commercial Off-The-Shelf solution)</v>
      </c>
      <c r="C7" s="20" t="s">
        <v>770</v>
      </c>
      <c r="D7" s="182" t="s">
        <v>63</v>
      </c>
      <c r="E7" s="12">
        <f>IF(TRIM(B7)="","",IF(TRIM(C7)="",0,1))</f>
        <v>1</v>
      </c>
      <c r="G7" s="171">
        <f>IF(AND(TRIM(B7)&lt;&gt;"",TRIM(C7)&lt;&gt;""),IF(C7="COTS",5,IF(C7="Développement interne",1,0)),"")</f>
        <v>0</v>
      </c>
      <c r="H7" s="171">
        <f>IF(AND(TRIM(B7)&lt;&gt;"",TRIM(C7)&lt;&gt;""),5,"")</f>
        <v>5</v>
      </c>
      <c r="I7" s="172"/>
      <c r="J7" s="172"/>
    </row>
    <row r="8" spans="1:10">
      <c r="B8" s="6" t="str">
        <f>IF(C7="COTS","Nom de l'éditeur","")</f>
        <v/>
      </c>
      <c r="C8" s="20"/>
      <c r="D8" s="20"/>
      <c r="E8" s="12" t="str">
        <f t="shared" ref="E8:E61" si="0">IF(TRIM(B8)="","",IF(TRIM(C8)="",0,1))</f>
        <v/>
      </c>
      <c r="G8" s="171"/>
      <c r="H8" s="171"/>
      <c r="I8" s="172"/>
      <c r="J8" s="172"/>
    </row>
    <row r="9" spans="1:10">
      <c r="B9" s="6" t="str">
        <f>IF(C2="Oui existant","Nom de la solution",IF(AND(C7&lt;&gt;"Non prévu",C7&lt;&gt;""),"Nom de la solution (si déjà identifiée)",""))</f>
        <v/>
      </c>
      <c r="C9" s="20"/>
      <c r="D9" s="20"/>
      <c r="E9" s="12" t="str">
        <f t="shared" si="0"/>
        <v/>
      </c>
      <c r="G9" s="398"/>
      <c r="H9" s="398" t="str">
        <f>IF(AND(TRIM(B9)&lt;&gt;"",TRIM(C9)&lt;&gt;""),5,"")</f>
        <v/>
      </c>
      <c r="I9" s="172"/>
      <c r="J9" s="172"/>
    </row>
    <row r="10" spans="1:10">
      <c r="B10" s="6" t="str">
        <f>IF(C2="Oui existant","Quelle est la version/release de l'application ?",IF(C7="COTS","Quelle est la version/release qui sera implémentée ?",""))</f>
        <v/>
      </c>
      <c r="C10" s="20"/>
      <c r="D10" s="20"/>
      <c r="E10" s="12" t="str">
        <f>IF(TRIM(B10)="","",IF(TRIM(C10)="",0,1))</f>
        <v/>
      </c>
      <c r="G10" s="398"/>
      <c r="H10" s="398"/>
      <c r="I10" s="172"/>
      <c r="J10" s="172"/>
    </row>
    <row r="11" spans="1:10">
      <c r="B11" s="6" t="str">
        <f>IF(C2="Oui existant","Quelle est la dernière version de l'application ?",IF(C7="COTS","Quelle est la dernière version de cette nouvelle solution ?",""))</f>
        <v/>
      </c>
      <c r="C11" s="20"/>
      <c r="D11" s="20"/>
      <c r="E11" s="12" t="str">
        <f>IF(TRIM(B11)="","",IF(TRIM(C11)="",0,1))</f>
        <v/>
      </c>
      <c r="G11" s="398"/>
      <c r="H11" s="398"/>
      <c r="I11" s="172"/>
      <c r="J11" s="172"/>
    </row>
    <row r="12" spans="1:10">
      <c r="B12" s="6" t="str">
        <f>IF(C2="Oui existant","Etes-vous au courant d’une évolution majeure en cours sur cette application","")</f>
        <v/>
      </c>
      <c r="C12" s="20"/>
      <c r="D12" s="20"/>
      <c r="E12" s="12" t="str">
        <f>IF(TRIM(B12)="","",IF(TRIM(C12)="",0,1))</f>
        <v/>
      </c>
      <c r="G12" s="171"/>
      <c r="H12" s="171"/>
      <c r="I12" s="172"/>
      <c r="J12" s="172"/>
    </row>
    <row r="13" spans="1:10">
      <c r="B13" s="6" t="str">
        <f>IF(C2="Oui existant","Qui contrôle les évolutions sur cette Application ?","")</f>
        <v/>
      </c>
      <c r="C13" s="20"/>
      <c r="D13" s="20"/>
      <c r="E13" s="12" t="str">
        <f>IF(TRIM(B13)="","",IF(TRIM(C13)="",0,1))</f>
        <v/>
      </c>
      <c r="G13" s="171"/>
      <c r="H13" s="171"/>
      <c r="I13" s="172"/>
      <c r="J13" s="172"/>
    </row>
    <row r="14" spans="1:10" s="9" customFormat="1" ht="26.1" customHeight="1">
      <c r="B14" s="7" t="str">
        <f>IF(C2="Oui existant","Quelle est la criticité de cette application ? combien de temps peut-on supporter son indisponibilité (colonne détail) ?","Quelle est la criticité de ce besoin ?")</f>
        <v>Quelle est la criticité de ce besoin ?</v>
      </c>
      <c r="C14" s="20" t="s">
        <v>781</v>
      </c>
      <c r="D14" s="21"/>
      <c r="E14" s="12">
        <f>IF(TRIM(B14)="","",IF(TRIM(C14)="",0,1))</f>
        <v>1</v>
      </c>
      <c r="G14" s="171"/>
      <c r="H14" s="171"/>
      <c r="I14" s="181"/>
      <c r="J14" s="181"/>
    </row>
    <row r="15" spans="1:10">
      <c r="B15" s="6" t="str">
        <f>IF(C7="COTS","Est-ce un module du CBS ou une  solution séparée?","")</f>
        <v/>
      </c>
      <c r="C15" s="20"/>
      <c r="D15" s="20"/>
      <c r="E15" s="12" t="str">
        <f t="shared" si="0"/>
        <v/>
      </c>
      <c r="G15" s="173" t="str">
        <f>IF(AND(TRIM(B15)&lt;&gt;"",TRIM(C15)&lt;&gt;""),IF(C15="Module du CBS",20,5),"")</f>
        <v/>
      </c>
      <c r="H15" s="173" t="str">
        <f>IF(AND(TRIM(B15)&lt;&gt;"",TRIM(C15)&lt;&gt;""),20,"")</f>
        <v/>
      </c>
      <c r="I15" s="172"/>
      <c r="J15" s="172"/>
    </row>
    <row r="16" spans="1:10">
      <c r="B16" s="6" t="str">
        <f>IF(C2="Oui existant","Quand l’application a-t-elle été implémentée ?",IF(AND(C7&lt;&gt;"Non prévu",C7&lt;&gt;""),"Quand l’application sera-t-elle implémentée ?",""))</f>
        <v/>
      </c>
      <c r="C16" s="20"/>
      <c r="D16" s="20"/>
      <c r="E16" s="12" t="str">
        <f t="shared" si="0"/>
        <v/>
      </c>
      <c r="G16" s="173" t="str">
        <f>IF(AND(TRIM(B16)&lt;&gt;"",TRIM(C16)&lt;&gt;""),IF((2024-C16)&lt;=5,10,IF((2024-C16)&lt;=10,2,0)),"")</f>
        <v/>
      </c>
      <c r="H16" s="173" t="str">
        <f>IF(AND(TRIM(B16)&lt;&gt;"",TRIM(C16)&lt;&gt;""),10,"")</f>
        <v/>
      </c>
      <c r="I16" s="172"/>
      <c r="J16" s="172"/>
    </row>
    <row r="17" spans="2:10">
      <c r="B17" s="6" t="str">
        <f>IF(C2="Oui existant","Qui l'a implémenté ?",IF(AND(C7&lt;&gt;"Non prévu",C7&lt;&gt;""),"Qui doit l'implémenter ?",""))</f>
        <v/>
      </c>
      <c r="C17" s="20"/>
      <c r="D17" s="20"/>
      <c r="E17" s="12" t="str">
        <f t="shared" si="0"/>
        <v/>
      </c>
      <c r="G17" s="171"/>
      <c r="H17" s="171"/>
      <c r="I17" s="172"/>
      <c r="J17" s="172"/>
    </row>
    <row r="18" spans="2:10" ht="42.95" customHeight="1">
      <c r="B18" s="6" t="str">
        <f>IF(C2="Oui existant","Quels sont les processus fonctionnels couverts ?",IF(AND(C7&lt;&gt;"Non prévu",C7&lt;&gt;""),"Quels sont les processus fonctionnels qui doivent être couverts ?",""))</f>
        <v/>
      </c>
      <c r="C18" s="20"/>
      <c r="D18" s="20"/>
      <c r="E18" s="12" t="str">
        <f t="shared" si="0"/>
        <v/>
      </c>
      <c r="G18" s="171"/>
      <c r="H18" s="171" t="str">
        <f t="shared" ref="H18:H19" si="1">IF(AND(TRIM(B18)&lt;&gt;"",TRIM(C18)&lt;&gt;""),10,"")</f>
        <v/>
      </c>
      <c r="I18" s="172"/>
      <c r="J18" s="172"/>
    </row>
    <row r="19" spans="2:10">
      <c r="B19" s="6" t="str">
        <f>IF(C2="Oui existant","Est-ce que la solution est integrée au CBS ou à une GED ?",IF(AND(C7&lt;&gt;"Non prévu",C7&lt;&gt;""),"Est-ce que la solution sera integrée au CBS ou avec une GED ?",""))</f>
        <v/>
      </c>
      <c r="C19" s="20"/>
      <c r="D19" s="20"/>
      <c r="E19" s="12" t="str">
        <f t="shared" ref="E19:E20" si="2">IF(TRIM(B19)="","",IF(TRIM(C19)="",0,1))</f>
        <v/>
      </c>
      <c r="G19" s="171" t="str">
        <f>IF(AND(TRIM(B19)&lt;&gt;"",TRIM(C19)&lt;&gt;""),IF(C19="Oui",10,0),"")</f>
        <v/>
      </c>
      <c r="H19" s="171" t="str">
        <f t="shared" si="1"/>
        <v/>
      </c>
      <c r="I19" s="172" t="s">
        <v>749</v>
      </c>
      <c r="J19" s="172">
        <v>0</v>
      </c>
    </row>
    <row r="20" spans="2:10">
      <c r="B20" s="6" t="str">
        <f>IF(C19="Oui",IF(C2="Oui existant","Comment et quels sont les processus et données qui transitent ?",IF(AND(C7&lt;&gt;"Non prévu",C7&lt;&gt;""),"Comment et quels seront les processus et données qui vont transiter ?","")),"")</f>
        <v/>
      </c>
      <c r="C20" s="20"/>
      <c r="D20" s="20"/>
      <c r="E20" s="12" t="str">
        <f t="shared" si="2"/>
        <v/>
      </c>
      <c r="G20" s="171"/>
      <c r="H20" s="171"/>
      <c r="I20" s="172" t="s">
        <v>728</v>
      </c>
      <c r="J20" s="172">
        <v>2</v>
      </c>
    </row>
    <row r="21" spans="2:10">
      <c r="B21" s="6" t="str">
        <f>IF(C2="Oui existant","Quel est le niveau de personnalisation de l’Application ?",IF(C7="COTS","Quel est le niveau de personnalisation prévu de l’Application ?",""))</f>
        <v/>
      </c>
      <c r="C21" s="20"/>
      <c r="D21" s="20"/>
      <c r="E21" s="12" t="str">
        <f t="shared" si="0"/>
        <v/>
      </c>
      <c r="G21" s="171" t="str">
        <f>IF(AND(TRIM(B21)&lt;&gt;"",TRIM(C21)&lt;&gt;""),IF(ISNA(VLOOKUP(C21,I19:J23,2,0)),1,VLOOKUP(C21,I19:J23,2,0)),"")</f>
        <v/>
      </c>
      <c r="H21" s="171" t="str">
        <f>IF(AND(TRIM(B21)&lt;&gt;"",TRIM(C21)&lt;&gt;""),10,"")</f>
        <v/>
      </c>
      <c r="I21" s="172" t="s">
        <v>619</v>
      </c>
      <c r="J21" s="172">
        <v>5</v>
      </c>
    </row>
    <row r="22" spans="2:10">
      <c r="B22" s="6" t="str">
        <f>IF(C2="Oui existant","Quelle(s) technologie(s) sous-jacente(s) ?","")</f>
        <v/>
      </c>
      <c r="C22" s="20"/>
      <c r="D22" s="20"/>
      <c r="E22" s="12" t="str">
        <f t="shared" si="0"/>
        <v/>
      </c>
      <c r="G22" s="171"/>
      <c r="H22" s="171"/>
      <c r="I22" s="172" t="s">
        <v>781</v>
      </c>
      <c r="J22" s="172">
        <v>8</v>
      </c>
    </row>
    <row r="23" spans="2:10">
      <c r="B23" s="6" t="str">
        <f>IF(C2="Oui existant","Est-ce que cette solution dispose d'une interface Mobile?",IF(AND(C7&lt;&gt;"Non prévu",C7&lt;&gt;""),"Est-ce qu'il est prévu une version Mobile ?",""))</f>
        <v/>
      </c>
      <c r="C23" s="20"/>
      <c r="D23" s="20"/>
      <c r="E23" s="12" t="str">
        <f t="shared" si="0"/>
        <v/>
      </c>
      <c r="G23" s="171"/>
      <c r="H23" s="171"/>
      <c r="I23" s="172" t="s">
        <v>782</v>
      </c>
      <c r="J23" s="172">
        <v>10</v>
      </c>
    </row>
    <row r="24" spans="2:10">
      <c r="B24" s="6" t="str">
        <f>IF(AND(C7&lt;&gt;"Non prévu",C7&lt;&gt;""),IF(C23="Oui","Dispose-t-elle d'une version smartphone ou tablette ou les 2  ?",""),"")</f>
        <v/>
      </c>
      <c r="C24" s="22"/>
      <c r="D24" s="20"/>
      <c r="E24" s="12" t="str">
        <f t="shared" si="0"/>
        <v/>
      </c>
      <c r="G24" s="171"/>
      <c r="H24" s="171"/>
      <c r="I24" s="172"/>
      <c r="J24" s="172"/>
    </row>
    <row r="25" spans="2:10" ht="24.6" customHeight="1">
      <c r="B25" s="6" t="str">
        <f>IF(C2="Oui existant","Est-ce qu'il est prévu de remplacer cette solution par une autre ? Si oui, veuillez mettre le nom de la nouvelle solution et la période prévue dans la colonne détails","")</f>
        <v/>
      </c>
      <c r="C25" s="20"/>
      <c r="D25" s="20"/>
      <c r="E25" s="12" t="str">
        <f t="shared" si="0"/>
        <v/>
      </c>
      <c r="G25" s="173" t="str">
        <f>IF(AND(TRIM(B25)&lt;&gt;"",TRIM(C25)&lt;&gt;""),IF(C25="Non",10,0),"")</f>
        <v/>
      </c>
      <c r="H25" s="173" t="str">
        <f>IF(AND(TRIM(B25)&lt;&gt;"",TRIM(C25)&lt;&gt;""),10,"")</f>
        <v/>
      </c>
      <c r="I25" s="172"/>
      <c r="J25" s="172"/>
    </row>
    <row r="26" spans="2:10">
      <c r="B26" s="6" t="str">
        <f>IF(C2="Oui existant","Quel est le nombre d’utilisateurs finaux de cette application ?",IF(AND(C7&lt;&gt;"Non prévu",C7&lt;&gt;""),"Quel est le nombre d’utilisateurs finaux prévus pour cette application ?",""))</f>
        <v/>
      </c>
      <c r="C26" s="59"/>
      <c r="D26" s="20"/>
      <c r="E26" s="12" t="str">
        <f t="shared" si="0"/>
        <v/>
      </c>
      <c r="G26" s="171"/>
      <c r="H26" s="171"/>
      <c r="I26" s="172"/>
      <c r="J26" s="172"/>
    </row>
    <row r="27" spans="2:10">
      <c r="B27" s="6" t="str">
        <f>IF(C2="Oui existant","Y a-t-il des utilisateurs du Groupe sur les activités de la filiale ?","")</f>
        <v/>
      </c>
      <c r="C27" s="20"/>
      <c r="D27" s="20"/>
      <c r="E27" s="12" t="str">
        <f t="shared" si="0"/>
        <v/>
      </c>
      <c r="G27" s="171"/>
      <c r="H27" s="171"/>
      <c r="I27" s="172"/>
      <c r="J27" s="172"/>
    </row>
    <row r="28" spans="2:10">
      <c r="B28" s="6" t="str">
        <f>IF(C27="Oui","Quel est le ratio  ?","")</f>
        <v/>
      </c>
      <c r="C28" s="20"/>
      <c r="D28" s="20"/>
      <c r="E28" s="12" t="str">
        <f t="shared" si="0"/>
        <v/>
      </c>
      <c r="G28" s="171"/>
      <c r="H28" s="171"/>
      <c r="I28" s="172"/>
      <c r="J28" s="172"/>
    </row>
    <row r="29" spans="2:10">
      <c r="B29" s="6" t="str">
        <f>IF(C2="Oui existant","Quels ont été les acquisitions de licences détaillées (nombre, date, coût) ?","")</f>
        <v/>
      </c>
      <c r="C29" s="20"/>
      <c r="D29" s="20"/>
      <c r="E29" s="12" t="str">
        <f t="shared" si="0"/>
        <v/>
      </c>
      <c r="G29" s="171"/>
      <c r="H29" s="171"/>
      <c r="I29" s="172"/>
      <c r="J29" s="172"/>
    </row>
    <row r="30" spans="2:10">
      <c r="B30" s="6" t="str">
        <f>IF(C2="Oui existant","Quel est le nombre actuel de licences détenues par la filiale?",IF(C7="COTS","Combien de licences projettez-vous d'acquérir ?",""))</f>
        <v/>
      </c>
      <c r="C30" s="20"/>
      <c r="D30" s="20"/>
      <c r="E30" s="12" t="str">
        <f t="shared" si="0"/>
        <v/>
      </c>
      <c r="G30" s="171"/>
      <c r="H30" s="171"/>
      <c r="I30" s="172"/>
      <c r="J30" s="172"/>
    </row>
    <row r="31" spans="2:10">
      <c r="B31" s="6" t="str">
        <f>IF(C2="Oui existant","Quel type de licences (nominatives/partagées) ?",IF(C7="COTS","Est-ce que ce sera des licences nominatives ou partagées ?",""))</f>
        <v/>
      </c>
      <c r="C31" s="20"/>
      <c r="D31" s="20"/>
      <c r="E31" s="12" t="str">
        <f t="shared" si="0"/>
        <v/>
      </c>
      <c r="G31" s="171"/>
      <c r="H31" s="171"/>
      <c r="I31" s="172"/>
      <c r="J31" s="172"/>
    </row>
    <row r="32" spans="2:10" ht="36.6" customHeight="1">
      <c r="B32" s="6" t="str">
        <f>IF(C2="Oui existant","Des licences supplémentaires sont-elles nécessaires pour l'utilisation de l'application (outil supplémentaire, interfaces, modules complémentaires, …) ? Par module / par utilisateur ?",IF(C7="COTS","Est-ce que vous projettez d'acquérir d'autres licences dans un second temps ? combien et quand ?",""))</f>
        <v/>
      </c>
      <c r="C32" s="20"/>
      <c r="D32" s="21"/>
      <c r="E32" s="12" t="str">
        <f>IF(TRIM(B32)="","",IF(TRIM(C32)="",0,IF(TRIM(D32)="",0.5,1)))</f>
        <v/>
      </c>
      <c r="G32" s="171"/>
      <c r="H32" s="171"/>
      <c r="I32" s="172"/>
      <c r="J32" s="172"/>
    </row>
    <row r="33" spans="2:10">
      <c r="B33" s="6" t="str">
        <f>IF(C2="Oui existant","Quel est le coût du support éditeur ?",IF(C7="COTS","Quel sera le coût du support éditeur ?",""))</f>
        <v/>
      </c>
      <c r="C33" s="20"/>
      <c r="D33" s="20"/>
      <c r="E33" s="12" t="str">
        <f t="shared" si="0"/>
        <v/>
      </c>
      <c r="G33" s="171"/>
      <c r="H33" s="171"/>
      <c r="I33" s="172"/>
      <c r="J33" s="172"/>
    </row>
    <row r="34" spans="2:10">
      <c r="B34" s="6" t="str">
        <f>IF(C2="Oui existant","Existe-t-il un contrat de support avec un fournisseur ou un partenaire ? Pouvez-vous le partager ?","")</f>
        <v/>
      </c>
      <c r="C34" s="20"/>
      <c r="D34" s="20"/>
      <c r="E34" s="12" t="str">
        <f t="shared" si="0"/>
        <v/>
      </c>
      <c r="G34" s="171" t="str">
        <f>IF(AND(TRIM(B34)&lt;&gt;"",TRIM(C34)&lt;&gt;""),IF(C34="Oui",5,0),"")</f>
        <v/>
      </c>
      <c r="H34" s="171" t="str">
        <f>IF(AND(TRIM(B34)&lt;&gt;"",TRIM(C34)&lt;&gt;""),5,"")</f>
        <v/>
      </c>
      <c r="I34" s="172"/>
      <c r="J34" s="172"/>
    </row>
    <row r="35" spans="2:10">
      <c r="B35" s="6" t="str">
        <f>IF(C2="Oui existant","Le contrat est-il global couvrant plusieurs filiales ou dédié à la filiale ?",IF(C7="COTS","Projettez-vous une acquisition individuelle ou groupe ?",""))</f>
        <v/>
      </c>
      <c r="C35" s="20"/>
      <c r="D35" s="20"/>
      <c r="E35" s="12" t="str">
        <f t="shared" si="0"/>
        <v/>
      </c>
      <c r="G35" s="171"/>
      <c r="H35" s="171"/>
      <c r="I35" s="172"/>
      <c r="J35" s="172"/>
    </row>
    <row r="36" spans="2:10" ht="15.95" customHeight="1">
      <c r="B36" s="6" t="str">
        <f>IF(C2="Oui existant","Le contrat comprend-il un SLA formel ? Cela inclut-il un engagement de performance ?","")</f>
        <v/>
      </c>
      <c r="C36" s="20"/>
      <c r="D36" s="20"/>
      <c r="E36" s="12" t="str">
        <f>IF(TRIM(B36)="","",IF(TRIM(C36)="",0,1))</f>
        <v/>
      </c>
      <c r="G36" s="171" t="str">
        <f>IF(AND(TRIM(B36)&lt;&gt;"",TRIM(C36)&lt;&gt;""),IF(C36="Oui et oui",5,IF(C36="Oui et non",3,0)),"")</f>
        <v/>
      </c>
      <c r="H36" s="171" t="str">
        <f>IF(AND(TRIM(B36)&lt;&gt;"",TRIM(C36)&lt;&gt;""),5,"")</f>
        <v/>
      </c>
      <c r="I36" s="172"/>
      <c r="J36" s="172"/>
    </row>
    <row r="37" spans="2:10" ht="39.950000000000003" customHeight="1">
      <c r="B37" s="6" t="str">
        <f>IF(C2="Oui existant","Combien de ETP internes sont dédiés aux support (Niveaux 1, 2 et 3) de cette solution ?
Veuillez décrire dans la colonne détail de quelle entité sont-ils (Holding ou pays), la répartition des principales activités, les compétences et les rôles",IF(AND(C7&lt;&gt;"Non prévu",C7&lt;&gt;""),"Combien de ETP internes projettez-vous de dédier aux support (Niveaux 1, 2 et 3) de cette solution ?",""))</f>
        <v/>
      </c>
      <c r="C37" s="20"/>
      <c r="D37" s="21"/>
      <c r="E37" s="12" t="str">
        <f t="shared" ref="E37:E38" si="3">IF(TRIM(B37)="","",IF(TRIM(C37)="",0,IF(TRIM(D37)="",0.5,1)))</f>
        <v/>
      </c>
      <c r="G37" s="171"/>
      <c r="H37" s="171"/>
      <c r="I37" s="172"/>
      <c r="J37" s="172"/>
    </row>
    <row r="38" spans="2:10" ht="51" customHeight="1">
      <c r="B38" s="6" t="str">
        <f>IF(C2="Oui existant","Combien de ETP internes sont dédiés aux changes opérés sur cette solution (incluant Dev, Config, Mise en prod) ?
Veuillez décrire dans la col. détail de quelle entité sont-ils (Holding ou pays), la répartition des activités, les compétences et les rôles",IF(AND(C7&lt;&gt;"Non prévu",C7&lt;&gt;""),"Combien de ETP internes projettez-vous de dédier aux futurs changes sur cette solution (incluant Dev, Config, Mise en prod) ?",""))</f>
        <v/>
      </c>
      <c r="C38" s="20"/>
      <c r="D38" s="21"/>
      <c r="E38" s="12" t="str">
        <f t="shared" si="3"/>
        <v/>
      </c>
      <c r="G38" s="171"/>
      <c r="H38" s="171"/>
      <c r="I38" s="172"/>
      <c r="J38" s="172"/>
    </row>
    <row r="39" spans="2:10">
      <c r="B39" s="6" t="str">
        <f>IF(C2="Oui existant","Qui administre cette solution et apporte le support aux utilisateurs l'IT Groupe, l'IT local ou les 2 ?",IF(AND(C7&lt;&gt;"Non prévu",C7&lt;&gt;""),"Qui va administrer cette solution et apporter le support aux utilisateurs: l'IT Groupe, l'IT local ou les 2 ?",""))</f>
        <v/>
      </c>
      <c r="C39" s="20"/>
      <c r="D39" s="20"/>
      <c r="E39" s="12" t="str">
        <f t="shared" si="0"/>
        <v/>
      </c>
      <c r="G39" s="171"/>
      <c r="H39" s="171"/>
      <c r="I39" s="172"/>
      <c r="J39" s="172"/>
    </row>
    <row r="40" spans="2:10" ht="26.45" customHeight="1">
      <c r="B40" s="6" t="str">
        <f>IF(C39="Les 2","A quelle proportion chacun ? et existe-t-il un SLA interne entre Group IT et la filiale ? S'il existe, pouvez-vous le partager
vous pouvez décrire dans la partie détails les responsabilités de chaque partie","")</f>
        <v/>
      </c>
      <c r="C40" s="20"/>
      <c r="D40" s="21"/>
      <c r="E40" s="12" t="str">
        <f t="shared" si="0"/>
        <v/>
      </c>
      <c r="G40" s="171"/>
      <c r="H40" s="171"/>
      <c r="I40" s="172"/>
      <c r="J40" s="172"/>
    </row>
    <row r="41" spans="2:10">
      <c r="B41" s="6" t="str">
        <f>IF(C2="Oui existant","Avez-vous un historique des KPI pour la disponibilité et le support de cette application ? Si oui, pouvez-vous les partager","")</f>
        <v/>
      </c>
      <c r="C41" s="20"/>
      <c r="D41" s="20"/>
      <c r="E41" s="12" t="str">
        <f t="shared" si="0"/>
        <v/>
      </c>
      <c r="G41" s="171" t="str">
        <f>IF(AND(TRIM(B41)&lt;&gt;"",TRIM(C41)&lt;&gt;""),IF(C41="Oui",3,0),"")</f>
        <v/>
      </c>
      <c r="H41" s="171" t="str">
        <f>IF(AND(TRIM(B41)&lt;&gt;"",TRIM(C41)&lt;&gt;""),3,"")</f>
        <v/>
      </c>
      <c r="I41" s="172"/>
      <c r="J41" s="172"/>
    </row>
    <row r="42" spans="2:10">
      <c r="B42" s="6" t="str">
        <f>IF(C2="Oui existant","Existe-t-il un processus de suivi des contrats groupe et tiers ?","")</f>
        <v/>
      </c>
      <c r="C42" s="20"/>
      <c r="D42" s="20"/>
      <c r="E42" s="12" t="str">
        <f t="shared" si="0"/>
        <v/>
      </c>
      <c r="G42" s="171"/>
      <c r="H42" s="171"/>
      <c r="I42" s="172"/>
      <c r="J42" s="172"/>
    </row>
    <row r="43" spans="2:10">
      <c r="B43" s="6" t="str">
        <f>IF(C2="Oui existant","L'application est-elle installée sur site ou utilisée sur le Cloud (SaaS) ?",IF(AND(C7&lt;&gt;"Non prévu",C7&lt;&gt;""),"La nouvelle solution sera-t-elle installée sur site ou utilisée sur le Cloud (SaaS) ?",""))</f>
        <v/>
      </c>
      <c r="C43" s="20"/>
      <c r="D43" s="20"/>
      <c r="E43" s="12" t="str">
        <f t="shared" si="0"/>
        <v/>
      </c>
      <c r="G43" s="171" t="str">
        <f>IF(AND(TRIM(B43)&lt;&gt;"",TRIM(C43)&lt;&gt;""),IF(C43="Cloud",5,2),"")</f>
        <v/>
      </c>
      <c r="H43" s="171" t="str">
        <f>IF(AND(TRIM(B43)&lt;&gt;"",TRIM(C43)&lt;&gt;""),5,"")</f>
        <v/>
      </c>
      <c r="I43" s="172"/>
      <c r="J43" s="172"/>
    </row>
    <row r="44" spans="2:10">
      <c r="B44" s="6" t="str">
        <f>IF(AND(C43="Cloud",C7="COTS"),"Si c'est sur le Cloud, est-ce entièrement SaaS ou Infra gérée par l'équipe locale ?","")</f>
        <v/>
      </c>
      <c r="C44" s="22"/>
      <c r="D44" s="20"/>
      <c r="E44" s="12" t="str">
        <f t="shared" si="0"/>
        <v/>
      </c>
      <c r="G44" s="171" t="str">
        <f>IF(AND(TRIM(B44)&lt;&gt;"",TRIM(C44)&lt;&gt;""),IF(C44="SaaS",3,1),"")</f>
        <v/>
      </c>
      <c r="H44" s="171" t="str">
        <f>IF(AND(TRIM(B44)&lt;&gt;"",TRIM(C44)&lt;&gt;""),3,"")</f>
        <v/>
      </c>
      <c r="I44" s="172"/>
      <c r="J44" s="172"/>
    </row>
    <row r="45" spans="2:10">
      <c r="B45" s="6" t="str">
        <f>IF(C2="Oui existant","S'agit-il d'une architecture Client/Serveur à 3 niveaux ? Décrivez s'il vous plait","")</f>
        <v/>
      </c>
      <c r="C45" s="20"/>
      <c r="D45" s="21"/>
      <c r="E45" s="12" t="str">
        <f t="shared" ref="E45" si="4">IF(TRIM(B45)="","",IF(TRIM(C45)="",0,IF(TRIM(D45)="",0.5,1)))</f>
        <v/>
      </c>
      <c r="G45" s="171"/>
      <c r="H45" s="171"/>
      <c r="I45" s="172"/>
      <c r="J45" s="172"/>
    </row>
    <row r="46" spans="2:10">
      <c r="B46" s="6" t="str">
        <f>IF(C43="On-site","Comment sont acquis les serveurs (achat/location/sous-traitance) ?","")</f>
        <v/>
      </c>
      <c r="C46" s="22"/>
      <c r="D46" s="20"/>
      <c r="E46" s="12" t="str">
        <f t="shared" si="0"/>
        <v/>
      </c>
      <c r="G46" s="171"/>
      <c r="H46" s="171"/>
      <c r="I46" s="172"/>
      <c r="J46" s="172"/>
    </row>
    <row r="47" spans="2:10">
      <c r="B47" s="6" t="str">
        <f>IF(C2="Oui existant","Où sont installés les serveurs ?","")</f>
        <v/>
      </c>
      <c r="C47" s="22"/>
      <c r="D47" s="20"/>
      <c r="E47" s="12" t="str">
        <f t="shared" si="0"/>
        <v/>
      </c>
      <c r="G47" s="171"/>
      <c r="H47" s="171"/>
      <c r="I47" s="172"/>
      <c r="J47" s="172"/>
    </row>
    <row r="48" spans="2:10">
      <c r="B48" s="6" t="str">
        <f>IF(C2="Oui existant","Sur quels systèmes (versions) cette application s'exécute-t-elle ?",IF(AND(C7&lt;&gt;"Non prévu",C7&lt;&gt;""),"Sur quels systèmes (versions) cette application sera-t-elle implémentée ?",""))</f>
        <v/>
      </c>
      <c r="C48" s="22"/>
      <c r="D48" s="20"/>
      <c r="E48" s="12" t="str">
        <f t="shared" si="0"/>
        <v/>
      </c>
      <c r="G48" s="171"/>
      <c r="H48" s="171"/>
      <c r="I48" s="172"/>
      <c r="J48" s="172"/>
    </row>
    <row r="49" spans="2:10">
      <c r="B49" s="6" t="str">
        <f>IF(C2="Oui existant","Sur quelle base de données cette application tourne-t-elle ?",IF(AND(C7&lt;&gt;"Non prévu",C7&lt;&gt;""),"Sur quelle base de données cette application tournera-t-elle ?",""))</f>
        <v/>
      </c>
      <c r="C49" s="22"/>
      <c r="D49" s="20"/>
      <c r="E49" s="12" t="str">
        <f t="shared" si="0"/>
        <v/>
      </c>
      <c r="G49" s="171"/>
      <c r="H49" s="171"/>
      <c r="I49" s="172"/>
      <c r="J49" s="172"/>
    </row>
    <row r="50" spans="2:10">
      <c r="B50" s="6" t="str">
        <f>IF(C2="Oui existant","Existe-t-il une architecture haute disponibilité (réplication) ?",IF(AND(C7&lt;&gt;"Non prévu",C7&lt;&gt;""),"Est-ce qu'il est prévu une architecture haute disponibilité (réplication) ?",""))</f>
        <v/>
      </c>
      <c r="C50" s="22"/>
      <c r="D50" s="20"/>
      <c r="E50" s="12" t="str">
        <f t="shared" si="0"/>
        <v/>
      </c>
      <c r="G50" s="171" t="str">
        <f>IF(AND(TRIM(B50)&lt;&gt;"",TRIM(C50)&lt;&gt;""),IF(C50="Oui",5,0),"")</f>
        <v/>
      </c>
      <c r="H50" s="171" t="str">
        <f t="shared" ref="H50:H52" si="5">IF(AND(TRIM(B50)&lt;&gt;"",TRIM(C50)&lt;&gt;""),5,"")</f>
        <v/>
      </c>
      <c r="I50" s="172"/>
      <c r="J50" s="172"/>
    </row>
    <row r="51" spans="2:10">
      <c r="B51" s="6" t="str">
        <f>IF(C50="Oui","Entièrement ou partiellement ? Actif-Actif ou Actif-Passif ?","")</f>
        <v/>
      </c>
      <c r="C51" s="22"/>
      <c r="D51" s="20"/>
      <c r="E51" s="12" t="str">
        <f t="shared" si="0"/>
        <v/>
      </c>
      <c r="G51" s="171"/>
      <c r="H51" s="171"/>
      <c r="I51" s="172"/>
      <c r="J51" s="172"/>
    </row>
    <row r="52" spans="2:10">
      <c r="B52" s="6" t="str">
        <f>IF(C2="Oui existant","Existe-t-il un plan de récupération pour cette application ?","")</f>
        <v/>
      </c>
      <c r="C52" s="22"/>
      <c r="D52" s="20"/>
      <c r="E52" s="12" t="str">
        <f t="shared" si="0"/>
        <v/>
      </c>
      <c r="G52" s="171" t="str">
        <f>IF(AND(TRIM(B52)&lt;&gt;"",TRIM(C52)&lt;&gt;""),IF(C52="Oui",5,0),"")</f>
        <v/>
      </c>
      <c r="H52" s="171" t="str">
        <f t="shared" si="5"/>
        <v/>
      </c>
      <c r="I52" s="172"/>
      <c r="J52" s="172"/>
    </row>
    <row r="53" spans="2:10">
      <c r="B53" s="6" t="str">
        <f>IF(C2="Oui existant","Qui gère les données de la base de données ?",IF(AND(C7&lt;&gt;"Non prévu",C7&lt;&gt;""),"Qui va gèrer les données de la base de données ?",""))</f>
        <v/>
      </c>
      <c r="C53" s="22"/>
      <c r="D53" s="20"/>
      <c r="E53" s="12" t="str">
        <f t="shared" si="0"/>
        <v/>
      </c>
      <c r="G53" s="171"/>
      <c r="H53" s="171"/>
      <c r="I53" s="172"/>
      <c r="J53" s="172"/>
    </row>
    <row r="54" spans="2:10" ht="40.5" customHeight="1">
      <c r="B54" s="6" t="str">
        <f>IF(C2="Oui existant","Quelles sont les interfaces existantes de cette application ? Veuillez décrire et partager tout document d'architecture",IF(AND(C7&lt;&gt;"Non prévu",C7&lt;&gt;""),"Quelles sont les interfaces prévues ? Veuillez décrire et partager tout document d'architecture cible",""))</f>
        <v/>
      </c>
      <c r="C54" s="20"/>
      <c r="D54" s="21"/>
      <c r="E54" s="12" t="str">
        <f>IF(TRIM(B54)="","",IF(TRIM(C54)="",0,IF(TRIM(D54)="",0.5,1)))</f>
        <v/>
      </c>
      <c r="G54" s="171"/>
      <c r="H54" s="171"/>
      <c r="I54" s="172"/>
      <c r="J54" s="172"/>
    </row>
    <row r="55" spans="2:10" ht="40.5" customHeight="1">
      <c r="B55" s="6" t="str">
        <f>IF(C2="Oui existant","L'application est-elle complètement en temps réel ou y'a-t-il des batchs la nuit ? Décrivez s'il vous plait",IF(AND(C7&lt;&gt;"Non prévu",C7&lt;&gt;""),"L'application sera-t-elle complètement en temps réel ou y'aura-t-il des batchs la nuit ? Décrivez s'il vous plait",""))</f>
        <v/>
      </c>
      <c r="C55" s="20"/>
      <c r="D55" s="21"/>
      <c r="E55" s="12" t="str">
        <f>IF(TRIM(B55)="","",IF(TRIM(C55)="",0,IF(TRIM(D55)="",0.5,1)))</f>
        <v/>
      </c>
      <c r="G55" s="171"/>
      <c r="H55" s="171"/>
      <c r="I55" s="172"/>
      <c r="J55" s="172"/>
    </row>
    <row r="56" spans="2:10">
      <c r="B56" s="6" t="str">
        <f>IF(C2="Oui existant","Avez-vous connaissance d'un quelconque problème potentiel lié à la continuité de cette application (par exemple départ ou indisponibilité des ressources clés, fin de support, bug critique, ...), si oui lequel dans détails ?","")</f>
        <v/>
      </c>
      <c r="C56" s="22"/>
      <c r="D56" s="20"/>
      <c r="E56" s="12" t="str">
        <f t="shared" si="0"/>
        <v/>
      </c>
      <c r="G56" s="171" t="str">
        <f>IF(AND(TRIM(B56)&lt;&gt;"",TRIM(C56)&lt;&gt;""),IF(C56="Oui",0,10),"")</f>
        <v/>
      </c>
      <c r="H56" s="171" t="str">
        <f>IF(AND(TRIM(B56)&lt;&gt;"",TRIM(C56)&lt;&gt;""),10,"")</f>
        <v/>
      </c>
      <c r="I56" s="172"/>
      <c r="J56" s="172"/>
    </row>
    <row r="57" spans="2:10">
      <c r="B57" s="6" t="str">
        <f>IF(C2="Oui existant","Est-ce que des sauvegardes sont réalisées régulièrement ?",IF(AND(C7&lt;&gt;"Non prévu",C7&lt;&gt;""),"Est-ce que des sauvegardes sont prévus dès l'implémentation ?",""))</f>
        <v/>
      </c>
      <c r="C57" s="22"/>
      <c r="D57" s="20"/>
      <c r="E57" s="12" t="str">
        <f t="shared" si="0"/>
        <v/>
      </c>
      <c r="G57" s="171" t="str">
        <f>IF(AND(TRIM(B57)&lt;&gt;"",TRIM(C57)&lt;&gt;""),IF(C57="Oui",5,0),"")</f>
        <v/>
      </c>
      <c r="H57" s="171" t="str">
        <f t="shared" ref="H57" si="6">IF(AND(TRIM(B57)&lt;&gt;"",TRIM(C57)&lt;&gt;""),5,"")</f>
        <v/>
      </c>
      <c r="I57" s="172"/>
      <c r="J57" s="172"/>
    </row>
    <row r="58" spans="2:10">
      <c r="B58" s="6" t="str">
        <f>IF(C57="Oui","A quelle fréquence sont-elles exécutées?","")</f>
        <v/>
      </c>
      <c r="C58" s="22"/>
      <c r="D58" s="20"/>
      <c r="E58" s="12" t="str">
        <f t="shared" si="0"/>
        <v/>
      </c>
      <c r="G58" s="173"/>
      <c r="H58" s="173" t="str">
        <f>IF(AND(TRIM(B58)&lt;&gt;"",TRIM(C58)&lt;&gt;""),3,"")</f>
        <v/>
      </c>
      <c r="I58" s="172"/>
      <c r="J58" s="172"/>
    </row>
    <row r="59" spans="2:10">
      <c r="B59" s="6" t="str">
        <f>IF(C57="Oui","Avez-vous une politique de rétention en place ? Si oui, pouvez-vous me la partager?","")</f>
        <v/>
      </c>
      <c r="C59" s="22"/>
      <c r="D59" s="20"/>
      <c r="E59" s="12" t="str">
        <f t="shared" si="0"/>
        <v/>
      </c>
      <c r="G59" s="173" t="str">
        <f>IF(AND(TRIM(B59)&lt;&gt;"",TRIM(C59)&lt;&gt;""),IF(C59="Oui",2,0),"")</f>
        <v/>
      </c>
      <c r="H59" s="173" t="str">
        <f>IF(AND(TRIM(B59)&lt;&gt;"",TRIM(C59)&lt;&gt;""),2,"")</f>
        <v/>
      </c>
      <c r="I59" s="172"/>
      <c r="J59" s="172"/>
    </row>
    <row r="60" spans="2:10">
      <c r="B60" s="6" t="str">
        <f>IF(C57="Oui","Quelle est la solution de sauvegarde/récupération utilisée ?","")</f>
        <v/>
      </c>
      <c r="C60" s="22"/>
      <c r="D60" s="20"/>
      <c r="E60" s="12" t="str">
        <f t="shared" si="0"/>
        <v/>
      </c>
      <c r="G60" s="173"/>
      <c r="H60" s="173" t="str">
        <f t="shared" ref="H60" si="7">IF(AND(TRIM(B60)&lt;&gt;"",TRIM(C60)&lt;&gt;""),3,"")</f>
        <v/>
      </c>
      <c r="I60" s="172"/>
      <c r="J60" s="172"/>
    </row>
    <row r="61" spans="2:10">
      <c r="B61" s="6" t="str">
        <f>IF(C57="Oui","Quelle est la taille totale estimée des sauvegardes ?","")</f>
        <v/>
      </c>
      <c r="C61" s="22"/>
      <c r="D61" s="20"/>
      <c r="E61" s="12" t="str">
        <f t="shared" si="0"/>
        <v/>
      </c>
      <c r="G61" s="171"/>
      <c r="H61" s="171"/>
      <c r="I61" s="172"/>
      <c r="J61" s="172"/>
    </row>
    <row r="62" spans="2:10">
      <c r="G62" s="171">
        <f>SUM(G5:G61)</f>
        <v>0</v>
      </c>
      <c r="H62" s="171">
        <f>SUM(H5:H61)</f>
        <v>5</v>
      </c>
      <c r="I62" s="172"/>
      <c r="J62" s="172"/>
    </row>
    <row r="123" spans="1:1">
      <c r="A123" t="s">
        <v>223</v>
      </c>
    </row>
  </sheetData>
  <sheetProtection formatRows="0"/>
  <mergeCells count="3">
    <mergeCell ref="A1:B1"/>
    <mergeCell ref="G9:G11"/>
    <mergeCell ref="H9:H11"/>
  </mergeCells>
  <conditionalFormatting sqref="B8:B13">
    <cfRule type="containsBlanks" dxfId="445" priority="13">
      <formula>LEN(TRIM(B8))=0</formula>
    </cfRule>
  </conditionalFormatting>
  <conditionalFormatting sqref="B15:B61">
    <cfRule type="containsBlanks" dxfId="444" priority="5">
      <formula>LEN(TRIM(B15))=0</formula>
    </cfRule>
  </conditionalFormatting>
  <conditionalFormatting sqref="C7">
    <cfRule type="containsBlanks" dxfId="443" priority="9">
      <formula>LEN(TRIM(C7))=0</formula>
    </cfRule>
  </conditionalFormatting>
  <conditionalFormatting sqref="C8:C13 C15:C24">
    <cfRule type="expression" dxfId="442" priority="10">
      <formula>AND($B8&lt;&gt;"",$C8="")</formula>
    </cfRule>
  </conditionalFormatting>
  <conditionalFormatting sqref="C14">
    <cfRule type="containsBlanks" dxfId="441" priority="87">
      <formula>LEN(TRIM(C14))=0</formula>
    </cfRule>
  </conditionalFormatting>
  <conditionalFormatting sqref="C25:C38">
    <cfRule type="expression" dxfId="440" priority="34">
      <formula>AND($B25&lt;&gt;"",$C25="")</formula>
    </cfRule>
  </conditionalFormatting>
  <conditionalFormatting sqref="C39">
    <cfRule type="expression" dxfId="439" priority="6">
      <formula>AND($B39&lt;&gt;"",$C39="")</formula>
    </cfRule>
  </conditionalFormatting>
  <conditionalFormatting sqref="C41:C61">
    <cfRule type="expression" dxfId="438" priority="51">
      <formula>AND($B41&lt;&gt;"",$C41="")</formula>
    </cfRule>
  </conditionalFormatting>
  <conditionalFormatting sqref="C8:D13 C15:D32">
    <cfRule type="expression" dxfId="437" priority="11">
      <formula>$B8=""</formula>
    </cfRule>
  </conditionalFormatting>
  <conditionalFormatting sqref="C37:D43">
    <cfRule type="expression" dxfId="436" priority="1">
      <formula>$B37=""</formula>
    </cfRule>
  </conditionalFormatting>
  <conditionalFormatting sqref="C44:D44">
    <cfRule type="expression" dxfId="435" priority="82">
      <formula>$B44=""</formula>
    </cfRule>
  </conditionalFormatting>
  <conditionalFormatting sqref="C45:D45">
    <cfRule type="expression" dxfId="434" priority="20">
      <formula>$B45=""</formula>
    </cfRule>
  </conditionalFormatting>
  <conditionalFormatting sqref="C46:D53 C33:D36">
    <cfRule type="expression" dxfId="433" priority="96">
      <formula>$B33=""</formula>
    </cfRule>
  </conditionalFormatting>
  <conditionalFormatting sqref="C54:D61">
    <cfRule type="expression" dxfId="432" priority="16">
      <formula>$B54=""</formula>
    </cfRule>
  </conditionalFormatting>
  <conditionalFormatting sqref="D32">
    <cfRule type="containsBlanks" dxfId="431" priority="86">
      <formula>LEN(TRIM(D32))=0</formula>
    </cfRule>
  </conditionalFormatting>
  <conditionalFormatting sqref="D37:D38">
    <cfRule type="containsBlanks" dxfId="430" priority="23">
      <formula>LEN(TRIM(D37))=0</formula>
    </cfRule>
  </conditionalFormatting>
  <conditionalFormatting sqref="D40">
    <cfRule type="containsBlanks" dxfId="429" priority="2">
      <formula>LEN(TRIM(D40))=0</formula>
    </cfRule>
  </conditionalFormatting>
  <conditionalFormatting sqref="D45">
    <cfRule type="containsBlanks" dxfId="428" priority="21">
      <formula>LEN(TRIM(D45))=0</formula>
    </cfRule>
  </conditionalFormatting>
  <conditionalFormatting sqref="D54:D55">
    <cfRule type="containsBlanks" dxfId="427" priority="17">
      <formula>LEN(TRIM(D54))=0</formula>
    </cfRule>
  </conditionalFormatting>
  <dataValidations count="14">
    <dataValidation type="list" allowBlank="1" showInputMessage="1" showErrorMessage="1" sqref="C36" xr:uid="{00000000-0002-0000-1000-000000000000}">
      <formula1>"Oui et oui,Oui et non,Non pour les 2"</formula1>
    </dataValidation>
    <dataValidation type="list" allowBlank="1" showInputMessage="1" showErrorMessage="1" sqref="C46" xr:uid="{00000000-0002-0000-1000-000001000000}">
      <formula1>"Achat,Location,Sous-traitance"</formula1>
    </dataValidation>
    <dataValidation type="list" allowBlank="1" showInputMessage="1" showErrorMessage="1" sqref="C44" xr:uid="{00000000-0002-0000-1000-000002000000}">
      <formula1>"SaaS,Infra gérée"</formula1>
    </dataValidation>
    <dataValidation type="list" allowBlank="1" showInputMessage="1" showErrorMessage="1" sqref="C43" xr:uid="{00000000-0002-0000-1000-000003000000}">
      <formula1>"On-site,Cloud"</formula1>
    </dataValidation>
    <dataValidation type="list" allowBlank="1" showInputMessage="1" showErrorMessage="1" sqref="C35:C36" xr:uid="{00000000-0002-0000-1000-000004000000}">
      <formula1>"Global,Dédié"</formula1>
    </dataValidation>
    <dataValidation type="list" allowBlank="1" showInputMessage="1" showErrorMessage="1" sqref="C31" xr:uid="{00000000-0002-0000-1000-000005000000}">
      <formula1>"Nominatives,Partagées,NA"</formula1>
    </dataValidation>
    <dataValidation type="list" allowBlank="1" showInputMessage="1" showErrorMessage="1" sqref="C27 C34 C56:C57 C50 C52 C12 C45 C59 C19 C25 C23 C41:C42" xr:uid="{00000000-0002-0000-1000-000006000000}">
      <formula1>"Oui,Non"</formula1>
    </dataValidation>
    <dataValidation type="list" allowBlank="1" showInputMessage="1" showErrorMessage="1" sqref="C14" xr:uid="{00000000-0002-0000-1000-000007000000}">
      <formula1>"Primoridal,Critique,Moyen,Faible"</formula1>
    </dataValidation>
    <dataValidation type="list" allowBlank="1" showInputMessage="1" showErrorMessage="1" sqref="C21" xr:uid="{00000000-0002-0000-1000-000008000000}">
      <formula1>"Très haut,Haut,Moyen,Faible, Inexistant"</formula1>
    </dataValidation>
    <dataValidation type="list" allowBlank="1" showInputMessage="1" showErrorMessage="1" sqref="C2" xr:uid="{00000000-0002-0000-1000-000009000000}">
      <formula1>"Oui existant,Non existant"</formula1>
    </dataValidation>
    <dataValidation type="list" allowBlank="1" showInputMessage="1" showErrorMessage="1" sqref="C15" xr:uid="{00000000-0002-0000-1000-00000A000000}">
      <formula1>"Module du CBS,Solution séparée"</formula1>
    </dataValidation>
    <dataValidation type="list" allowBlank="1" showInputMessage="1" showErrorMessage="1" sqref="C24" xr:uid="{00000000-0002-0000-1000-00000B000000}">
      <formula1>"Smartphone,Tablette,Les 2"</formula1>
    </dataValidation>
    <dataValidation type="list" allowBlank="1" showInputMessage="1" showErrorMessage="1" sqref="C7" xr:uid="{00000000-0002-0000-1000-00000C000000}">
      <formula1>"COTS,Développement interne,Développement externalisé,Non prévu"</formula1>
    </dataValidation>
    <dataValidation type="list" allowBlank="1" showInputMessage="1" showErrorMessage="1" sqref="C39" xr:uid="{00000000-0002-0000-1000-00000D000000}">
      <formula1>"IT Groupe,IT Local,Les 2"</formula1>
    </dataValidation>
  </dataValidations>
  <hyperlinks>
    <hyperlink ref="A1" location="Sommaire!A1" display="Retour à la page d'accueil" xr:uid="{00000000-0004-0000-1000-000000000000}"/>
    <hyperlink ref="A1:B1" location="Accueil!A1" display="Retour à la page d'accueil" xr:uid="{00000000-0004-0000-1000-000001000000}"/>
  </hyperlinks>
  <pageMargins left="0.7" right="0.7" top="0.75" bottom="0.75" header="0.3" footer="0.3"/>
  <pageSetup paperSize="9" orientation="portrait" horizontalDpi="4294967293"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B75351"/>
  </sheetPr>
  <dimension ref="A1:J123"/>
  <sheetViews>
    <sheetView showGridLines="0" workbookViewId="0">
      <pane ySplit="6" topLeftCell="A7" activePane="bottomLeft" state="frozen"/>
      <selection pane="bottomLeft" activeCell="M19" sqref="M19"/>
    </sheetView>
  </sheetViews>
  <sheetFormatPr defaultColWidth="11.42578125" defaultRowHeight="14.25"/>
  <cols>
    <col min="1" max="1" width="2.28515625" customWidth="1"/>
    <col min="2" max="2" width="63.140625" style="10" customWidth="1"/>
    <col min="3" max="3" width="32.42578125" style="15" customWidth="1"/>
    <col min="4" max="4" width="50.42578125" customWidth="1"/>
    <col min="5" max="5" width="10.85546875" hidden="1" customWidth="1"/>
    <col min="6" max="6" width="3.85546875" customWidth="1"/>
    <col min="7" max="7" width="7.42578125" style="16" hidden="1" customWidth="1"/>
    <col min="8" max="8" width="7.42578125" hidden="1" customWidth="1"/>
    <col min="9" max="10" width="11.42578125" hidden="1" customWidth="1"/>
  </cols>
  <sheetData>
    <row r="1" spans="1:10">
      <c r="A1" s="302" t="s">
        <v>26</v>
      </c>
      <c r="B1" s="302"/>
    </row>
    <row r="2" spans="1:10" ht="18">
      <c r="B2" s="55" t="s">
        <v>833</v>
      </c>
      <c r="C2" s="124" t="s">
        <v>768</v>
      </c>
      <c r="H2" s="49"/>
    </row>
    <row r="3" spans="1:10">
      <c r="B3" s="13" t="s">
        <v>578</v>
      </c>
    </row>
    <row r="4" spans="1:10">
      <c r="B4" s="13" t="s">
        <v>579</v>
      </c>
    </row>
    <row r="5" spans="1:10" ht="6" customHeight="1"/>
    <row r="6" spans="1:10" ht="15">
      <c r="B6" s="56" t="s">
        <v>580</v>
      </c>
      <c r="C6" s="57" t="s">
        <v>581</v>
      </c>
      <c r="D6" s="57" t="s">
        <v>118</v>
      </c>
      <c r="E6" s="33" t="s">
        <v>31</v>
      </c>
      <c r="H6" s="16"/>
    </row>
    <row r="7" spans="1:10" ht="24.95" customHeight="1">
      <c r="B7" s="6" t="str">
        <f>IF(C2="Oui existant","COTS ou Développement interne? (Commercial Off-The-Shelf solution)","Vous prévoyez quel type de solution?: COTS ou Développement interne? (Commercial Off-The-Shelf solution)")</f>
        <v>Vous prévoyez quel type de solution?: COTS ou Développement interne? (Commercial Off-The-Shelf solution)</v>
      </c>
      <c r="C7" s="20" t="s">
        <v>770</v>
      </c>
      <c r="D7" s="182" t="s">
        <v>834</v>
      </c>
      <c r="E7" s="12">
        <f>IF(TRIM(B7)="","",IF(TRIM(C7)="",0,1))</f>
        <v>1</v>
      </c>
      <c r="G7" s="171">
        <f>IF(AND(TRIM(B7)&lt;&gt;"",TRIM(C7)&lt;&gt;""),IF(C7="COTS",5,IF(C7="Développement interne",1,0)),"")</f>
        <v>0</v>
      </c>
      <c r="H7" s="171">
        <f>IF(AND(TRIM(B7)&lt;&gt;"",TRIM(C7)&lt;&gt;""),5,"")</f>
        <v>5</v>
      </c>
      <c r="I7" s="178" t="s">
        <v>8</v>
      </c>
      <c r="J7" s="178" t="s">
        <v>769</v>
      </c>
    </row>
    <row r="8" spans="1:10">
      <c r="B8" s="6" t="str">
        <f>IF(C7="COTS","Nom de l'éditeur","")</f>
        <v/>
      </c>
      <c r="C8" s="20"/>
      <c r="D8" s="20"/>
      <c r="E8" s="12" t="str">
        <f t="shared" ref="E8:E52" si="0">IF(TRIM(B8)="","",IF(TRIM(C8)="",0,1))</f>
        <v/>
      </c>
      <c r="G8" s="171" t="str">
        <f>IF(AND(TRIM(B8)&lt;&gt;"",TRIM(C8)&lt;&gt;""),IF(ISNA(VLOOKUP(C8,I7:J18,2,0)),1,VLOOKUP(C8,I7:J18,2,0)),"")</f>
        <v/>
      </c>
      <c r="H8" s="171" t="str">
        <f>IF(AND(TRIM(B8)&lt;&gt;"",TRIM(C8)&lt;&gt;""),10,"")</f>
        <v/>
      </c>
      <c r="I8" s="172" t="s">
        <v>835</v>
      </c>
      <c r="J8" s="172">
        <v>6</v>
      </c>
    </row>
    <row r="9" spans="1:10">
      <c r="B9" s="6" t="str">
        <f>IF(C2="Oui existant","Nom de la solution",IF(AND(C7&lt;&gt;"Non prévu",C7&lt;&gt;""),"Nom de la solution (si déjà identifiée)",""))</f>
        <v/>
      </c>
      <c r="C9" s="20"/>
      <c r="D9" s="20"/>
      <c r="E9" s="12" t="str">
        <f t="shared" si="0"/>
        <v/>
      </c>
      <c r="G9" s="398"/>
      <c r="H9" s="398" t="str">
        <f>IF(AND(TRIM(B9)&lt;&gt;"",TRIM(C9)&lt;&gt;""),5,"")</f>
        <v/>
      </c>
      <c r="I9" s="172" t="s">
        <v>585</v>
      </c>
      <c r="J9" s="172">
        <v>9</v>
      </c>
    </row>
    <row r="10" spans="1:10">
      <c r="B10" s="6" t="str">
        <f>IF(C2="Oui existant","Quelle est la version/release de l'application ?",IF(AND(C7&lt;&gt;"Non prévu",C7&lt;&gt;""),"Quelle est la version/release qui sera implémentée ?",""))</f>
        <v/>
      </c>
      <c r="C10" s="22"/>
      <c r="D10" s="20"/>
      <c r="E10" s="12" t="str">
        <f>IF(TRIM(B10)="","",IF(TRIM(C10)="",0,1))</f>
        <v/>
      </c>
      <c r="G10" s="398"/>
      <c r="H10" s="398"/>
      <c r="I10" s="172" t="s">
        <v>836</v>
      </c>
      <c r="J10" s="172">
        <v>10</v>
      </c>
    </row>
    <row r="11" spans="1:10">
      <c r="B11" s="6" t="str">
        <f>IF(C2="Oui existant","Quelle est la dernière version de l'application ?",IF(AND(C7&lt;&gt;"Non prévu",C7&lt;&gt;""),"Quelle est la dernière version de cette nouvelle solution ?",""))</f>
        <v/>
      </c>
      <c r="C11" s="22"/>
      <c r="D11" s="20"/>
      <c r="E11" s="12" t="str">
        <f>IF(TRIM(B11)="","",IF(TRIM(C11)="",0,1))</f>
        <v/>
      </c>
      <c r="G11" s="398"/>
      <c r="H11" s="398"/>
      <c r="I11" s="172" t="s">
        <v>819</v>
      </c>
      <c r="J11" s="172">
        <v>7</v>
      </c>
    </row>
    <row r="12" spans="1:10">
      <c r="B12" s="6" t="str">
        <f>IF(C2="Oui existant","Etes-vous au courant d’une évolution majeure en cours sur cette application","")</f>
        <v/>
      </c>
      <c r="C12" s="22"/>
      <c r="D12" s="20"/>
      <c r="E12" s="12" t="str">
        <f>IF(TRIM(B12)="","",IF(TRIM(C12)="",0,1))</f>
        <v/>
      </c>
      <c r="G12" s="171"/>
      <c r="H12" s="171"/>
      <c r="I12" s="172" t="s">
        <v>837</v>
      </c>
      <c r="J12" s="172">
        <v>7</v>
      </c>
    </row>
    <row r="13" spans="1:10">
      <c r="B13" s="6" t="str">
        <f>IF(C2="Oui existant","Qui contrôle les évolutions sur cette Application ?","")</f>
        <v/>
      </c>
      <c r="C13" s="22"/>
      <c r="D13" s="20"/>
      <c r="E13" s="12" t="str">
        <f>IF(TRIM(B13)="","",IF(TRIM(C13)="",0,1))</f>
        <v/>
      </c>
      <c r="G13" s="171"/>
      <c r="H13" s="171"/>
      <c r="I13" s="172" t="s">
        <v>815</v>
      </c>
      <c r="J13" s="172">
        <v>8</v>
      </c>
    </row>
    <row r="14" spans="1:10" s="9" customFormat="1" ht="26.1" customHeight="1">
      <c r="B14" s="7" t="str">
        <f>IF(C2="Oui existant","Quelle est la criticité de cette application ? combien de temps peut-on supporter son indisponibilité (colonne détail) ?","Quelle est la criticité de ce besoin ?")</f>
        <v>Quelle est la criticité de ce besoin ?</v>
      </c>
      <c r="C14" s="20" t="s">
        <v>781</v>
      </c>
      <c r="D14" s="21"/>
      <c r="E14" s="12">
        <f>IF(TRIM(B14)="","",IF(TRIM(C14)="",0,1))</f>
        <v>1</v>
      </c>
      <c r="G14" s="171"/>
      <c r="H14" s="171"/>
      <c r="I14" s="172" t="s">
        <v>838</v>
      </c>
      <c r="J14" s="172">
        <v>7</v>
      </c>
    </row>
    <row r="15" spans="1:10">
      <c r="B15" s="6" t="str">
        <f>IF(C7="COTS","Est-ce un module du CBS ou une  solution séparée?","")</f>
        <v/>
      </c>
      <c r="C15" s="20"/>
      <c r="D15" s="20"/>
      <c r="E15" s="12" t="str">
        <f t="shared" si="0"/>
        <v/>
      </c>
      <c r="G15" s="173" t="str">
        <f>IF(AND(TRIM(B15)&lt;&gt;"",TRIM(C15)&lt;&gt;""),IF(C15="Module du CBS",5,20),"")</f>
        <v/>
      </c>
      <c r="H15" s="173" t="str">
        <f>IF(AND(TRIM(B15)&lt;&gt;"",TRIM(C15)&lt;&gt;""),20,"")</f>
        <v/>
      </c>
      <c r="I15" s="172" t="s">
        <v>839</v>
      </c>
      <c r="J15" s="172">
        <v>8</v>
      </c>
    </row>
    <row r="16" spans="1:10">
      <c r="B16" s="6" t="str">
        <f>IF(C2="Oui existant","Quand l’application a-t-elle été implémentée ?",IF(AND(C7&lt;&gt;"Non prévu",C7&lt;&gt;""),"Quand l’application sera-t-elle implémentée ?",""))</f>
        <v/>
      </c>
      <c r="C16" s="20"/>
      <c r="D16" s="20"/>
      <c r="E16" s="12" t="str">
        <f t="shared" si="0"/>
        <v/>
      </c>
      <c r="G16" s="173" t="str">
        <f>IF(AND(TRIM(B16)&lt;&gt;"",TRIM(C16)&lt;&gt;""),IF((2024-C16)&lt;=5,10,IF((2024-C16)&lt;=10,2,0)),"")</f>
        <v/>
      </c>
      <c r="H16" s="173" t="str">
        <f>IF(AND(TRIM(B16)&lt;&gt;"",TRIM(C16)&lt;&gt;""),10,"")</f>
        <v/>
      </c>
      <c r="I16" s="172" t="s">
        <v>840</v>
      </c>
      <c r="J16" s="172">
        <v>6</v>
      </c>
    </row>
    <row r="17" spans="2:10">
      <c r="B17" s="6" t="str">
        <f>IF(C2="Oui existant","Qui l'a implémenté ?",IF(AND(C7&lt;&gt;"Non prévu",C7&lt;&gt;""),"Qui doit l'implémenter ?",""))</f>
        <v/>
      </c>
      <c r="C17" s="20"/>
      <c r="D17" s="20"/>
      <c r="E17" s="12" t="str">
        <f t="shared" si="0"/>
        <v/>
      </c>
      <c r="G17" s="171"/>
      <c r="H17" s="171"/>
      <c r="I17" s="172" t="s">
        <v>841</v>
      </c>
      <c r="J17" s="172">
        <v>5</v>
      </c>
    </row>
    <row r="18" spans="2:10" ht="42.95" customHeight="1">
      <c r="B18" s="6" t="str">
        <f>IF(C2="Oui existant","Quels sont les applications integrées au Middleware ?",IF(AND(C7&lt;&gt;"Non prévu",C7&lt;&gt;""),"Quels sont les applications qui doivent être integrées au Middleware ?",""))</f>
        <v/>
      </c>
      <c r="C18" s="20"/>
      <c r="D18" s="20"/>
      <c r="E18" s="12" t="str">
        <f t="shared" si="0"/>
        <v/>
      </c>
      <c r="G18" s="171"/>
      <c r="H18" s="173" t="str">
        <f>IF(AND(TRIM(B18)&lt;&gt;"",TRIM(C18)&lt;&gt;""),10,"")</f>
        <v/>
      </c>
      <c r="I18" s="172" t="s">
        <v>842</v>
      </c>
      <c r="J18" s="172">
        <v>5</v>
      </c>
    </row>
    <row r="19" spans="2:10">
      <c r="B19" s="6" t="str">
        <f>IF(C2="Oui existant","Quelle(s) technologie(s) sous-jacente(s) ?","")</f>
        <v/>
      </c>
      <c r="C19" s="20"/>
      <c r="D19" s="20"/>
      <c r="E19" s="12" t="str">
        <f t="shared" si="0"/>
        <v/>
      </c>
      <c r="G19" s="171"/>
      <c r="H19" s="171"/>
      <c r="I19" s="172"/>
      <c r="J19" s="172"/>
    </row>
    <row r="20" spans="2:10" ht="24.6" customHeight="1">
      <c r="B20" s="6" t="str">
        <f>IF(C2="Oui existant","Est-ce qu'il est prévu de remplacer cette solution par une autre ? Si oui, veuillez mettre le nom de la nouvelle solution et la période prévue dans la colonne détails","")</f>
        <v/>
      </c>
      <c r="C20" s="20"/>
      <c r="D20" s="20"/>
      <c r="E20" s="12" t="str">
        <f t="shared" si="0"/>
        <v/>
      </c>
      <c r="G20" s="173" t="str">
        <f>IF(AND(TRIM(B20)&lt;&gt;"",TRIM(C20)&lt;&gt;""),IF(C20="Non",30,0),"")</f>
        <v/>
      </c>
      <c r="H20" s="173" t="str">
        <f>IF(AND(TRIM(B20)&lt;&gt;"",TRIM(C20)&lt;&gt;""),30,"")</f>
        <v/>
      </c>
      <c r="I20" s="172"/>
      <c r="J20" s="172"/>
    </row>
    <row r="21" spans="2:10">
      <c r="B21" s="6" t="str">
        <f>IF(C2="Oui existant","Quels ont été les acquisitions de licences détaillées (nombre, date, coût) ?","")</f>
        <v/>
      </c>
      <c r="C21" s="20"/>
      <c r="D21" s="20"/>
      <c r="E21" s="12" t="str">
        <f t="shared" si="0"/>
        <v/>
      </c>
      <c r="G21" s="171"/>
      <c r="H21" s="171"/>
      <c r="I21" s="172"/>
      <c r="J21" s="172"/>
    </row>
    <row r="22" spans="2:10">
      <c r="B22" s="6" t="str">
        <f>IF(C2="Oui existant","Quel est le nombre actuel de licences détenues par la filiale?",IF(AND(C7&lt;&gt;"Non prévu",C7&lt;&gt;""),"Combien de licences projettez-vous d'acquérir ?",""))</f>
        <v/>
      </c>
      <c r="C22" s="20"/>
      <c r="D22" s="20"/>
      <c r="E22" s="12" t="str">
        <f t="shared" si="0"/>
        <v/>
      </c>
      <c r="G22" s="171"/>
      <c r="H22" s="171"/>
      <c r="I22" s="172"/>
      <c r="J22" s="172"/>
    </row>
    <row r="23" spans="2:10">
      <c r="B23" s="6" t="str">
        <f>IF(C7="COTS","Quel est leur modèle de licences ?","")</f>
        <v/>
      </c>
      <c r="C23" s="20"/>
      <c r="D23" s="20"/>
      <c r="E23" s="12" t="str">
        <f t="shared" si="0"/>
        <v/>
      </c>
      <c r="G23" s="171"/>
      <c r="H23" s="171"/>
      <c r="I23" s="172"/>
      <c r="J23" s="172"/>
    </row>
    <row r="24" spans="2:10" ht="36.6" customHeight="1">
      <c r="B24" s="6" t="str">
        <f>IF(C2="Oui existant","Des licences supplémentaires sont-elles nécessaires pour l'utilisation de l'application (outil supplémentaire, interfaces, modules complémentaires, …) ? Par module / par utilisateur ?",IF(AND(C7&lt;&gt;"Non prévu",C7&lt;&gt;""),"Est-ce que vous projettez d'acquérir d'autres licences par la suite ? combien et quand ?",""))</f>
        <v/>
      </c>
      <c r="C24" s="20"/>
      <c r="D24" s="21"/>
      <c r="E24" s="12" t="str">
        <f t="shared" si="0"/>
        <v/>
      </c>
      <c r="G24" s="171"/>
      <c r="H24" s="171"/>
      <c r="I24" s="172"/>
      <c r="J24" s="172"/>
    </row>
    <row r="25" spans="2:10">
      <c r="B25" s="6" t="str">
        <f>IF(C2="Oui existant","Quel est le coût du support éditeur ?",IF(AND(C7&lt;&gt;"Non prévu",C7&lt;&gt;""),"Quel sera le coût du support éditeur ?",""))</f>
        <v/>
      </c>
      <c r="C25" s="20"/>
      <c r="D25" s="20"/>
      <c r="E25" s="12" t="str">
        <f t="shared" si="0"/>
        <v/>
      </c>
      <c r="G25" s="171"/>
      <c r="H25" s="172"/>
      <c r="I25" s="172"/>
      <c r="J25" s="172"/>
    </row>
    <row r="26" spans="2:10">
      <c r="B26" s="6" t="str">
        <f>IF(C2="Oui existant","Existe-t-il un contrat de support avec un fournisseur ou un partenaire ? Pouvez-vous le partager ?","")</f>
        <v/>
      </c>
      <c r="C26" s="20"/>
      <c r="D26" s="20"/>
      <c r="E26" s="12" t="str">
        <f t="shared" si="0"/>
        <v/>
      </c>
      <c r="G26" s="173" t="str">
        <f>IF(AND(TRIM(B26)&lt;&gt;"",TRIM(C26)&lt;&gt;""),IF(C26="Oui",5,0),"")</f>
        <v/>
      </c>
      <c r="H26" s="173" t="str">
        <f>IF(AND(TRIM(B26)&lt;&gt;"",TRIM(C26)&lt;&gt;""),5,"")</f>
        <v/>
      </c>
      <c r="I26" s="172"/>
      <c r="J26" s="172"/>
    </row>
    <row r="27" spans="2:10">
      <c r="B27" s="6" t="str">
        <f>IF(C2="Oui existant","Le contrat est-il global couvrant plusieurs filiales ou dédié à la filiale ?",IF(AND(C7&lt;&gt;"Non prévu",C7&lt;&gt;""),"Projettez-vous une acquisition individuelle ou groupe ?",""))</f>
        <v/>
      </c>
      <c r="C27" s="20"/>
      <c r="D27" s="20"/>
      <c r="E27" s="12" t="str">
        <f t="shared" si="0"/>
        <v/>
      </c>
      <c r="G27" s="173"/>
      <c r="H27" s="173"/>
      <c r="I27" s="172"/>
      <c r="J27" s="172"/>
    </row>
    <row r="28" spans="2:10" ht="15.95" customHeight="1">
      <c r="B28" s="6" t="str">
        <f>IF(C2="Oui existant","Le contrat comprend-il un SLA formel ? Cela inclut-il un engagement de performance ?","")</f>
        <v/>
      </c>
      <c r="C28" s="20"/>
      <c r="D28" s="20"/>
      <c r="E28" s="12" t="str">
        <f>IF(TRIM(B28)="","",IF(TRIM(C28)="",0,1))</f>
        <v/>
      </c>
      <c r="G28" s="173" t="str">
        <f>IF(AND(TRIM(B28)&lt;&gt;"",TRIM(C28)&lt;&gt;""),IF(C28="Oui et oui",5,IF(C28="Oui et non",3,0)),"")</f>
        <v/>
      </c>
      <c r="H28" s="173" t="str">
        <f>IF(AND(TRIM(B28)&lt;&gt;"",TRIM(C28)&lt;&gt;""),5,"")</f>
        <v/>
      </c>
      <c r="I28" s="172"/>
      <c r="J28" s="172"/>
    </row>
    <row r="29" spans="2:10" ht="39.950000000000003" customHeight="1">
      <c r="B29" s="6" t="str">
        <f>IF(C2="Oui existant","Combien de ETP internes sont dédiés aux support (Niveaux 1, 2 et 3) de cette solution ?
Veuillez décrire dans la colonne détail la répartition des principales activités, les compétences et les rôles",IF(AND(C7&lt;&gt;"Non prévu",C7&lt;&gt;""),"Combien de ETP internes projettez-vous de dédier aux support (Niveaux 1, 2 et 3) de cette solution ?",""))</f>
        <v/>
      </c>
      <c r="C29" s="20"/>
      <c r="D29" s="21"/>
      <c r="E29" s="12" t="str">
        <f t="shared" ref="E29:E30" si="1">IF(TRIM(B29)="","",IF(TRIM(C29)="",0,IF(TRIM(D29)="",0.5,1)))</f>
        <v/>
      </c>
      <c r="G29" s="171"/>
      <c r="H29" s="171"/>
      <c r="I29" s="172"/>
      <c r="J29" s="172"/>
    </row>
    <row r="30" spans="2:10" ht="51" customHeight="1">
      <c r="B30" s="6" t="str">
        <f>IF(C2="Oui existant","Combien de ETP internes sont dédiés aux changements opérés sur cette solution (incluant Dev, Config, Mise en prod) ?
Veuillez décrire dans la colonne détail la répartition des principales activités, les compétences et les rôles",IF(AND(C7&lt;&gt;"Non prévu",C7&lt;&gt;""),"Combien de ETP internes projettez-vous de dédier aux changements sur cette solution (incluant Dev, Config, Mise en prod) ?",""))</f>
        <v/>
      </c>
      <c r="C30" s="20"/>
      <c r="D30" s="21"/>
      <c r="E30" s="12" t="str">
        <f t="shared" si="1"/>
        <v/>
      </c>
      <c r="G30" s="171"/>
      <c r="H30" s="171"/>
      <c r="I30" s="172"/>
      <c r="J30" s="172"/>
    </row>
    <row r="31" spans="2:10">
      <c r="B31" s="6" t="str">
        <f>IF(C2="Oui existant","Qui administre cette solution et apporte le support aux utilisateurs l'IT Groupe, l'IT local ou les 2 ?",IF(AND(C7&lt;&gt;"Non prévu",C7&lt;&gt;""),"Qui va administrer cette solution et apporter le support aux utilisateurs: l'IT Groupe, l'IT local ou les 2 ?",""))</f>
        <v/>
      </c>
      <c r="C31" s="20"/>
      <c r="D31" s="20"/>
      <c r="E31" s="12" t="str">
        <f t="shared" si="0"/>
        <v/>
      </c>
      <c r="G31" s="171" t="str">
        <f>IF(AND(TRIM(B31)&lt;&gt;"",TRIM(C31)&lt;&gt;""),IF(C31="Oui",3,0),"")</f>
        <v/>
      </c>
      <c r="H31" s="171" t="str">
        <f>IF(AND(TRIM(B31)&lt;&gt;"",TRIM(C31)&lt;&gt;""),3,"")</f>
        <v/>
      </c>
      <c r="I31" s="172"/>
      <c r="J31" s="172"/>
    </row>
    <row r="32" spans="2:10">
      <c r="B32" s="6" t="str">
        <f>IF(C31="Les 2","A quelle proportion chacun ? et existe-t-il un SLA interne entre Group IT et la filiale ? S'il existe, pouvez-vous le partager
vous pouvez décrire dans la partie détails les responsabilités de chaque partie","")</f>
        <v/>
      </c>
      <c r="C32" s="20"/>
      <c r="D32" s="21"/>
      <c r="E32" s="12" t="str">
        <f t="shared" si="0"/>
        <v/>
      </c>
      <c r="G32" s="171"/>
      <c r="H32" s="171"/>
      <c r="I32" s="172"/>
      <c r="J32" s="172"/>
    </row>
    <row r="33" spans="2:10">
      <c r="B33" s="6" t="str">
        <f>IF(C2="Oui existant","Avez-vous un historique des KPI pour la disponibilité et le support de cette application ? Si oui, pouvez-vous les partager","")</f>
        <v/>
      </c>
      <c r="C33" s="20"/>
      <c r="D33" s="20"/>
      <c r="E33" s="12" t="str">
        <f t="shared" si="0"/>
        <v/>
      </c>
      <c r="G33" s="171" t="str">
        <f>IF(AND(TRIM(B33)&lt;&gt;"",TRIM(C33)&lt;&gt;""),IF(C33="Oui",3,0),"")</f>
        <v/>
      </c>
      <c r="H33" s="171" t="str">
        <f>IF(AND(TRIM(B33)&lt;&gt;"",TRIM(C33)&lt;&gt;""),3,"")</f>
        <v/>
      </c>
      <c r="I33" s="172"/>
      <c r="J33" s="172"/>
    </row>
    <row r="34" spans="2:10">
      <c r="B34" s="6" t="str">
        <f>IF(C2="Oui existant","Existe-t-il un processus de suivi des contrats groupe et tiers ?","")</f>
        <v/>
      </c>
      <c r="C34" s="20"/>
      <c r="D34" s="20"/>
      <c r="E34" s="12" t="str">
        <f t="shared" si="0"/>
        <v/>
      </c>
      <c r="G34" s="171"/>
      <c r="H34" s="171"/>
      <c r="I34" s="172"/>
      <c r="J34" s="172"/>
    </row>
    <row r="35" spans="2:10">
      <c r="B35" s="6" t="str">
        <f>IF(C2="Oui existant","L'application est-elle installée sur site ou utilisée sur le Cloud (SaaS) ?",IF(AND(C7&lt;&gt;"Non prévu",C7&lt;&gt;""),"La nouvelle solution sera-t-elle installée sur site ou utilisée sur le Cloud (SaaS) ?",""))</f>
        <v/>
      </c>
      <c r="C35" s="20"/>
      <c r="D35" s="20"/>
      <c r="E35" s="12" t="str">
        <f t="shared" si="0"/>
        <v/>
      </c>
      <c r="G35" s="171" t="str">
        <f>IF(AND(TRIM(B35)&lt;&gt;"",TRIM(C35)&lt;&gt;""),IF(C35="Cloud",5,2),"")</f>
        <v/>
      </c>
      <c r="H35" s="171" t="str">
        <f>IF(AND(TRIM(B35)&lt;&gt;"",TRIM(C35)&lt;&gt;""),5,"")</f>
        <v/>
      </c>
      <c r="I35" s="172"/>
      <c r="J35" s="172"/>
    </row>
    <row r="36" spans="2:10">
      <c r="B36" s="6" t="str">
        <f>IF(AND(C35="Cloud",C7="COTS"),"Si c'est sur le Cloud, est-ce entièrement SaaS ou Infra gérée par l'équipe locale ?","")</f>
        <v/>
      </c>
      <c r="C36" s="22"/>
      <c r="D36" s="20"/>
      <c r="E36" s="12" t="str">
        <f t="shared" si="0"/>
        <v/>
      </c>
      <c r="G36" s="171" t="str">
        <f>IF(AND(TRIM(B36)&lt;&gt;"",TRIM(C36)&lt;&gt;""),IF(C36="SaaS",3,1),"")</f>
        <v/>
      </c>
      <c r="H36" s="171" t="str">
        <f>IF(AND(TRIM(B36)&lt;&gt;"",TRIM(C36)&lt;&gt;""),3,"")</f>
        <v/>
      </c>
      <c r="I36" s="172"/>
      <c r="J36" s="172"/>
    </row>
    <row r="37" spans="2:10">
      <c r="B37" s="6" t="str">
        <f>IF(C35="On-site","Comment sont acquis les serveurs (achat/location/sous-traitance) ?","")</f>
        <v/>
      </c>
      <c r="C37" s="22"/>
      <c r="D37" s="20"/>
      <c r="E37" s="12" t="str">
        <f t="shared" si="0"/>
        <v/>
      </c>
      <c r="G37" s="171"/>
      <c r="H37" s="171"/>
      <c r="I37" s="172"/>
      <c r="J37" s="172"/>
    </row>
    <row r="38" spans="2:10">
      <c r="B38" s="6" t="str">
        <f>IF(C2="Oui existant","Où sont installés les serveurs ?","")</f>
        <v/>
      </c>
      <c r="C38" s="22"/>
      <c r="D38" s="20"/>
      <c r="E38" s="12" t="str">
        <f t="shared" si="0"/>
        <v/>
      </c>
      <c r="G38" s="171"/>
      <c r="H38" s="171"/>
      <c r="I38" s="172"/>
      <c r="J38" s="172"/>
    </row>
    <row r="39" spans="2:10">
      <c r="B39" s="6" t="str">
        <f>IF(C2="Oui existant","Sur quels systèmes (versions) cette application s'exécute-t-elle ?",IF(AND(C7&lt;&gt;"Non prévu",C7&lt;&gt;""),"Sur quels systèmes (versions) cette application sera-t-elle implémentée ?",""))</f>
        <v/>
      </c>
      <c r="C39" s="22"/>
      <c r="D39" s="20"/>
      <c r="E39" s="12" t="str">
        <f t="shared" si="0"/>
        <v/>
      </c>
      <c r="G39" s="171"/>
      <c r="H39" s="171"/>
      <c r="I39" s="172"/>
      <c r="J39" s="172"/>
    </row>
    <row r="40" spans="2:10">
      <c r="B40" s="6" t="str">
        <f>IF(C2="Oui existant","Sur quelle base de données cette application tourne-t-elle ?",IF(AND(C7&lt;&gt;"Non prévu",C7&lt;&gt;""),"Sur quelle base de données cette application tourne-t-elle ?",""))</f>
        <v/>
      </c>
      <c r="C40" s="22"/>
      <c r="D40" s="20"/>
      <c r="E40" s="12" t="str">
        <f t="shared" si="0"/>
        <v/>
      </c>
      <c r="G40" s="171"/>
      <c r="H40" s="171"/>
      <c r="I40" s="172"/>
      <c r="J40" s="172"/>
    </row>
    <row r="41" spans="2:10">
      <c r="B41" s="6" t="str">
        <f>IF(C2="Oui existant","Existe-t-il une architecture haute disponibilité (réplication) ?",IF(AND(C7&lt;&gt;"Non prévu",C7&lt;&gt;""),"Est-ce qu'il est prévu une architecture haute disponibilité (réplication) ?",""))</f>
        <v/>
      </c>
      <c r="C41" s="22"/>
      <c r="D41" s="20"/>
      <c r="E41" s="12" t="str">
        <f t="shared" si="0"/>
        <v/>
      </c>
      <c r="G41" s="171" t="str">
        <f>IF(AND(TRIM(B41)&lt;&gt;"",TRIM(C41)&lt;&gt;""),IF(C41="Oui",5,0),"")</f>
        <v/>
      </c>
      <c r="H41" s="171" t="str">
        <f t="shared" ref="H41:H43" si="2">IF(AND(TRIM(B41)&lt;&gt;"",TRIM(C41)&lt;&gt;""),5,"")</f>
        <v/>
      </c>
      <c r="I41" s="172"/>
      <c r="J41" s="172"/>
    </row>
    <row r="42" spans="2:10">
      <c r="B42" s="6" t="str">
        <f>IF(C41="Oui","Entièrement ou partiellement ? Actif-Actif ou Actif-Passif ?","")</f>
        <v/>
      </c>
      <c r="C42" s="22"/>
      <c r="D42" s="20"/>
      <c r="E42" s="12" t="str">
        <f t="shared" si="0"/>
        <v/>
      </c>
      <c r="G42" s="171"/>
      <c r="H42" s="171"/>
      <c r="I42" s="172"/>
      <c r="J42" s="172"/>
    </row>
    <row r="43" spans="2:10">
      <c r="B43" s="6" t="str">
        <f>IF(C2="Oui existant","Existe-t-il un plan de récupération pour cette application ?","")</f>
        <v/>
      </c>
      <c r="C43" s="22"/>
      <c r="D43" s="20"/>
      <c r="E43" s="12" t="str">
        <f t="shared" si="0"/>
        <v/>
      </c>
      <c r="G43" s="171" t="str">
        <f>IF(AND(TRIM(B43)&lt;&gt;"",TRIM(C43)&lt;&gt;""),IF(C43="Oui",5,0),"")</f>
        <v/>
      </c>
      <c r="H43" s="171" t="str">
        <f t="shared" si="2"/>
        <v/>
      </c>
      <c r="I43" s="172"/>
      <c r="J43" s="172"/>
    </row>
    <row r="44" spans="2:10">
      <c r="B44" s="6" t="str">
        <f>IF(C2="Oui existant","Qui gère les données de la base de données ?",IF(AND(C7&lt;&gt;"Non prévu",C7&lt;&gt;""),"Qui va gèrer les données de la base de données ?",""))</f>
        <v/>
      </c>
      <c r="C44" s="22"/>
      <c r="D44" s="20"/>
      <c r="E44" s="12" t="str">
        <f t="shared" si="0"/>
        <v/>
      </c>
      <c r="G44" s="171"/>
      <c r="H44" s="171"/>
      <c r="I44" s="172"/>
      <c r="J44" s="172"/>
    </row>
    <row r="45" spans="2:10" ht="40.5" customHeight="1">
      <c r="B45" s="6" t="str">
        <f>IF(C2="Oui existant","Quelles sont les interfaces existantes de cette application ? Veuillez décrire et partager tout document d'architecture",IF(AND(C7&lt;&gt;"Non prévu",C7&lt;&gt;""),"Quelles sont les interfaces prévues ? Veuillez décrire et partager tout document d'architecture cible",""))</f>
        <v/>
      </c>
      <c r="C45" s="20"/>
      <c r="D45" s="21"/>
      <c r="E45" s="12" t="str">
        <f t="shared" ref="E45:E46" si="3">IF(TRIM(B45)="","",IF(TRIM(C45)="",0,IF(TRIM(D45)="",0.5,1)))</f>
        <v/>
      </c>
      <c r="G45" s="171"/>
      <c r="H45" s="171"/>
      <c r="I45" s="172"/>
      <c r="J45" s="172"/>
    </row>
    <row r="46" spans="2:10" ht="40.5" customHeight="1">
      <c r="B46" s="6" t="str">
        <f>IF(C2="Oui existant","L'application est-elle complètement en temps réel ou y'a-t-il des batchs la nuit ? Décrivez s'il vous plait",IF(AND(C7&lt;&gt;"Non prévu",C7&lt;&gt;""),"L'application sera-t-elle complètement en temps réel ou y'aura-t-il des batchs la nuit ? Décrivez s'il vous plait",""))</f>
        <v/>
      </c>
      <c r="C46" s="20"/>
      <c r="D46" s="21"/>
      <c r="E46" s="12" t="str">
        <f t="shared" si="3"/>
        <v/>
      </c>
      <c r="G46" s="171"/>
      <c r="H46" s="171"/>
      <c r="I46" s="172"/>
      <c r="J46" s="172"/>
    </row>
    <row r="47" spans="2:10">
      <c r="B47" s="6" t="str">
        <f>IF(C2="Oui existant","Avez-vous connaissance d'un quelconque problème potentiel lié à la continuité de cette application (par exemple départ ou indisponibilité des ressources clés, fin de support, bug critique, ...), si oui lequel dans détails?","")</f>
        <v/>
      </c>
      <c r="C47" s="22"/>
      <c r="D47" s="20"/>
      <c r="E47" s="12" t="str">
        <f t="shared" si="0"/>
        <v/>
      </c>
      <c r="G47" s="171" t="str">
        <f>IF(AND(TRIM(B47)&lt;&gt;"",TRIM(C47)&lt;&gt;""),IF(C47="Oui",0,10),"")</f>
        <v/>
      </c>
      <c r="H47" s="171" t="str">
        <f>IF(AND(TRIM(B47)&lt;&gt;"",TRIM(C47)&lt;&gt;""),10,"")</f>
        <v/>
      </c>
      <c r="I47" s="172"/>
      <c r="J47" s="172"/>
    </row>
    <row r="48" spans="2:10">
      <c r="B48" s="6" t="str">
        <f>IF(C2="Oui existant","Est-ce que des sauvegardes sont réalisées régulièrement ?",IF(AND(C7&lt;&gt;"Non prévu",C7&lt;&gt;""),"Est-ce que des sauvegardes sont prévus dès l'implémentation ?",""))</f>
        <v/>
      </c>
      <c r="C48" s="22"/>
      <c r="D48" s="20"/>
      <c r="E48" s="12" t="str">
        <f t="shared" si="0"/>
        <v/>
      </c>
      <c r="G48" s="171" t="str">
        <f>IF(AND(TRIM(B48)&lt;&gt;"",TRIM(C48)&lt;&gt;""),IF(C48="Oui",5,0),"")</f>
        <v/>
      </c>
      <c r="H48" s="171" t="str">
        <f t="shared" ref="H48" si="4">IF(AND(TRIM(B48)&lt;&gt;"",TRIM(C48)&lt;&gt;""),5,"")</f>
        <v/>
      </c>
      <c r="I48" s="172"/>
      <c r="J48" s="172"/>
    </row>
    <row r="49" spans="2:10">
      <c r="B49" s="6" t="str">
        <f>IF(C48="Oui","A quelle fréquence sont-elles exécutées?","")</f>
        <v/>
      </c>
      <c r="C49" s="22"/>
      <c r="D49" s="20"/>
      <c r="E49" s="12" t="str">
        <f t="shared" si="0"/>
        <v/>
      </c>
      <c r="G49" s="173"/>
      <c r="H49" s="173" t="str">
        <f>IF(AND(TRIM(B49)&lt;&gt;"",TRIM(C49)&lt;&gt;""),3,"")</f>
        <v/>
      </c>
      <c r="I49" s="172"/>
      <c r="J49" s="172"/>
    </row>
    <row r="50" spans="2:10">
      <c r="B50" s="6" t="str">
        <f>IF(C48="Oui","Avez-vous une politique de rétention en place ? Si oui, pouvez-vous me la partager?","")</f>
        <v/>
      </c>
      <c r="C50" s="22"/>
      <c r="D50" s="20"/>
      <c r="E50" s="12" t="str">
        <f t="shared" si="0"/>
        <v/>
      </c>
      <c r="G50" s="173" t="str">
        <f>IF(AND(TRIM(B50)&lt;&gt;"",TRIM(C50)&lt;&gt;""),IF(C50="Oui",2,0),"")</f>
        <v/>
      </c>
      <c r="H50" s="173" t="str">
        <f>IF(AND(TRIM(B50)&lt;&gt;"",TRIM(C50)&lt;&gt;""),2,"")</f>
        <v/>
      </c>
      <c r="I50" s="172"/>
      <c r="J50" s="172"/>
    </row>
    <row r="51" spans="2:10">
      <c r="B51" s="6" t="str">
        <f>IF(C48="Oui","Quelle est la solution de sauvegarde/récupération utilisée ?","")</f>
        <v/>
      </c>
      <c r="C51" s="22"/>
      <c r="D51" s="20"/>
      <c r="E51" s="12" t="str">
        <f t="shared" si="0"/>
        <v/>
      </c>
      <c r="G51" s="173"/>
      <c r="H51" s="173" t="str">
        <f t="shared" ref="H51" si="5">IF(AND(TRIM(B51)&lt;&gt;"",TRIM(C51)&lt;&gt;""),3,"")</f>
        <v/>
      </c>
      <c r="I51" s="172"/>
      <c r="J51" s="172"/>
    </row>
    <row r="52" spans="2:10">
      <c r="B52" s="6" t="str">
        <f>IF(C48="Oui","Quelle est la taille totale estimée des sauvegardes ?","")</f>
        <v/>
      </c>
      <c r="C52" s="22"/>
      <c r="D52" s="20"/>
      <c r="E52" s="12" t="str">
        <f t="shared" si="0"/>
        <v/>
      </c>
      <c r="G52" s="171"/>
      <c r="H52" s="171"/>
      <c r="I52" s="172"/>
      <c r="J52" s="172"/>
    </row>
    <row r="53" spans="2:10">
      <c r="G53" s="171">
        <f>SUM(G7:G52)</f>
        <v>0</v>
      </c>
      <c r="H53" s="171">
        <f>SUM(H7:H52)</f>
        <v>5</v>
      </c>
      <c r="I53" s="172"/>
      <c r="J53" s="172"/>
    </row>
    <row r="54" spans="2:10">
      <c r="H54" s="16"/>
    </row>
    <row r="55" spans="2:10">
      <c r="H55" s="16"/>
    </row>
    <row r="56" spans="2:10">
      <c r="H56" s="16"/>
    </row>
    <row r="57" spans="2:10">
      <c r="H57" s="16"/>
    </row>
    <row r="58" spans="2:10">
      <c r="H58" s="16"/>
    </row>
    <row r="59" spans="2:10">
      <c r="H59" s="16"/>
    </row>
    <row r="123" spans="1:1">
      <c r="A123" t="s">
        <v>223</v>
      </c>
    </row>
  </sheetData>
  <sheetProtection formatRows="0"/>
  <mergeCells count="3">
    <mergeCell ref="A1:B1"/>
    <mergeCell ref="G9:G11"/>
    <mergeCell ref="H9:H11"/>
  </mergeCells>
  <conditionalFormatting sqref="B8:B13">
    <cfRule type="containsBlanks" dxfId="426" priority="70">
      <formula>LEN(TRIM(B8))=0</formula>
    </cfRule>
  </conditionalFormatting>
  <conditionalFormatting sqref="B15:B52">
    <cfRule type="containsBlanks" dxfId="425" priority="5">
      <formula>LEN(TRIM(B15))=0</formula>
    </cfRule>
  </conditionalFormatting>
  <conditionalFormatting sqref="C7">
    <cfRule type="containsBlanks" dxfId="424" priority="71">
      <formula>LEN(TRIM(C7))=0</formula>
    </cfRule>
  </conditionalFormatting>
  <conditionalFormatting sqref="C8:C13 C15:C28">
    <cfRule type="expression" dxfId="423" priority="80">
      <formula>AND($B8&lt;&gt;"",$C8="")</formula>
    </cfRule>
  </conditionalFormatting>
  <conditionalFormatting sqref="C14">
    <cfRule type="containsBlanks" dxfId="422" priority="82">
      <formula>LEN(TRIM(C14))=0</formula>
    </cfRule>
  </conditionalFormatting>
  <conditionalFormatting sqref="C29:C31">
    <cfRule type="expression" dxfId="421" priority="6">
      <formula>AND($B29&lt;&gt;"",$C29="")</formula>
    </cfRule>
  </conditionalFormatting>
  <conditionalFormatting sqref="C33:C52">
    <cfRule type="expression" dxfId="420" priority="46">
      <formula>AND($B33&lt;&gt;"",$C33="")</formula>
    </cfRule>
  </conditionalFormatting>
  <conditionalFormatting sqref="C36:C37 C9:D13">
    <cfRule type="expression" dxfId="419" priority="75">
      <formula>$B9=""</formula>
    </cfRule>
  </conditionalFormatting>
  <conditionalFormatting sqref="C38:C41">
    <cfRule type="expression" dxfId="418" priority="42">
      <formula>$B38=""</formula>
    </cfRule>
  </conditionalFormatting>
  <conditionalFormatting sqref="C8:D8 C15:D23 C25:D28">
    <cfRule type="expression" dxfId="417" priority="91">
      <formula>$B8=""</formula>
    </cfRule>
  </conditionalFormatting>
  <conditionalFormatting sqref="C24:D24">
    <cfRule type="expression" dxfId="416" priority="30">
      <formula>$B24=""</formula>
    </cfRule>
  </conditionalFormatting>
  <conditionalFormatting sqref="C29:D35">
    <cfRule type="expression" dxfId="415" priority="1">
      <formula>$B29=""</formula>
    </cfRule>
  </conditionalFormatting>
  <conditionalFormatting sqref="C42:D52">
    <cfRule type="expression" dxfId="414" priority="11">
      <formula>$B42=""</formula>
    </cfRule>
  </conditionalFormatting>
  <conditionalFormatting sqref="D24">
    <cfRule type="containsBlanks" dxfId="413" priority="81">
      <formula>LEN(TRIM(D24))=0</formula>
    </cfRule>
  </conditionalFormatting>
  <conditionalFormatting sqref="D29:D30">
    <cfRule type="containsBlanks" dxfId="412" priority="18">
      <formula>LEN(TRIM(D29))=0</formula>
    </cfRule>
  </conditionalFormatting>
  <conditionalFormatting sqref="D32">
    <cfRule type="containsBlanks" dxfId="411" priority="2">
      <formula>LEN(TRIM(D32))=0</formula>
    </cfRule>
  </conditionalFormatting>
  <conditionalFormatting sqref="D36:D41">
    <cfRule type="expression" dxfId="410" priority="43">
      <formula>$B36=""</formula>
    </cfRule>
  </conditionalFormatting>
  <conditionalFormatting sqref="D45:D46">
    <cfRule type="containsBlanks" dxfId="409" priority="12">
      <formula>LEN(TRIM(D45))=0</formula>
    </cfRule>
  </conditionalFormatting>
  <dataValidations count="12">
    <dataValidation type="list" allowBlank="1" showInputMessage="1" showErrorMessage="1" sqref="C7" xr:uid="{00000000-0002-0000-1100-000000000000}">
      <formula1>"COTS,Développement interne,Non prévu"</formula1>
    </dataValidation>
    <dataValidation type="list" allowBlank="1" showInputMessage="1" showErrorMessage="1" sqref="C15" xr:uid="{00000000-0002-0000-1100-000001000000}">
      <formula1>"Module du CBS,Solution séparée"</formula1>
    </dataValidation>
    <dataValidation type="list" allowBlank="1" showInputMessage="1" showErrorMessage="1" sqref="C2" xr:uid="{00000000-0002-0000-1100-000002000000}">
      <formula1>"Oui existant,Non existant"</formula1>
    </dataValidation>
    <dataValidation type="list" allowBlank="1" showInputMessage="1" showErrorMessage="1" sqref="C14" xr:uid="{00000000-0002-0000-1100-000003000000}">
      <formula1>"Primoridal,Critique,Moyen,Faible"</formula1>
    </dataValidation>
    <dataValidation type="list" allowBlank="1" showInputMessage="1" showErrorMessage="1" sqref="C26 C47:C48 C41 C43 C12 C50 C20 C33:C34" xr:uid="{00000000-0002-0000-1100-000004000000}">
      <formula1>"Oui,Non"</formula1>
    </dataValidation>
    <dataValidation type="list" allowBlank="1" showInputMessage="1" showErrorMessage="1" sqref="C23" xr:uid="{00000000-0002-0000-1100-000005000000}">
      <formula1>"Nominatives,Partagées,NA"</formula1>
    </dataValidation>
    <dataValidation type="list" allowBlank="1" showInputMessage="1" showErrorMessage="1" sqref="C27" xr:uid="{00000000-0002-0000-1100-000006000000}">
      <formula1>"Global,Dédié"</formula1>
    </dataValidation>
    <dataValidation type="list" allowBlank="1" showInputMessage="1" showErrorMessage="1" sqref="C35" xr:uid="{00000000-0002-0000-1100-000007000000}">
      <formula1>"On-site,Cloud"</formula1>
    </dataValidation>
    <dataValidation type="list" allowBlank="1" showInputMessage="1" showErrorMessage="1" sqref="C36" xr:uid="{00000000-0002-0000-1100-000008000000}">
      <formula1>"SaaS,Infra gérée"</formula1>
    </dataValidation>
    <dataValidation type="list" allowBlank="1" showInputMessage="1" showErrorMessage="1" sqref="C37" xr:uid="{00000000-0002-0000-1100-000009000000}">
      <formula1>"Achat,Location,Sous-traitance"</formula1>
    </dataValidation>
    <dataValidation type="list" allowBlank="1" showInputMessage="1" showErrorMessage="1" sqref="C28" xr:uid="{00000000-0002-0000-1100-00000A000000}">
      <formula1>"Oui et oui,Oui et non,Non pour les 2"</formula1>
    </dataValidation>
    <dataValidation type="list" allowBlank="1" showInputMessage="1" showErrorMessage="1" sqref="C31" xr:uid="{00000000-0002-0000-1100-00000B000000}">
      <formula1>"IT Groupe,IT Local,Les 2"</formula1>
    </dataValidation>
  </dataValidations>
  <hyperlinks>
    <hyperlink ref="A1" location="Sommaire!A1" display="Retour à la page d'accueil" xr:uid="{00000000-0004-0000-1100-000000000000}"/>
    <hyperlink ref="A1:B1" location="Accueil!A1" display="Retour à la page d'accueil" xr:uid="{00000000-0004-0000-1100-000001000000}"/>
  </hyperlinks>
  <pageMargins left="0.7" right="0.7" top="0.75" bottom="0.75" header="0.3" footer="0.3"/>
  <pageSetup paperSize="9" orientation="portrait" horizontalDpi="4294967293"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A4AC42"/>
  </sheetPr>
  <dimension ref="A1:K123"/>
  <sheetViews>
    <sheetView showGridLines="0" workbookViewId="0">
      <pane ySplit="6" topLeftCell="A7" activePane="bottomLeft" state="frozen"/>
      <selection pane="bottomLeft" activeCell="B23" sqref="B23"/>
    </sheetView>
  </sheetViews>
  <sheetFormatPr defaultColWidth="11.42578125" defaultRowHeight="14.25"/>
  <cols>
    <col min="1" max="1" width="2.28515625" customWidth="1"/>
    <col min="2" max="2" width="63.140625" style="10" customWidth="1"/>
    <col min="3" max="3" width="32.42578125" style="15" customWidth="1"/>
    <col min="4" max="4" width="49.85546875" customWidth="1"/>
    <col min="5" max="5" width="12.85546875" hidden="1" customWidth="1"/>
    <col min="6" max="6" width="7" customWidth="1"/>
    <col min="7" max="7" width="8.140625" style="16" hidden="1" customWidth="1"/>
    <col min="8" max="8" width="8.140625" hidden="1" customWidth="1"/>
    <col min="9" max="9" width="9.140625" hidden="1" customWidth="1"/>
    <col min="10" max="10" width="4.85546875" hidden="1" customWidth="1"/>
    <col min="11" max="11" width="11.42578125" customWidth="1"/>
  </cols>
  <sheetData>
    <row r="1" spans="1:11">
      <c r="A1" s="302" t="s">
        <v>26</v>
      </c>
      <c r="B1" s="302"/>
    </row>
    <row r="2" spans="1:11" s="49" customFormat="1" ht="18">
      <c r="B2" s="123" t="s">
        <v>843</v>
      </c>
      <c r="C2" s="122" t="s">
        <v>768</v>
      </c>
      <c r="G2" s="16"/>
    </row>
    <row r="3" spans="1:11">
      <c r="B3" s="13" t="s">
        <v>578</v>
      </c>
    </row>
    <row r="4" spans="1:11">
      <c r="B4" s="13" t="s">
        <v>579</v>
      </c>
    </row>
    <row r="5" spans="1:11" ht="6" customHeight="1"/>
    <row r="6" spans="1:11" ht="15">
      <c r="B6" s="53" t="s">
        <v>580</v>
      </c>
      <c r="C6" s="54" t="s">
        <v>581</v>
      </c>
      <c r="D6" s="54" t="s">
        <v>118</v>
      </c>
      <c r="E6" s="33" t="s">
        <v>31</v>
      </c>
      <c r="H6" s="16"/>
      <c r="I6" s="141" t="s">
        <v>8</v>
      </c>
      <c r="J6" s="141" t="s">
        <v>769</v>
      </c>
    </row>
    <row r="7" spans="1:11" ht="24.95" customHeight="1">
      <c r="B7" s="6" t="str">
        <f>IF(C2="Oui existant","COTS ou Développement interne? (Commercial Off-The-Shelf solution)","Vous prévoyez quel type de solution?: COTS ou Développement interne? (Commercial Off-The-Shelf solution)")</f>
        <v>Vous prévoyez quel type de solution?: COTS ou Développement interne? (Commercial Off-The-Shelf solution)</v>
      </c>
      <c r="C7" s="20" t="s">
        <v>770</v>
      </c>
      <c r="D7" s="182" t="s">
        <v>844</v>
      </c>
      <c r="E7" s="12">
        <f>IF(TRIM(B7)="","",IF(TRIM(C7)="",0,1))</f>
        <v>1</v>
      </c>
      <c r="G7" s="16">
        <f>IF(AND(TRIM(B7)&lt;&gt;"",TRIM(C7)&lt;&gt;""),IF(C7="COTS",5,IF(C7="Développement interne",1,0)),"")</f>
        <v>0</v>
      </c>
      <c r="H7" s="16">
        <f>IF(AND(TRIM(B7)&lt;&gt;"",TRIM(C7)&lt;&gt;""),5,"")</f>
        <v>5</v>
      </c>
      <c r="I7" t="s">
        <v>845</v>
      </c>
      <c r="J7">
        <v>5</v>
      </c>
    </row>
    <row r="8" spans="1:11">
      <c r="B8" s="6" t="str">
        <f>IF(C7="COTS","Nom de l'éditeur","")</f>
        <v/>
      </c>
      <c r="C8" s="20"/>
      <c r="D8" s="20"/>
      <c r="E8" s="12" t="str">
        <f t="shared" ref="E8:E59" si="0">IF(TRIM(B8)="","",IF(TRIM(C8)="",0,1))</f>
        <v/>
      </c>
      <c r="G8" s="16" t="str">
        <f>IF(AND(TRIM(B8)&lt;&gt;"",TRIM(C8)&lt;&gt;""),IF(ISNA(VLOOKUP(C8,I7:J13,2,0)),1,VLOOKUP(C8,I7:J13,2,0)),"")</f>
        <v/>
      </c>
      <c r="H8" s="16" t="str">
        <f>IF(AND(TRIM(B8)&lt;&gt;"",TRIM(C8)&lt;&gt;""),5,"")</f>
        <v/>
      </c>
      <c r="I8" t="s">
        <v>846</v>
      </c>
      <c r="J8">
        <v>5</v>
      </c>
    </row>
    <row r="9" spans="1:11">
      <c r="B9" s="6" t="str">
        <f>IF(C2="Oui existant","Nom de la solution",IF(AND(C7&lt;&gt;"Non prévu",C7&lt;&gt;""),"Nom de la solution (si déjà identifiée)",""))</f>
        <v/>
      </c>
      <c r="C9" s="20"/>
      <c r="D9" s="20"/>
      <c r="E9" s="12" t="str">
        <f t="shared" si="0"/>
        <v/>
      </c>
      <c r="G9" s="397"/>
      <c r="H9" s="397" t="str">
        <f>IF(AND(TRIM(B9)&lt;&gt;"",TRIM(C9)&lt;&gt;""),5,"")</f>
        <v/>
      </c>
      <c r="I9" t="s">
        <v>771</v>
      </c>
      <c r="J9">
        <v>2</v>
      </c>
    </row>
    <row r="10" spans="1:11">
      <c r="B10" s="6" t="str">
        <f>IF(C2="Oui existant","Quelle est la version/release de l'application ?",IF(C7="COTS","Quelle est la version/release qui sera implémentée ?",""))</f>
        <v/>
      </c>
      <c r="C10" s="20"/>
      <c r="D10" s="21"/>
      <c r="E10" s="12" t="str">
        <f>IF(TRIM(B10)="","",IF(TRIM(C10)="",0,1))</f>
        <v/>
      </c>
      <c r="G10" s="397"/>
      <c r="H10" s="397"/>
      <c r="I10" t="s">
        <v>775</v>
      </c>
      <c r="J10">
        <v>4</v>
      </c>
    </row>
    <row r="11" spans="1:11">
      <c r="B11" s="6" t="str">
        <f>IF(C2="Oui existant","Quelle est la dernière version de l'application ?",IF(C7="COTS","Quelle est la dernière version de cette nouvelle solution ?",""))</f>
        <v/>
      </c>
      <c r="C11" s="20"/>
      <c r="D11" s="20"/>
      <c r="E11" s="12" t="str">
        <f>IF(TRIM(B11)="","",IF(TRIM(C11)="",0,1))</f>
        <v/>
      </c>
      <c r="G11" s="397"/>
      <c r="H11" s="397"/>
    </row>
    <row r="12" spans="1:11">
      <c r="B12" s="6" t="str">
        <f>IF(C2="Oui existant","Est-ce que vous prévoyez d'enrichir le dictionnaire et de couvrir d'autres applications ?","")</f>
        <v/>
      </c>
      <c r="C12" s="20"/>
      <c r="D12" s="20"/>
      <c r="E12" s="12" t="str">
        <f>IF(TRIM(B12)="","",IF(TRIM(C12)="",0,1))</f>
        <v/>
      </c>
      <c r="H12" s="16"/>
    </row>
    <row r="13" spans="1:11">
      <c r="B13" s="6" t="str">
        <f>IF(C12="Oui",IF(C2="Oui existant","Si oui, lesquelles ?",""),"")</f>
        <v/>
      </c>
      <c r="C13" s="20"/>
      <c r="D13" s="20"/>
      <c r="E13" s="12" t="str">
        <f>IF(TRIM(B13)="","",IF(TRIM(C13)="",0,1))</f>
        <v/>
      </c>
      <c r="H13" s="16"/>
    </row>
    <row r="14" spans="1:11" s="9" customFormat="1" ht="26.1" customHeight="1">
      <c r="B14" s="7" t="str">
        <f>IF(C2="Oui existant","Quelle est la criticité de cette application ? combien de temps peut-on supporter son indisponibilité (colonne détail) ?","Quelle est la criticité de ce besoin ?")</f>
        <v>Quelle est la criticité de ce besoin ?</v>
      </c>
      <c r="C14" s="20" t="s">
        <v>619</v>
      </c>
      <c r="D14" s="21"/>
      <c r="E14" s="12">
        <f>IF(TRIM(B14)="","",IF(TRIM(C14)="",0,1))</f>
        <v>1</v>
      </c>
      <c r="G14" s="16"/>
      <c r="H14" s="16"/>
      <c r="I14" t="s">
        <v>749</v>
      </c>
      <c r="J14">
        <v>0</v>
      </c>
      <c r="K14"/>
    </row>
    <row r="15" spans="1:11">
      <c r="B15" s="6" t="str">
        <f>IF(C7="COTS","Est-ce un module du CBS ou une  solution séparée?","")</f>
        <v/>
      </c>
      <c r="C15" s="20"/>
      <c r="D15" s="20"/>
      <c r="E15" s="12" t="str">
        <f t="shared" si="0"/>
        <v/>
      </c>
      <c r="H15" s="16"/>
      <c r="I15" t="s">
        <v>728</v>
      </c>
      <c r="J15">
        <v>2</v>
      </c>
    </row>
    <row r="16" spans="1:11">
      <c r="B16" s="6" t="str">
        <f>IF(C2="Oui existant","Quand l’application a-t-elle été implémentée ?",IF(AND(C7&lt;&gt;"Non prévu",C7&lt;&gt;""),"Quand l’application sera-t-elle implémentée ?",""))</f>
        <v/>
      </c>
      <c r="C16" s="20"/>
      <c r="D16" s="20"/>
      <c r="E16" s="12" t="str">
        <f t="shared" si="0"/>
        <v/>
      </c>
      <c r="G16" s="16" t="str">
        <f>IF(AND(TRIM(B16)&lt;&gt;"",TRIM(C16)&lt;&gt;""),IF(C16&gt;2024,0,IF((2024-C16)&gt;10,0,10-(2024-C16))),"")</f>
        <v/>
      </c>
      <c r="H16" s="16" t="str">
        <f>IF(AND(TRIM(B16)&lt;&gt;"",TRIM(C16)&lt;&gt;""),10,"")</f>
        <v/>
      </c>
      <c r="I16" t="s">
        <v>619</v>
      </c>
      <c r="J16">
        <v>4</v>
      </c>
    </row>
    <row r="17" spans="2:10">
      <c r="B17" s="6" t="str">
        <f>IF(C2="Oui existant","Qui l'a implémenté ?",IF(AND(C7&lt;&gt;"Non prévu",C7&lt;&gt;""),"Qui doit l'implémenter ?",""))</f>
        <v/>
      </c>
      <c r="C17" s="20"/>
      <c r="D17" s="20"/>
      <c r="E17" s="12" t="str">
        <f t="shared" si="0"/>
        <v/>
      </c>
      <c r="H17" s="16"/>
      <c r="I17" t="s">
        <v>781</v>
      </c>
      <c r="J17">
        <v>6</v>
      </c>
    </row>
    <row r="18" spans="2:10" ht="33.950000000000003" customHeight="1">
      <c r="B18" s="6" t="str">
        <f>IF(C2="Oui existant","Quels sont les applications connectées ?",IF(AND(C7&lt;&gt;"Non prévu",C7&lt;&gt;""),"Quels sont les applications à connecter ?",""))</f>
        <v/>
      </c>
      <c r="C18" s="20"/>
      <c r="D18" s="20"/>
      <c r="E18" s="12" t="str">
        <f t="shared" si="0"/>
        <v/>
      </c>
      <c r="H18" s="16" t="str">
        <f>IF(AND(TRIM(B18)&lt;&gt;"",TRIM(C18)&lt;&gt;""),10,"")</f>
        <v/>
      </c>
      <c r="I18" t="s">
        <v>782</v>
      </c>
      <c r="J18">
        <v>10</v>
      </c>
    </row>
    <row r="19" spans="2:10">
      <c r="B19" s="6" t="str">
        <f>IF(C2="Oui existant","Quel est le niveau de personnalisation de l’Application ?",IF(C7="COTS","Quel est le niveau de personnalisation prévu de l’Application ?",""))</f>
        <v/>
      </c>
      <c r="C19" s="20"/>
      <c r="D19" s="20"/>
      <c r="E19" s="12" t="str">
        <f t="shared" si="0"/>
        <v/>
      </c>
      <c r="G19" s="16" t="str">
        <f>IF(AND(TRIM(B19)&lt;&gt;"",TRIM(C19)&lt;&gt;""),IF(ISNA(VLOOKUP(C19,I14:J18,2,0)),1,VLOOKUP(C19,I14:J18,2,0)),"")</f>
        <v/>
      </c>
      <c r="H19" s="16" t="str">
        <f>IF(AND(TRIM(B19)&lt;&gt;"",TRIM(C19)&lt;&gt;""),10,"")</f>
        <v/>
      </c>
    </row>
    <row r="20" spans="2:10">
      <c r="B20" s="6" t="str">
        <f>IF(C2="Oui existant","Quelle(s) technologie(s) sous-jacente(s) ?","")</f>
        <v/>
      </c>
      <c r="C20" s="20"/>
      <c r="D20" s="20"/>
      <c r="E20" s="12" t="str">
        <f t="shared" si="0"/>
        <v/>
      </c>
      <c r="H20" s="16"/>
    </row>
    <row r="21" spans="2:10">
      <c r="B21" s="6" t="str">
        <f>IF(C2="Oui existant","Est-ce que cette solution dispose d'une interface Mobile ?",IF(AND(C7&lt;&gt;"Non prévu",C7&lt;&gt;""),"Est-ce que cette solution disposera d'une interface Mobile? ?",""))</f>
        <v/>
      </c>
      <c r="C21" s="20"/>
      <c r="D21" s="20"/>
      <c r="E21" s="12" t="str">
        <f t="shared" si="0"/>
        <v/>
      </c>
      <c r="G21" s="16" t="str">
        <f>IF(AND(TRIM(B21)&lt;&gt;"",TRIM(C21)&lt;&gt;""),IF(C21="Oui",3,0),"")</f>
        <v/>
      </c>
      <c r="H21" s="16" t="str">
        <f>IF(AND(TRIM(B21)&lt;&gt;"",TRIM(C21)&lt;&gt;""),3,"")</f>
        <v/>
      </c>
    </row>
    <row r="22" spans="2:10">
      <c r="B22" s="6" t="str">
        <f>IF(C7&lt;&gt;"Non prévu",IF(C21="Oui","Dispose-t-elle d'une version smartphone ou tablette ou les 2  ?",""),"")</f>
        <v/>
      </c>
      <c r="C22" s="22"/>
      <c r="D22" s="20"/>
      <c r="E22" s="12" t="str">
        <f t="shared" si="0"/>
        <v/>
      </c>
      <c r="H22" s="16"/>
    </row>
    <row r="23" spans="2:10" ht="24.6" customHeight="1">
      <c r="B23" s="6" t="str">
        <f>IF(C2="Oui existant","Est-ce qu'il est prévu de remplacer cette solution par une autre ? Si oui, veuillez mettre le nom de la nouvelle solution et la période prévue dans la colonne détails","")</f>
        <v/>
      </c>
      <c r="C23" s="20"/>
      <c r="D23" s="20"/>
      <c r="E23" s="12" t="str">
        <f t="shared" si="0"/>
        <v/>
      </c>
      <c r="H23" s="16"/>
    </row>
    <row r="24" spans="2:10">
      <c r="B24" s="6" t="str">
        <f>IF(C2="Oui existant","Quel est le nombre d’utilisateurs finaux de cette application ?",IF(AND(C7&lt;&gt;"Non prévu",C7&lt;&gt;""),"Quel est le nombre d’utilisateurs finaux prévus pour cette application ?",""))</f>
        <v/>
      </c>
      <c r="C24" s="59"/>
      <c r="D24" s="20"/>
      <c r="E24" s="12" t="str">
        <f t="shared" si="0"/>
        <v/>
      </c>
      <c r="H24" s="16"/>
    </row>
    <row r="25" spans="2:10">
      <c r="B25" s="6" t="str">
        <f>IF(C2="Oui existant","Y a-t-il des utilisateurs du Groupe sur les activités de la filiale ?","")</f>
        <v/>
      </c>
      <c r="C25" s="20"/>
      <c r="D25" s="20"/>
      <c r="E25" s="12" t="str">
        <f t="shared" si="0"/>
        <v/>
      </c>
      <c r="H25" s="16"/>
    </row>
    <row r="26" spans="2:10">
      <c r="B26" s="6" t="str">
        <f>IF(C25="Oui","Quel est le ratio  ?","")</f>
        <v/>
      </c>
      <c r="C26" s="20"/>
      <c r="D26" s="20"/>
      <c r="E26" s="12" t="str">
        <f t="shared" si="0"/>
        <v/>
      </c>
      <c r="H26" s="16"/>
    </row>
    <row r="27" spans="2:10">
      <c r="B27" s="6" t="str">
        <f>IF(C2="Oui existant","Quels ont été les acquisitions de licences détaillées (nombre, date, coût) ?","")</f>
        <v/>
      </c>
      <c r="C27" s="20"/>
      <c r="D27" s="20"/>
      <c r="E27" s="12" t="str">
        <f t="shared" si="0"/>
        <v/>
      </c>
      <c r="H27" s="16"/>
    </row>
    <row r="28" spans="2:10">
      <c r="B28" s="6" t="str">
        <f>IF(C2="Oui existant","Quel est le nombre actuel de licences détenues par la filiale?",IF(C7="COTS","Combien de licences projettez-vous d'acquérir ?",""))</f>
        <v/>
      </c>
      <c r="C28" s="20"/>
      <c r="D28" s="20"/>
      <c r="E28" s="12" t="str">
        <f t="shared" si="0"/>
        <v/>
      </c>
      <c r="H28" s="16"/>
    </row>
    <row r="29" spans="2:10">
      <c r="B29" s="6" t="str">
        <f>IF(C2="Oui existant","Quel type de licences (nominatives/partagées) ?",IF(C7="COTS","Est-ce que ce sera des licences nominatives ou partagées ?",""))</f>
        <v/>
      </c>
      <c r="C29" s="20"/>
      <c r="D29" s="20"/>
      <c r="E29" s="12" t="str">
        <f t="shared" si="0"/>
        <v/>
      </c>
      <c r="H29" s="16"/>
    </row>
    <row r="30" spans="2:10" ht="36.6" customHeight="1">
      <c r="B30" s="6" t="str">
        <f>IF(C2="Oui existant","Des licences supplémentaires sont-elles nécessaires pour l'utilisation de la solution (ETL, outil de reporting, interfaces, modules complémentaires, …) ? Par module / par utilisateur ?",IF(C7="COTS","Des licences supplémentaires seront-elles nécessaires pour l'utilisation de la solution (ETL, outil de reporting, interfaces, modules complémentaires, …) ? Par module / par utilisateur ?",""))</f>
        <v/>
      </c>
      <c r="C30" s="20"/>
      <c r="D30" s="21"/>
      <c r="E30" s="12" t="str">
        <f t="shared" si="0"/>
        <v/>
      </c>
      <c r="H30" s="16"/>
    </row>
    <row r="31" spans="2:10">
      <c r="B31" s="6" t="str">
        <f>IF(C2="Oui existant","Quel est le coût du support éditeur ?",IF(C7="COTS","Quel sera le coût du support éditeur ?",""))</f>
        <v/>
      </c>
      <c r="C31" s="20"/>
      <c r="D31" s="20"/>
      <c r="E31" s="12" t="str">
        <f t="shared" si="0"/>
        <v/>
      </c>
      <c r="H31" s="16"/>
    </row>
    <row r="32" spans="2:10">
      <c r="B32" s="6" t="str">
        <f>IF(C2="Oui existant","Existe-t-il un contrat de support avec un fournisseur ou un partenaire ? Pouvez-vous le partager ?","")</f>
        <v/>
      </c>
      <c r="C32" s="20"/>
      <c r="D32" s="20"/>
      <c r="E32" s="12" t="str">
        <f t="shared" si="0"/>
        <v/>
      </c>
      <c r="G32" s="16" t="str">
        <f>IF(AND(TRIM(B32)&lt;&gt;"",TRIM(C32)&lt;&gt;""),IF(C32="Oui",5,0),"")</f>
        <v/>
      </c>
      <c r="H32" s="16" t="str">
        <f>IF(AND(TRIM(B32)&lt;&gt;"",TRIM(C32)&lt;&gt;""),5,"")</f>
        <v/>
      </c>
    </row>
    <row r="33" spans="2:8">
      <c r="B33" s="6" t="str">
        <f>IF(C2="Oui existant","Le contrat est-il global couvrant plusieurs filiales ou dédié à la filiale ?",IF(C7="COTS","Projettez-vous une acquisition individuelle ou groupe ?",""))</f>
        <v/>
      </c>
      <c r="C33" s="20"/>
      <c r="D33" s="20"/>
      <c r="E33" s="12" t="str">
        <f t="shared" si="0"/>
        <v/>
      </c>
      <c r="H33" s="16"/>
    </row>
    <row r="34" spans="2:8" ht="15.95" customHeight="1">
      <c r="B34" s="6" t="str">
        <f>IF(C2="Oui existant","Le contrat comprend-il un SLA formel ? Cela inclut-il un engagement de performance ?","")</f>
        <v/>
      </c>
      <c r="C34" s="20"/>
      <c r="D34" s="20"/>
      <c r="E34" s="12" t="str">
        <f>IF(TRIM(B34)="","",IF(TRIM(C34)="",0,1))</f>
        <v/>
      </c>
      <c r="G34" s="16" t="str">
        <f>IF(AND(TRIM(B34)&lt;&gt;"",TRIM(C34)&lt;&gt;""),IF(C34="Oui et oui",5,IF(C34="Oui et non",3,0)),"")</f>
        <v/>
      </c>
      <c r="H34" s="16" t="str">
        <f>IF(AND(TRIM(B34)&lt;&gt;"",TRIM(C34)&lt;&gt;""),5,"")</f>
        <v/>
      </c>
    </row>
    <row r="35" spans="2:8" ht="39.950000000000003" customHeight="1">
      <c r="B35" s="6" t="str">
        <f>IF(C2="Oui existant","Combien de ETP internes sont dédiés aux support (Niveaux 1, 2 et 3) de cette solution ?
Veuillez décrire dans la colonne détail de quelle entité sont-ils (Holding ou pays), la répartition des principales activités, les compétences et les rôles",IF(AND(C7&lt;&gt;"Non prévu",C7&lt;&gt;""),"Combien de ETP internes projettez-vous de dédier aux support (Niveaux 1, 2 et 3) de cette solution ?",""))</f>
        <v/>
      </c>
      <c r="C35" s="20"/>
      <c r="D35" s="21"/>
      <c r="E35" s="12" t="str">
        <f t="shared" ref="E35:E36" si="1">IF(TRIM(B35)="","",IF(TRIM(C35)="",0,IF(TRIM(D35)="",0.5,1)))</f>
        <v/>
      </c>
      <c r="H35" s="16"/>
    </row>
    <row r="36" spans="2:8" ht="51" customHeight="1">
      <c r="B36" s="6" t="str">
        <f>IF(C2="Oui existant","Combien de ETP internes sont dédiés aux changes opérés sur cette solution (incluant Dev, Config, Mise en prod) ?
Veuillez décrire dans la col. détail de quelle entité sont-ils (Holding ou pays), la répartition des activités, les compétences et les rôles",IF(AND(C7&lt;&gt;"Non prévu",C7&lt;&gt;""),"Combien de ETP internes projettez-vous de dédier aux futurs changes sur cette solution (incluant Dev, Config, Mise en prod) ?",""))</f>
        <v/>
      </c>
      <c r="C36" s="20"/>
      <c r="D36" s="21"/>
      <c r="E36" s="12" t="str">
        <f t="shared" si="1"/>
        <v/>
      </c>
      <c r="H36" s="16"/>
    </row>
    <row r="37" spans="2:8">
      <c r="B37" s="6" t="str">
        <f>IF(C2="Oui existant","Qui administre cette solution et apporte le support aux utilisateurs l'IT Groupe, l'IT local ou les 2 ?",IF(AND(C7&lt;&gt;"Non prévu",C7&lt;&gt;""),"Qui va administrer cette solution et apporter le support aux utilisateurs: l'IT Groupe, l'IT local ou les 2 ?",""))</f>
        <v/>
      </c>
      <c r="C37" s="20"/>
      <c r="D37" s="20"/>
      <c r="E37" s="12" t="str">
        <f t="shared" si="0"/>
        <v/>
      </c>
      <c r="H37" s="16"/>
    </row>
    <row r="38" spans="2:8">
      <c r="B38" s="6" t="str">
        <f>IF(C37="Les 2","A quelle proportion chacun ? et existe-t-il un SLA interne entre Group IT et la filiale ? S'il existe, pouvez-vous le partager
vous pouvez décrire dans la partie détails les responsabilités de chaque partie","")</f>
        <v/>
      </c>
      <c r="C38" s="20"/>
      <c r="D38" s="21"/>
      <c r="E38" s="12" t="str">
        <f t="shared" si="0"/>
        <v/>
      </c>
      <c r="H38" s="16"/>
    </row>
    <row r="39" spans="2:8">
      <c r="B39" s="6" t="str">
        <f>IF(C2="Oui existant","Avez-vous un historique des KPI pour la disponibilité et le support de cette application ? Si oui, pouvez-vous les partager","")</f>
        <v/>
      </c>
      <c r="C39" s="20"/>
      <c r="D39" s="20"/>
      <c r="E39" s="12" t="str">
        <f t="shared" si="0"/>
        <v/>
      </c>
      <c r="G39" s="16" t="str">
        <f>IF(AND(TRIM(B39)&lt;&gt;"",TRIM(C39)&lt;&gt;""),IF(C39="Oui",3,0),"")</f>
        <v/>
      </c>
      <c r="H39" s="16" t="str">
        <f>IF(AND(TRIM(B39)&lt;&gt;"",TRIM(C39)&lt;&gt;""),3,"")</f>
        <v/>
      </c>
    </row>
    <row r="40" spans="2:8">
      <c r="B40" s="6" t="str">
        <f>IF(C2="Oui existant","Existe-t-il un processus de suivi des contrats groupe et tiers ?","")</f>
        <v/>
      </c>
      <c r="C40" s="20"/>
      <c r="D40" s="20"/>
      <c r="E40" s="12" t="str">
        <f t="shared" si="0"/>
        <v/>
      </c>
      <c r="G40" s="16" t="str">
        <f>IF(AND(TRIM(B40)&lt;&gt;"",TRIM(C40)&lt;&gt;""),IF(C40="Oui",3,0),"")</f>
        <v/>
      </c>
      <c r="H40" s="16" t="str">
        <f>IF(AND(TRIM(B40)&lt;&gt;"",TRIM(C40)&lt;&gt;""),3,"")</f>
        <v/>
      </c>
    </row>
    <row r="41" spans="2:8">
      <c r="B41" s="6" t="str">
        <f>IF(C2="Oui existant","L'application est-elle installée sur site ou utilisée sur le Cloud (SaaS) ?",IF(AND(C7&lt;&gt;"Non prévu",C7&lt;&gt;""),"La nouvelle solution sera-t-elle installée sur site ou utilisée sur le Cloud (SaaS) ?",""))</f>
        <v/>
      </c>
      <c r="C41" s="20"/>
      <c r="D41" s="20"/>
      <c r="E41" s="12" t="str">
        <f t="shared" si="0"/>
        <v/>
      </c>
      <c r="G41" s="16" t="str">
        <f>IF(AND(TRIM(B41)&lt;&gt;"",TRIM(C41)&lt;&gt;""),IF(C41="Cloud",3,1),"")</f>
        <v/>
      </c>
      <c r="H41" s="16" t="str">
        <f>IF(AND(TRIM(B41)&lt;&gt;"",TRIM(C41)&lt;&gt;""),3,"")</f>
        <v/>
      </c>
    </row>
    <row r="42" spans="2:8">
      <c r="B42" s="6" t="str">
        <f>IF(AND(C41="Cloud",C7="COTS"),"Si c'est sur le Cloud, est-ce entièrement SaaS ou Infra gérée par l'équipe locale ?","")</f>
        <v/>
      </c>
      <c r="C42" s="22"/>
      <c r="D42" s="20"/>
      <c r="E42" s="12" t="str">
        <f t="shared" si="0"/>
        <v/>
      </c>
      <c r="H42" s="16"/>
    </row>
    <row r="43" spans="2:8">
      <c r="B43" s="6" t="str">
        <f>IF(C41="On-site","Comment sont acquis les serveurs (achat/location/sous-traitance) ?","")</f>
        <v/>
      </c>
      <c r="C43" s="22"/>
      <c r="D43" s="20"/>
      <c r="E43" s="12" t="str">
        <f t="shared" si="0"/>
        <v/>
      </c>
      <c r="H43" s="16"/>
    </row>
    <row r="44" spans="2:8">
      <c r="B44" s="6" t="str">
        <f>IF(C2="Oui existant","Où sont installés les serveurs ?","")</f>
        <v/>
      </c>
      <c r="C44" s="22"/>
      <c r="D44" s="20"/>
      <c r="E44" s="12" t="str">
        <f t="shared" si="0"/>
        <v/>
      </c>
      <c r="H44" s="16"/>
    </row>
    <row r="45" spans="2:8">
      <c r="B45" s="6" t="str">
        <f>IF(C2="Oui existant","Sur quels systèmes (versions) cette application s'exécute-t-elle ?",IF(AND(C7&lt;&gt;"Non prévu",C7&lt;&gt;""),"Sur quels systèmes (versions) cette application sera-t-elle implémentée ?",""))</f>
        <v/>
      </c>
      <c r="C45" s="22"/>
      <c r="D45" s="20"/>
      <c r="E45" s="12" t="str">
        <f t="shared" si="0"/>
        <v/>
      </c>
      <c r="H45" s="16"/>
    </row>
    <row r="46" spans="2:8">
      <c r="B46" s="6" t="str">
        <f>IF(C2="Oui existant","Sur quelle base de données cette application tourne-t-elle ?",IF(AND(C7&lt;&gt;"Non prévu",C7&lt;&gt;""),"Sur quelle base de données cette application tourne-t-elle ?",""))</f>
        <v/>
      </c>
      <c r="C46" s="22"/>
      <c r="D46" s="20"/>
      <c r="E46" s="12" t="str">
        <f t="shared" si="0"/>
        <v/>
      </c>
      <c r="H46" s="16"/>
    </row>
    <row r="47" spans="2:8">
      <c r="B47" s="6" t="str">
        <f>IF(C2="Oui existant","Sur quelle base de données cette application tourne-t-elle ?",IF(AND(C7&lt;&gt;"Non prévu",C7&lt;&gt;""),"Sur quelle base de données cette application tournera-t-elle ?",""))</f>
        <v/>
      </c>
      <c r="C47" s="22"/>
      <c r="D47" s="20"/>
      <c r="E47" s="12" t="str">
        <f t="shared" si="0"/>
        <v/>
      </c>
      <c r="H47" s="16"/>
    </row>
    <row r="48" spans="2:8">
      <c r="B48" s="6" t="str">
        <f>IF(C47="Oui","Entièrement ou partiellement ? Actif-Actif ou Actif-Passif ?","")</f>
        <v/>
      </c>
      <c r="C48" s="22"/>
      <c r="D48" s="20"/>
      <c r="E48" s="12" t="str">
        <f t="shared" si="0"/>
        <v/>
      </c>
      <c r="G48" s="16" t="str">
        <f>IF(AND(TRIM(B48)&lt;&gt;"",TRIM(C48)&lt;&gt;""),IF(C48="Oui",5,0),"")</f>
        <v/>
      </c>
      <c r="H48" s="16" t="str">
        <f t="shared" ref="H48:H50" si="2">IF(AND(TRIM(B48)&lt;&gt;"",TRIM(C48)&lt;&gt;""),5,"")</f>
        <v/>
      </c>
    </row>
    <row r="49" spans="2:8">
      <c r="B49" s="6" t="str">
        <f>IF(C2="Oui existant","Existe-t-il un plan de récupération pour cette application ?","")</f>
        <v/>
      </c>
      <c r="C49" s="22"/>
      <c r="D49" s="20"/>
      <c r="E49" s="12" t="str">
        <f t="shared" si="0"/>
        <v/>
      </c>
      <c r="H49" s="16"/>
    </row>
    <row r="50" spans="2:8">
      <c r="B50" s="6" t="str">
        <f>IF(C2="Oui existant","Qui gère les données de la base de données ?",IF(AND(C7&lt;&gt;"Non prévu",C7&lt;&gt;""),"Qui va gèrer les données de la base de données ?",""))</f>
        <v/>
      </c>
      <c r="C50" s="22"/>
      <c r="D50" s="20"/>
      <c r="E50" s="12" t="str">
        <f t="shared" si="0"/>
        <v/>
      </c>
      <c r="G50" s="16" t="str">
        <f>IF(AND(TRIM(B50)&lt;&gt;"",TRIM(C50)&lt;&gt;""),IF(C50="Oui",5,0),"")</f>
        <v/>
      </c>
      <c r="H50" s="16" t="str">
        <f t="shared" si="2"/>
        <v/>
      </c>
    </row>
    <row r="51" spans="2:8">
      <c r="B51" s="6" t="str">
        <f>IF(C2="Oui existant","Quelle est la version/release de la base de données et de l'outil de reporting s'il existe ?",IF(AND(C7&lt;&gt;"Non prévu",C7&lt;&gt;""),"Quelle est la version/release qui sera implémentée ?",""))</f>
        <v/>
      </c>
      <c r="C51" s="22"/>
      <c r="D51" s="20"/>
      <c r="E51" s="12" t="str">
        <f>IF(TRIM(B51)="","",IF(TRIM(C51)="",0,1))</f>
        <v/>
      </c>
      <c r="H51" s="16"/>
    </row>
    <row r="52" spans="2:8" ht="40.5" customHeight="1">
      <c r="B52" s="6" t="str">
        <f>IF(C2="Oui existant","Quelles sont les interfaces existantes de cette application ? Veuillez décrire et partager tout document d'architecture",IF(AND(C7&lt;&gt;"Non prévu",C7&lt;&gt;""),"Quelles sont les interfaces prévues ? Veuillez décrire et partager tout document d'architecture cible",""))</f>
        <v/>
      </c>
      <c r="C52" s="20"/>
      <c r="D52" s="21"/>
      <c r="E52" s="12" t="str">
        <f t="shared" ref="E52:E53" si="3">IF(TRIM(B52)="","",IF(TRIM(C52)="",0,IF(TRIM(D52)="",0.5,1)))</f>
        <v/>
      </c>
      <c r="H52" s="16"/>
    </row>
    <row r="53" spans="2:8" ht="40.5" customHeight="1">
      <c r="B53" s="6" t="str">
        <f>IF(C2="Oui existant","L'application est-elle fournie en données à J-1 ou y'a-t-il du temps réel ? Décrivez s'il vous plait",IF(AND(C7&lt;&gt;"Non prévu",C7&lt;&gt;""),"L'application sera-t-elle fournie en données à J-1 ou y'aura-t-il du temps réel ? Décrivez s'il vous plait",""))</f>
        <v/>
      </c>
      <c r="C53" s="20"/>
      <c r="D53" s="21"/>
      <c r="E53" s="12" t="str">
        <f t="shared" si="3"/>
        <v/>
      </c>
      <c r="H53" s="16"/>
    </row>
    <row r="54" spans="2:8">
      <c r="B54" s="6" t="str">
        <f>IF(C2="Oui existant","Avez-vous connaissance d'un quelconque problème potentiel lié à la continuité de cette application (par exemple départ ou indisponibilité des ressources clés, fin de support, bug critique, ...), si oui lequel dans détails ?","")</f>
        <v/>
      </c>
      <c r="C54" s="22"/>
      <c r="D54" s="20"/>
      <c r="E54" s="12" t="str">
        <f t="shared" si="0"/>
        <v/>
      </c>
      <c r="G54" s="16" t="str">
        <f>IF(AND(TRIM(B54)&lt;&gt;"",TRIM(C54)&lt;&gt;""),IF(C54="Oui",0,10),"")</f>
        <v/>
      </c>
      <c r="H54" s="16" t="str">
        <f>IF(AND(TRIM(B54)&lt;&gt;"",TRIM(C54)&lt;&gt;""),10,"")</f>
        <v/>
      </c>
    </row>
    <row r="55" spans="2:8">
      <c r="B55" s="6" t="str">
        <f>IF(C2="Oui existant","Est-ce que des sauvegardes sont réalisées régulièrement ?",IF(AND(C7&lt;&gt;"Non prévu",C7&lt;&gt;""),"Est-ce que des sauvegardes sont prévus dès l'implémentation ?",""))</f>
        <v/>
      </c>
      <c r="C55" s="22"/>
      <c r="D55" s="20"/>
      <c r="E55" s="12" t="str">
        <f t="shared" si="0"/>
        <v/>
      </c>
      <c r="G55" s="16" t="str">
        <f>IF(AND(TRIM(B55)&lt;&gt;"",TRIM(C55)&lt;&gt;""),IF(C55="Oui",5,0),"")</f>
        <v/>
      </c>
      <c r="H55" s="16" t="str">
        <f t="shared" ref="H55" si="4">IF(AND(TRIM(B55)&lt;&gt;"",TRIM(C55)&lt;&gt;""),5,"")</f>
        <v/>
      </c>
    </row>
    <row r="56" spans="2:8">
      <c r="B56" s="6" t="str">
        <f>IF(C55="Oui","A quelle fréquence sont-elles exécutées?","")</f>
        <v/>
      </c>
      <c r="C56" s="22"/>
      <c r="D56" s="20"/>
      <c r="E56" s="12" t="str">
        <f t="shared" si="0"/>
        <v/>
      </c>
      <c r="H56" s="16"/>
    </row>
    <row r="57" spans="2:8">
      <c r="B57" s="6" t="str">
        <f>IF(C55="Oui","Avez-vous une politique de rétention en place ? Si oui, pouvez-vous me la partager?","")</f>
        <v/>
      </c>
      <c r="C57" s="22"/>
      <c r="D57" s="20"/>
      <c r="E57" s="12" t="str">
        <f t="shared" si="0"/>
        <v/>
      </c>
      <c r="H57" s="16"/>
    </row>
    <row r="58" spans="2:8">
      <c r="B58" s="6" t="str">
        <f>IF(C55="Oui","Quelle est la solution de sauvegarde/récupération utilisée ?","")</f>
        <v/>
      </c>
      <c r="C58" s="22"/>
      <c r="D58" s="20"/>
      <c r="E58" s="12" t="str">
        <f t="shared" si="0"/>
        <v/>
      </c>
      <c r="H58" s="16"/>
    </row>
    <row r="59" spans="2:8">
      <c r="B59" s="6" t="str">
        <f>IF(C55="Oui","Quelle est la taille totale estimée des sauvegardes ?","")</f>
        <v/>
      </c>
      <c r="C59" s="22"/>
      <c r="D59" s="20"/>
      <c r="E59" s="12" t="str">
        <f t="shared" si="0"/>
        <v/>
      </c>
      <c r="H59" s="16"/>
    </row>
    <row r="60" spans="2:8">
      <c r="G60" s="16">
        <f>SUM(G3:G59)</f>
        <v>0</v>
      </c>
      <c r="H60" s="16">
        <f>SUM(H3:H59)</f>
        <v>5</v>
      </c>
    </row>
    <row r="123" spans="1:1">
      <c r="A123" t="s">
        <v>223</v>
      </c>
    </row>
  </sheetData>
  <sheetProtection formatRows="0"/>
  <mergeCells count="3">
    <mergeCell ref="A1:B1"/>
    <mergeCell ref="G9:G11"/>
    <mergeCell ref="H9:H11"/>
  </mergeCells>
  <conditionalFormatting sqref="B8:B13">
    <cfRule type="containsBlanks" dxfId="408" priority="73">
      <formula>LEN(TRIM(B8))=0</formula>
    </cfRule>
  </conditionalFormatting>
  <conditionalFormatting sqref="B15:B59">
    <cfRule type="containsBlanks" dxfId="407" priority="7">
      <formula>LEN(TRIM(B15))=0</formula>
    </cfRule>
  </conditionalFormatting>
  <conditionalFormatting sqref="C7">
    <cfRule type="containsBlanks" dxfId="406" priority="74">
      <formula>LEN(TRIM(C7))=0</formula>
    </cfRule>
  </conditionalFormatting>
  <conditionalFormatting sqref="C10:C13">
    <cfRule type="expression" dxfId="405" priority="8">
      <formula>AND($B10&lt;&gt;"",$C10="")</formula>
    </cfRule>
  </conditionalFormatting>
  <conditionalFormatting sqref="C14">
    <cfRule type="containsBlanks" dxfId="404" priority="85">
      <formula>LEN(TRIM(C14))=0</formula>
    </cfRule>
  </conditionalFormatting>
  <conditionalFormatting sqref="C15:C22">
    <cfRule type="expression" dxfId="403" priority="61">
      <formula>AND($B15&lt;&gt;"",$C15="")</formula>
    </cfRule>
  </conditionalFormatting>
  <conditionalFormatting sqref="C23:C34">
    <cfRule type="expression" dxfId="402" priority="58">
      <formula>AND($B23&lt;&gt;"",$C23="")</formula>
    </cfRule>
  </conditionalFormatting>
  <conditionalFormatting sqref="C35:C37">
    <cfRule type="expression" dxfId="401" priority="2">
      <formula>AND($B35&lt;&gt;"",$C35="")</formula>
    </cfRule>
  </conditionalFormatting>
  <conditionalFormatting sqref="C39:C43">
    <cfRule type="expression" dxfId="400" priority="49">
      <formula>AND($B39&lt;&gt;"",$C39="")</formula>
    </cfRule>
  </conditionalFormatting>
  <conditionalFormatting sqref="C44:C59 C8:C9">
    <cfRule type="expression" dxfId="399" priority="83">
      <formula>AND($B8&lt;&gt;"",$C8="")</formula>
    </cfRule>
  </conditionalFormatting>
  <conditionalFormatting sqref="C8:D8 C31:D34">
    <cfRule type="expression" dxfId="398" priority="94">
      <formula>$B8=""</formula>
    </cfRule>
  </conditionalFormatting>
  <conditionalFormatting sqref="C9:D13">
    <cfRule type="expression" dxfId="397" priority="9">
      <formula>$B9=""</formula>
    </cfRule>
  </conditionalFormatting>
  <conditionalFormatting sqref="C15:D21">
    <cfRule type="expression" dxfId="396" priority="59">
      <formula>$B15=""</formula>
    </cfRule>
  </conditionalFormatting>
  <conditionalFormatting sqref="C22:D22">
    <cfRule type="expression" dxfId="395" priority="64">
      <formula>$B22=""</formula>
    </cfRule>
  </conditionalFormatting>
  <conditionalFormatting sqref="C23:D30">
    <cfRule type="expression" dxfId="394" priority="33">
      <formula>$B23=""</formula>
    </cfRule>
  </conditionalFormatting>
  <conditionalFormatting sqref="C35:D41">
    <cfRule type="expression" dxfId="393" priority="1">
      <formula>$B35=""</formula>
    </cfRule>
  </conditionalFormatting>
  <conditionalFormatting sqref="C42:D51">
    <cfRule type="expression" dxfId="392" priority="78">
      <formula>$B42=""</formula>
    </cfRule>
  </conditionalFormatting>
  <conditionalFormatting sqref="C52:D59">
    <cfRule type="expression" dxfId="391" priority="14">
      <formula>$B52=""</formula>
    </cfRule>
  </conditionalFormatting>
  <conditionalFormatting sqref="D30 D10">
    <cfRule type="containsBlanks" dxfId="390" priority="84">
      <formula>LEN(TRIM(D10))=0</formula>
    </cfRule>
  </conditionalFormatting>
  <conditionalFormatting sqref="D35:D36">
    <cfRule type="containsBlanks" dxfId="389" priority="21">
      <formula>LEN(TRIM(D35))=0</formula>
    </cfRule>
  </conditionalFormatting>
  <conditionalFormatting sqref="D38">
    <cfRule type="containsBlanks" dxfId="388" priority="5">
      <formula>LEN(TRIM(D38))=0</formula>
    </cfRule>
  </conditionalFormatting>
  <conditionalFormatting sqref="D52:D53">
    <cfRule type="containsBlanks" dxfId="387" priority="15">
      <formula>LEN(TRIM(D52))=0</formula>
    </cfRule>
  </conditionalFormatting>
  <dataValidations count="14">
    <dataValidation type="list" allowBlank="1" showInputMessage="1" showErrorMessage="1" sqref="C7" xr:uid="{00000000-0002-0000-1200-000000000000}">
      <formula1>"COTS,Développement interne,Non prévu"</formula1>
    </dataValidation>
    <dataValidation type="list" allowBlank="1" showInputMessage="1" showErrorMessage="1" sqref="C22" xr:uid="{00000000-0002-0000-1200-000001000000}">
      <formula1>"Smartphone,Tablette,Les 2"</formula1>
    </dataValidation>
    <dataValidation type="list" allowBlank="1" showInputMessage="1" showErrorMessage="1" sqref="C15" xr:uid="{00000000-0002-0000-1200-000002000000}">
      <formula1>"Module du CBS,Solution séparée"</formula1>
    </dataValidation>
    <dataValidation type="list" allowBlank="1" showInputMessage="1" showErrorMessage="1" sqref="C2" xr:uid="{00000000-0002-0000-1200-000003000000}">
      <formula1>"Oui existant,Non existant"</formula1>
    </dataValidation>
    <dataValidation type="list" allowBlank="1" showInputMessage="1" showErrorMessage="1" sqref="C19" xr:uid="{00000000-0002-0000-1200-000004000000}">
      <formula1>"Outil de reporting,Manuel"</formula1>
    </dataValidation>
    <dataValidation type="list" allowBlank="1" showInputMessage="1" showErrorMessage="1" sqref="C14" xr:uid="{00000000-0002-0000-1200-000005000000}">
      <formula1>"Primoridal,Critique,Moyen,Faible"</formula1>
    </dataValidation>
    <dataValidation type="list" allowBlank="1" showInputMessage="1" showErrorMessage="1" sqref="C25 C32 C54:C55 C47 C49 C12 C21 C57 C23 C39:C40" xr:uid="{00000000-0002-0000-1200-000006000000}">
      <formula1>"Oui,Non"</formula1>
    </dataValidation>
    <dataValidation type="list" allowBlank="1" showInputMessage="1" showErrorMessage="1" sqref="C29" xr:uid="{00000000-0002-0000-1200-000007000000}">
      <formula1>"Nominatives,Partagées,NA"</formula1>
    </dataValidation>
    <dataValidation type="list" allowBlank="1" showInputMessage="1" showErrorMessage="1" sqref="C33" xr:uid="{00000000-0002-0000-1200-000008000000}">
      <formula1>"Global,Dédié"</formula1>
    </dataValidation>
    <dataValidation type="list" allowBlank="1" showInputMessage="1" showErrorMessage="1" sqref="C41" xr:uid="{00000000-0002-0000-1200-000009000000}">
      <formula1>"On-site,Cloud"</formula1>
    </dataValidation>
    <dataValidation type="list" allowBlank="1" showInputMessage="1" showErrorMessage="1" sqref="C42" xr:uid="{00000000-0002-0000-1200-00000A000000}">
      <formula1>"SaaS,Infra gérée"</formula1>
    </dataValidation>
    <dataValidation type="list" allowBlank="1" showInputMessage="1" showErrorMessage="1" sqref="C43" xr:uid="{00000000-0002-0000-1200-00000B000000}">
      <formula1>"Achat,Location,Sous-traitance"</formula1>
    </dataValidation>
    <dataValidation type="list" allowBlank="1" showInputMessage="1" showErrorMessage="1" sqref="C34" xr:uid="{00000000-0002-0000-1200-00000C000000}">
      <formula1>"Oui et oui,Oui et non,Non pour les 2"</formula1>
    </dataValidation>
    <dataValidation type="list" allowBlank="1" showInputMessage="1" showErrorMessage="1" sqref="C37" xr:uid="{00000000-0002-0000-1200-00000D000000}">
      <formula1>"IT Groupe,IT Local,Les 2"</formula1>
    </dataValidation>
  </dataValidations>
  <hyperlinks>
    <hyperlink ref="A1" location="Sommaire!A1" display="Retour à la page d'accueil" xr:uid="{00000000-0004-0000-1200-000000000000}"/>
    <hyperlink ref="A1:B1" location="Accueil!A1" display="Retour à la page d'accueil" xr:uid="{00000000-0004-0000-1200-000001000000}"/>
  </hyperlinks>
  <pageMargins left="0.7" right="0.7" top="0.75" bottom="0.75" header="0.3" footer="0.3"/>
  <pageSetup paperSize="9" orientation="portrait" horizontalDpi="4294967293"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786FB7"/>
  </sheetPr>
  <dimension ref="A1:F123"/>
  <sheetViews>
    <sheetView showGridLines="0" workbookViewId="0">
      <pane ySplit="6" topLeftCell="A7" activePane="bottomLeft" state="frozen"/>
      <selection pane="bottomLeft" activeCell="J34" sqref="J34:J35"/>
    </sheetView>
  </sheetViews>
  <sheetFormatPr defaultColWidth="11.42578125" defaultRowHeight="14.25"/>
  <cols>
    <col min="1" max="1" width="2.28515625" customWidth="1"/>
    <col min="2" max="2" width="63.140625" style="10" customWidth="1"/>
    <col min="3" max="3" width="35.5703125" style="15" customWidth="1"/>
    <col min="4" max="4" width="35.85546875" customWidth="1"/>
    <col min="5" max="5" width="7.85546875" hidden="1" customWidth="1"/>
    <col min="6" max="6" width="10.85546875" customWidth="1"/>
  </cols>
  <sheetData>
    <row r="1" spans="1:6">
      <c r="A1" s="302" t="s">
        <v>26</v>
      </c>
      <c r="B1" s="302"/>
    </row>
    <row r="2" spans="1:6" s="49" customFormat="1" ht="18">
      <c r="B2" s="60" t="s">
        <v>847</v>
      </c>
      <c r="C2" s="125" t="s">
        <v>848</v>
      </c>
    </row>
    <row r="3" spans="1:6">
      <c r="B3" s="13" t="s">
        <v>578</v>
      </c>
    </row>
    <row r="4" spans="1:6">
      <c r="B4" s="13" t="s">
        <v>579</v>
      </c>
    </row>
    <row r="5" spans="1:6" ht="6" customHeight="1"/>
    <row r="6" spans="1:6" ht="15">
      <c r="B6" s="61" t="s">
        <v>580</v>
      </c>
      <c r="C6" s="62" t="s">
        <v>581</v>
      </c>
      <c r="D6" s="62" t="s">
        <v>118</v>
      </c>
      <c r="E6" s="33" t="s">
        <v>31</v>
      </c>
    </row>
    <row r="7" spans="1:6" ht="24.95" customHeight="1">
      <c r="B7" s="6" t="s">
        <v>849</v>
      </c>
      <c r="C7" s="20" t="s">
        <v>39</v>
      </c>
      <c r="D7" s="20"/>
      <c r="E7" s="12">
        <f t="shared" ref="E7:E32" si="0">IF(TRIM(B7)="","",IF(TRIM(C7)="",0,1))</f>
        <v>1</v>
      </c>
    </row>
    <row r="8" spans="1:6">
      <c r="B8" s="6" t="s">
        <v>850</v>
      </c>
      <c r="C8" s="20" t="s">
        <v>39</v>
      </c>
      <c r="D8" s="20"/>
      <c r="E8" s="12"/>
    </row>
    <row r="9" spans="1:6">
      <c r="B9" s="6" t="s">
        <v>851</v>
      </c>
      <c r="C9" s="20" t="s">
        <v>54</v>
      </c>
      <c r="D9" s="20"/>
      <c r="E9" s="12"/>
    </row>
    <row r="10" spans="1:6">
      <c r="B10" s="6" t="s">
        <v>852</v>
      </c>
      <c r="C10" s="20" t="s">
        <v>54</v>
      </c>
      <c r="D10" s="20"/>
      <c r="E10" s="12"/>
    </row>
    <row r="11" spans="1:6">
      <c r="B11" s="6" t="s">
        <v>853</v>
      </c>
      <c r="C11" s="20" t="s">
        <v>54</v>
      </c>
      <c r="D11" s="20"/>
      <c r="E11" s="12"/>
    </row>
    <row r="12" spans="1:6">
      <c r="B12" s="6" t="s">
        <v>854</v>
      </c>
      <c r="C12" s="20" t="s">
        <v>39</v>
      </c>
      <c r="D12" s="20"/>
      <c r="E12" s="12"/>
    </row>
    <row r="13" spans="1:6">
      <c r="B13" s="6" t="s">
        <v>855</v>
      </c>
      <c r="C13" s="20" t="s">
        <v>54</v>
      </c>
      <c r="D13" s="20"/>
      <c r="E13" s="12"/>
    </row>
    <row r="14" spans="1:6" s="9" customFormat="1" ht="26.1" customHeight="1">
      <c r="B14" s="6" t="s">
        <v>613</v>
      </c>
      <c r="C14" s="20">
        <f>CBS!C20</f>
        <v>2024</v>
      </c>
      <c r="D14" s="20"/>
      <c r="E14" s="12">
        <f t="shared" si="0"/>
        <v>1</v>
      </c>
      <c r="F14"/>
    </row>
    <row r="15" spans="1:6" ht="65.099999999999994" customHeight="1">
      <c r="B15" s="6" t="s">
        <v>856</v>
      </c>
      <c r="C15" s="20" t="s">
        <v>615</v>
      </c>
      <c r="D15" s="20"/>
      <c r="E15" s="12">
        <f t="shared" si="0"/>
        <v>1</v>
      </c>
    </row>
    <row r="16" spans="1:6">
      <c r="B16" s="6" t="s">
        <v>618</v>
      </c>
      <c r="C16" s="20" t="s">
        <v>749</v>
      </c>
      <c r="D16" s="20"/>
      <c r="E16" s="12">
        <f t="shared" si="0"/>
        <v>1</v>
      </c>
    </row>
    <row r="17" spans="2:5" ht="38.25">
      <c r="B17" s="6" t="s">
        <v>857</v>
      </c>
      <c r="C17" s="20" t="s">
        <v>54</v>
      </c>
      <c r="D17" s="20"/>
      <c r="E17" s="12">
        <f t="shared" si="0"/>
        <v>1</v>
      </c>
    </row>
    <row r="18" spans="2:5" ht="65.099999999999994" customHeight="1">
      <c r="B18" s="6" t="s">
        <v>625</v>
      </c>
      <c r="C18" s="177" t="s">
        <v>626</v>
      </c>
      <c r="D18" s="20"/>
      <c r="E18" s="12">
        <f t="shared" si="0"/>
        <v>1</v>
      </c>
    </row>
    <row r="19" spans="2:5" ht="25.5">
      <c r="B19" s="6" t="s">
        <v>858</v>
      </c>
      <c r="C19" s="20" t="str">
        <f>CBS!C36</f>
        <v>Oui</v>
      </c>
      <c r="D19" s="20"/>
      <c r="E19" s="12">
        <f t="shared" si="0"/>
        <v>1</v>
      </c>
    </row>
    <row r="20" spans="2:5" ht="25.5">
      <c r="B20" s="6" t="s">
        <v>639</v>
      </c>
      <c r="C20" s="20" t="s">
        <v>641</v>
      </c>
      <c r="D20" s="20"/>
      <c r="E20" s="12">
        <f>IF(TRIM(B20)="","",IF(TRIM(C20)="",0,1))</f>
        <v>1</v>
      </c>
    </row>
    <row r="21" spans="2:5" ht="25.5">
      <c r="B21" s="6" t="s">
        <v>652</v>
      </c>
      <c r="C21" s="20" t="str">
        <f>CBS!C43</f>
        <v>Non</v>
      </c>
      <c r="D21" s="20"/>
      <c r="E21" s="12">
        <f t="shared" si="0"/>
        <v>1</v>
      </c>
    </row>
    <row r="22" spans="2:5">
      <c r="B22" s="6" t="s">
        <v>654</v>
      </c>
      <c r="C22" s="20" t="str">
        <f>CBS!C45</f>
        <v>On-site</v>
      </c>
      <c r="D22" s="20"/>
      <c r="E22" s="12">
        <f t="shared" si="0"/>
        <v>1</v>
      </c>
    </row>
    <row r="23" spans="2:5">
      <c r="B23" s="6" t="s">
        <v>859</v>
      </c>
      <c r="C23" s="20" t="s">
        <v>655</v>
      </c>
      <c r="D23" s="20"/>
      <c r="E23" s="12">
        <f t="shared" si="0"/>
        <v>1</v>
      </c>
    </row>
    <row r="24" spans="2:5">
      <c r="B24" s="6" t="s">
        <v>662</v>
      </c>
      <c r="C24" s="22" t="str">
        <f>CBS!C50</f>
        <v>Oracle Lunix 8.9</v>
      </c>
      <c r="D24" s="20"/>
      <c r="E24" s="12">
        <f t="shared" si="0"/>
        <v>1</v>
      </c>
    </row>
    <row r="25" spans="2:5" ht="24.6" customHeight="1">
      <c r="B25" s="6" t="s">
        <v>664</v>
      </c>
      <c r="C25" s="22" t="str">
        <f>CBS!C51</f>
        <v>ORACLE 19C</v>
      </c>
      <c r="D25" s="20"/>
      <c r="E25" s="12">
        <f t="shared" si="0"/>
        <v>1</v>
      </c>
    </row>
    <row r="26" spans="2:5">
      <c r="B26" s="6" t="s">
        <v>860</v>
      </c>
      <c r="C26" s="22" t="str">
        <f>CBS!C52</f>
        <v>Non</v>
      </c>
      <c r="D26" s="20"/>
      <c r="E26" s="12">
        <f t="shared" si="0"/>
        <v>1</v>
      </c>
    </row>
    <row r="27" spans="2:5">
      <c r="B27" s="6" t="s">
        <v>669</v>
      </c>
      <c r="C27" s="22" t="str">
        <f>CBS!C54</f>
        <v>Oui</v>
      </c>
      <c r="D27" s="20"/>
      <c r="E27" s="12">
        <f t="shared" si="0"/>
        <v>1</v>
      </c>
    </row>
    <row r="28" spans="2:5" ht="38.25">
      <c r="B28" s="6" t="s">
        <v>861</v>
      </c>
      <c r="C28" s="20" t="s">
        <v>54</v>
      </c>
      <c r="D28" s="20"/>
      <c r="E28" s="12">
        <f t="shared" si="0"/>
        <v>1</v>
      </c>
    </row>
    <row r="29" spans="2:5">
      <c r="B29" s="6" t="s">
        <v>862</v>
      </c>
      <c r="C29" s="22" t="str">
        <f>CBS!C59</f>
        <v>Oui</v>
      </c>
      <c r="D29" s="20"/>
      <c r="E29" s="12">
        <f t="shared" si="0"/>
        <v>1</v>
      </c>
    </row>
    <row r="30" spans="2:5">
      <c r="B30" s="6" t="s">
        <v>863</v>
      </c>
      <c r="C30" s="22" t="str">
        <f>CBS!C60</f>
        <v>journaliere</v>
      </c>
      <c r="D30" s="20"/>
      <c r="E30" s="12">
        <f t="shared" si="0"/>
        <v>1</v>
      </c>
    </row>
    <row r="31" spans="2:5">
      <c r="B31" s="6" t="s">
        <v>864</v>
      </c>
      <c r="C31" s="22" t="str">
        <f>CBS!C61</f>
        <v>Oui</v>
      </c>
      <c r="D31" s="20"/>
      <c r="E31" s="12">
        <f t="shared" si="0"/>
        <v>1</v>
      </c>
    </row>
    <row r="32" spans="2:5" ht="36.6" customHeight="1">
      <c r="B32" s="6" t="s">
        <v>865</v>
      </c>
      <c r="C32" s="22" t="str">
        <f>CBS!C62</f>
        <v>RMAN</v>
      </c>
      <c r="D32" s="20"/>
      <c r="E32" s="12">
        <f t="shared" si="0"/>
        <v>1</v>
      </c>
    </row>
    <row r="34" ht="28.5" customHeight="1"/>
    <row r="36" ht="15.95" customHeight="1"/>
    <row r="37" ht="39.950000000000003" customHeight="1"/>
    <row r="38" ht="51" customHeight="1"/>
    <row r="39" ht="35.25" customHeight="1"/>
    <row r="40" ht="26.45" customHeight="1"/>
    <row r="41" ht="27.6" customHeight="1"/>
    <row r="123" spans="1:1">
      <c r="A123" t="s">
        <v>223</v>
      </c>
    </row>
  </sheetData>
  <sheetProtection formatRows="0"/>
  <mergeCells count="1">
    <mergeCell ref="A1:B1"/>
  </mergeCells>
  <conditionalFormatting sqref="B7:B13">
    <cfRule type="containsBlanks" dxfId="386" priority="8">
      <formula>LEN(TRIM(B7))=0</formula>
    </cfRule>
  </conditionalFormatting>
  <conditionalFormatting sqref="B14:B32">
    <cfRule type="containsBlanks" dxfId="385" priority="6">
      <formula>LEN(TRIM(B14))=0</formula>
    </cfRule>
  </conditionalFormatting>
  <conditionalFormatting sqref="C7:C13">
    <cfRule type="expression" dxfId="384" priority="4">
      <formula>AND($B7&lt;&gt;"",$C7="")</formula>
    </cfRule>
  </conditionalFormatting>
  <conditionalFormatting sqref="C7:C17 C21:C32 C19">
    <cfRule type="expression" dxfId="383" priority="7">
      <formula>AND($B7&lt;&gt;"",$C7="")</formula>
    </cfRule>
  </conditionalFormatting>
  <conditionalFormatting sqref="C20">
    <cfRule type="containsBlanks" dxfId="382" priority="3">
      <formula>LEN(TRIM(C20))=0</formula>
    </cfRule>
  </conditionalFormatting>
  <conditionalFormatting sqref="C28">
    <cfRule type="expression" dxfId="381" priority="2">
      <formula>AND($B28&lt;&gt;"",$C28="")</formula>
    </cfRule>
  </conditionalFormatting>
  <conditionalFormatting sqref="C7:D17 D20 C21:D22 C23 C24:D32 C19:D19 D18">
    <cfRule type="expression" dxfId="380" priority="5">
      <formula>$B7=""</formula>
    </cfRule>
  </conditionalFormatting>
  <conditionalFormatting sqref="C23:D23">
    <cfRule type="expression" dxfId="379" priority="9">
      <formula>$B23=""</formula>
    </cfRule>
  </conditionalFormatting>
  <conditionalFormatting sqref="C18">
    <cfRule type="containsBlanks" dxfId="378" priority="1">
      <formula>LEN(TRIM(C18))=0</formula>
    </cfRule>
  </conditionalFormatting>
  <dataValidations count="4">
    <dataValidation type="list" allowBlank="1" showInputMessage="1" showErrorMessage="1" sqref="C20" xr:uid="{00000000-0002-0000-1300-000000000000}">
      <formula1>"Oui et oui,Oui et non,Non pour les 2"</formula1>
    </dataValidation>
    <dataValidation type="list" allowBlank="1" showInputMessage="1" showErrorMessage="1" sqref="C22:C23" xr:uid="{00000000-0002-0000-1300-000001000000}">
      <formula1>"On-site,Cloud"</formula1>
    </dataValidation>
    <dataValidation type="list" allowBlank="1" showInputMessage="1" showErrorMessage="1" sqref="C21 C28 C7:C13 C17 C19" xr:uid="{00000000-0002-0000-1300-000002000000}">
      <formula1>"Oui,Non"</formula1>
    </dataValidation>
    <dataValidation type="list" allowBlank="1" showInputMessage="1" showErrorMessage="1" sqref="C16" xr:uid="{00000000-0002-0000-1300-000003000000}">
      <formula1>"Très haut,Haut,Moyen,Faible, Inexistant"</formula1>
    </dataValidation>
  </dataValidations>
  <hyperlinks>
    <hyperlink ref="A1" location="Sommaire!A1" display="Retour à la page d'accueil" xr:uid="{00000000-0004-0000-1300-000000000000}"/>
    <hyperlink ref="A1:B1" location="Accueil!A1" display="Retour à la page d'accueil" xr:uid="{00000000-0004-0000-1300-000001000000}"/>
  </hyperlinks>
  <pageMargins left="0.7" right="0.7" top="0.75" bottom="0.75" header="0.3" footer="0.3"/>
  <pageSetup paperSize="9" orientation="portrait" horizontalDpi="4294967293"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49ECE"/>
  </sheetPr>
  <dimension ref="A1:F123"/>
  <sheetViews>
    <sheetView showGridLines="0" workbookViewId="0">
      <pane ySplit="6" topLeftCell="A13" activePane="bottomLeft" state="frozen"/>
      <selection pane="bottomLeft" activeCell="C18" sqref="C18"/>
    </sheetView>
  </sheetViews>
  <sheetFormatPr defaultColWidth="11.42578125" defaultRowHeight="14.25"/>
  <cols>
    <col min="1" max="1" width="2.28515625" customWidth="1"/>
    <col min="2" max="2" width="63.140625" style="10" customWidth="1"/>
    <col min="3" max="3" width="32.42578125" style="15" customWidth="1"/>
    <col min="4" max="4" width="32.140625" customWidth="1"/>
    <col min="5" max="5" width="10.85546875" hidden="1" customWidth="1"/>
    <col min="6" max="6" width="35.5703125" bestFit="1" customWidth="1"/>
  </cols>
  <sheetData>
    <row r="1" spans="1:6">
      <c r="A1" s="302" t="s">
        <v>26</v>
      </c>
      <c r="B1" s="302"/>
    </row>
    <row r="2" spans="1:6" s="49" customFormat="1" ht="36">
      <c r="B2" s="63" t="s">
        <v>866</v>
      </c>
      <c r="C2" s="126" t="s">
        <v>686</v>
      </c>
      <c r="F2"/>
    </row>
    <row r="3" spans="1:6">
      <c r="B3" s="13" t="s">
        <v>578</v>
      </c>
    </row>
    <row r="4" spans="1:6">
      <c r="B4" s="13" t="s">
        <v>579</v>
      </c>
    </row>
    <row r="5" spans="1:6" ht="6" customHeight="1"/>
    <row r="6" spans="1:6" ht="15">
      <c r="B6" s="64" t="s">
        <v>580</v>
      </c>
      <c r="C6" s="65" t="s">
        <v>581</v>
      </c>
      <c r="D6" s="65" t="s">
        <v>118</v>
      </c>
      <c r="E6" s="33" t="s">
        <v>31</v>
      </c>
      <c r="F6" s="65" t="s">
        <v>28</v>
      </c>
    </row>
    <row r="7" spans="1:6" ht="24.95" customHeight="1">
      <c r="B7" s="6" t="str">
        <f>IF(C2="Oui existant","COTS ou Développement interne? (Commercial Off-The-Shelf solution)","Vous prévoyez quel type de solution?: COTS ou Développement interne? (Commercial Off-The-Shelf solution)")</f>
        <v>COTS ou Développement interne? (Commercial Off-The-Shelf solution)</v>
      </c>
      <c r="C7" s="20" t="s">
        <v>867</v>
      </c>
      <c r="D7" s="21"/>
      <c r="E7" s="12">
        <f>IF(TRIM(B7)="","",IF(TRIM(C7)="",0,1))</f>
        <v>1</v>
      </c>
      <c r="F7" s="164" t="s">
        <v>54</v>
      </c>
    </row>
    <row r="8" spans="1:6">
      <c r="B8" s="6" t="str">
        <f>IF(C7="COTS","Nom de l'éditeur","")</f>
        <v/>
      </c>
      <c r="C8" s="20"/>
      <c r="D8" s="20"/>
      <c r="E8" s="12" t="str">
        <f t="shared" ref="E8:E59" si="0">IF(TRIM(B8)="","",IF(TRIM(C8)="",0,1))</f>
        <v/>
      </c>
      <c r="F8" s="164"/>
    </row>
    <row r="9" spans="1:6" ht="25.5">
      <c r="B9" s="6" t="str">
        <f>IF(C2="Oui existant","Nom de la solution",IF(AND(C7&lt;&gt;"Non prévu",C7&lt;&gt;""),"Nom de la solution (si déjà identifiée)",""))</f>
        <v>Nom de la solution</v>
      </c>
      <c r="C9" s="20" t="s">
        <v>868</v>
      </c>
      <c r="D9" s="20"/>
      <c r="E9" s="12">
        <f t="shared" si="0"/>
        <v>1</v>
      </c>
      <c r="F9" s="164" t="s">
        <v>54</v>
      </c>
    </row>
    <row r="10" spans="1:6">
      <c r="B10" s="6" t="str">
        <f>IF(C2="Oui existant","Quelle est la version/release de l'application ?",IF(C7="COTS","Quelle est la version/release qui sera implémentée ?",""))</f>
        <v>Quelle est la version/release de l'application ?</v>
      </c>
      <c r="C10" s="20" t="s">
        <v>85</v>
      </c>
      <c r="D10" s="20"/>
      <c r="E10" s="12">
        <f>IF(TRIM(B10)="","",IF(TRIM(C10)="",0,1))</f>
        <v>1</v>
      </c>
      <c r="F10" s="164" t="s">
        <v>54</v>
      </c>
    </row>
    <row r="11" spans="1:6">
      <c r="B11" s="6" t="str">
        <f>IF(C2="Oui existant","Quelle est la dernière version de l'application ?",IF(C7="COTS","Quelle est la dernière version de cette nouvelle solution ?",""))</f>
        <v>Quelle est la dernière version de l'application ?</v>
      </c>
      <c r="C11" s="20" t="s">
        <v>85</v>
      </c>
      <c r="D11" s="20"/>
      <c r="E11" s="12">
        <f>IF(TRIM(B11)="","",IF(TRIM(C11)="",0,1))</f>
        <v>1</v>
      </c>
      <c r="F11" s="164" t="s">
        <v>54</v>
      </c>
    </row>
    <row r="12" spans="1:6">
      <c r="B12" s="6" t="str">
        <f>IF(C2="Oui existant","Etes-vous au courant d’une évolution majeure en cours sur cette application","")</f>
        <v>Etes-vous au courant d’une évolution majeure en cours sur cette application</v>
      </c>
      <c r="C12" s="20" t="s">
        <v>85</v>
      </c>
      <c r="D12" s="20"/>
      <c r="E12" s="12">
        <f>IF(TRIM(B12)="","",IF(TRIM(C12)="",0,1))</f>
        <v>1</v>
      </c>
      <c r="F12" s="164" t="s">
        <v>54</v>
      </c>
    </row>
    <row r="13" spans="1:6">
      <c r="B13" s="6" t="str">
        <f>IF(C2="Oui existant","Qui contrôle les évolutions sur cette Application ?","")</f>
        <v>Qui contrôle les évolutions sur cette Application ?</v>
      </c>
      <c r="C13" s="20" t="s">
        <v>869</v>
      </c>
      <c r="D13" s="20"/>
      <c r="E13" s="12">
        <f>IF(TRIM(B13)="","",IF(TRIM(C13)="",0,1))</f>
        <v>1</v>
      </c>
      <c r="F13" s="164" t="s">
        <v>54</v>
      </c>
    </row>
    <row r="14" spans="1:6" s="9" customFormat="1" ht="26.1" customHeight="1">
      <c r="B14" s="7" t="str">
        <f>IF(C2="Oui existant","Quelle est la criticité de cette application ? combien de temps peut-on supporter son indisponibilité (colonne détail) ?","Quelle est la criticité de ce besoin ?")</f>
        <v>Quelle est la criticité de cette application ? combien de temps peut-on supporter son indisponibilité (colonne détail) ?</v>
      </c>
      <c r="C14" s="20" t="s">
        <v>619</v>
      </c>
      <c r="D14" s="21"/>
      <c r="E14" s="12">
        <f>IF(TRIM(B14)="","",IF(TRIM(C14)="",0,1))</f>
        <v>1</v>
      </c>
      <c r="F14" s="164" t="s">
        <v>54</v>
      </c>
    </row>
    <row r="15" spans="1:6" ht="25.5">
      <c r="B15" s="6" t="str">
        <f>IF(C2="Oui existant","Quels sont les modules utlisés ?",IF(AND(C7&lt;&gt;"Non prévu",C7&lt;&gt;""),"Quels sont les modules prévus ?",""))</f>
        <v>Quels sont les modules utlisés ?</v>
      </c>
      <c r="C15" s="160" t="s">
        <v>870</v>
      </c>
      <c r="D15" s="215" t="s">
        <v>56</v>
      </c>
      <c r="E15" s="12">
        <f t="shared" si="0"/>
        <v>1</v>
      </c>
      <c r="F15" s="164" t="s">
        <v>871</v>
      </c>
    </row>
    <row r="16" spans="1:6">
      <c r="B16" s="6" t="str">
        <f>IF(C2="Oui existant","Quand l’application a-t-elle été implémentée ?",IF(AND(C7&lt;&gt;"Non prévu",C7&lt;&gt;""),"Quand l’application sera-t-elle implémentée ?",""))</f>
        <v>Quand l’application a-t-elle été implémentée ?</v>
      </c>
      <c r="C16" s="20">
        <v>2021</v>
      </c>
      <c r="D16" s="20"/>
      <c r="E16" s="12">
        <f t="shared" si="0"/>
        <v>1</v>
      </c>
      <c r="F16" s="164" t="s">
        <v>54</v>
      </c>
    </row>
    <row r="17" spans="2:6">
      <c r="B17" s="6" t="str">
        <f>IF(C2="Oui existant","Qui l'a implémenté ?",IF(AND(C7&lt;&gt;"Non prévu",C7&lt;&gt;""),"Qui doit l'implémenter ?",""))</f>
        <v>Qui l'a implémenté ?</v>
      </c>
      <c r="C17" s="20" t="s">
        <v>872</v>
      </c>
      <c r="D17" s="20"/>
      <c r="E17" s="12">
        <f t="shared" si="0"/>
        <v>1</v>
      </c>
      <c r="F17" s="164" t="s">
        <v>54</v>
      </c>
    </row>
    <row r="18" spans="2:6" ht="114.75">
      <c r="B18" s="208" t="str">
        <f>IF(C2="Oui existant","Quels sont les processus fonctionnels couverts ?",IF(AND(C7&lt;&gt;"Non prévu",C7&lt;&gt;""),"Quels sont les processus fonctionnels qui doivent être couverts ?",""))</f>
        <v>Quels sont les processus fonctionnels couverts ?</v>
      </c>
      <c r="C18" s="21" t="s">
        <v>873</v>
      </c>
      <c r="D18" s="20"/>
      <c r="E18" s="12">
        <f t="shared" si="0"/>
        <v>1</v>
      </c>
      <c r="F18" s="164" t="s">
        <v>63</v>
      </c>
    </row>
    <row r="19" spans="2:6">
      <c r="B19" s="6" t="str">
        <f>IF(C2="Oui existant","Quel est le niveau de personnalisation de l’Application ?",IF(C7="COTS","Quel est le niveau de personnalisation prévu de l’Application ?",""))</f>
        <v>Quel est le niveau de personnalisation de l’Application ?</v>
      </c>
      <c r="C19" s="20" t="s">
        <v>728</v>
      </c>
      <c r="D19" s="20"/>
      <c r="E19" s="12">
        <f t="shared" si="0"/>
        <v>1</v>
      </c>
      <c r="F19" s="164" t="s">
        <v>874</v>
      </c>
    </row>
    <row r="20" spans="2:6">
      <c r="B20" s="6" t="str">
        <f>IF(C2="Oui existant","Quelle(s) technologie(s) sous-jacente(s) ?","")</f>
        <v>Quelle(s) technologie(s) sous-jacente(s) ?</v>
      </c>
      <c r="C20" s="20" t="s">
        <v>85</v>
      </c>
      <c r="D20" s="20"/>
      <c r="E20" s="12">
        <f t="shared" si="0"/>
        <v>1</v>
      </c>
      <c r="F20" s="164" t="s">
        <v>54</v>
      </c>
    </row>
    <row r="21" spans="2:6">
      <c r="B21" s="6" t="str">
        <f>IF(C2="Oui existant","Est-ce que cette solution dispose d'une interface Mobile ?",IF(AND(C7&lt;&gt;"Non prévu",C7&lt;&gt;""),"Est-ce que cette solution disposera d'une interface Mobiles ?",""))</f>
        <v>Est-ce que cette solution dispose d'une interface Mobile ?</v>
      </c>
      <c r="C21" s="20" t="s">
        <v>54</v>
      </c>
      <c r="D21" s="20"/>
      <c r="E21" s="12">
        <f t="shared" si="0"/>
        <v>1</v>
      </c>
      <c r="F21" s="164" t="s">
        <v>54</v>
      </c>
    </row>
    <row r="22" spans="2:6">
      <c r="B22" s="6" t="str">
        <f>IF(C7&lt;&gt;"Non prévu",IF(C21="Oui","Dispose-t-elle d'une version smartphone ou tablette ou les 2  ?",""),"")</f>
        <v/>
      </c>
      <c r="C22" s="22"/>
      <c r="D22" s="20"/>
      <c r="E22" s="12" t="str">
        <f t="shared" si="0"/>
        <v/>
      </c>
      <c r="F22" s="164"/>
    </row>
    <row r="23" spans="2:6" ht="24.6" customHeight="1">
      <c r="B23" s="6" t="str">
        <f>IF(C2="Oui existant","Est-ce qu'il est prévu de remplacer cette solution par une autre ? Si oui, veuillez mettre le nom de la nouvelle solution et la période prévue dans la colonne détails","")</f>
        <v>Est-ce qu'il est prévu de remplacer cette solution par une autre ? Si oui, veuillez mettre le nom de la nouvelle solution et la période prévue dans la colonne détails</v>
      </c>
      <c r="C23" s="20" t="s">
        <v>54</v>
      </c>
      <c r="D23" s="20"/>
      <c r="E23" s="12">
        <f t="shared" si="0"/>
        <v>1</v>
      </c>
      <c r="F23" s="164" t="s">
        <v>54</v>
      </c>
    </row>
    <row r="24" spans="2:6">
      <c r="B24" s="6" t="str">
        <f>IF(C2="Oui existant","Quel est le nombre d’utilisateurs finaux de cette application ?",IF(AND(C7&lt;&gt;"Non prévu",C7&lt;&gt;""),"Quel est le nombre d’utilisateurs finaux prévus pour cette application ?",""))</f>
        <v>Quel est le nombre d’utilisateurs finaux de cette application ?</v>
      </c>
      <c r="C24" s="59" t="s">
        <v>85</v>
      </c>
      <c r="D24" s="20"/>
      <c r="E24" s="12">
        <f t="shared" si="0"/>
        <v>1</v>
      </c>
      <c r="F24" s="164" t="s">
        <v>63</v>
      </c>
    </row>
    <row r="25" spans="2:6">
      <c r="B25" s="6" t="str">
        <f>IF(C2="Oui existant","Y a-t-il des utilisateurs du Groupe sur les activités de la filiale ?","")</f>
        <v>Y a-t-il des utilisateurs du Groupe sur les activités de la filiale ?</v>
      </c>
      <c r="C25" s="20" t="s">
        <v>39</v>
      </c>
      <c r="D25" s="20"/>
      <c r="E25" s="12">
        <f t="shared" si="0"/>
        <v>1</v>
      </c>
      <c r="F25" s="164" t="s">
        <v>875</v>
      </c>
    </row>
    <row r="26" spans="2:6">
      <c r="B26" s="6" t="str">
        <f>IF(C25="Oui","Quel est le ratio  ?","")</f>
        <v>Quel est le ratio  ?</v>
      </c>
      <c r="C26" s="20" t="s">
        <v>85</v>
      </c>
      <c r="D26" s="20"/>
      <c r="E26" s="12">
        <f t="shared" si="0"/>
        <v>1</v>
      </c>
      <c r="F26" s="164" t="s">
        <v>54</v>
      </c>
    </row>
    <row r="27" spans="2:6">
      <c r="B27" s="6" t="str">
        <f>IF(C2="Oui existant","Quels ont été les acquisitions de licences détaillées (nombre, date, coût) ?","")</f>
        <v>Quels ont été les acquisitions de licences détaillées (nombre, date, coût) ?</v>
      </c>
      <c r="C27" s="20" t="s">
        <v>85</v>
      </c>
      <c r="D27" s="20"/>
      <c r="E27" s="12">
        <f t="shared" si="0"/>
        <v>1</v>
      </c>
      <c r="F27" s="164" t="s">
        <v>54</v>
      </c>
    </row>
    <row r="28" spans="2:6">
      <c r="B28" s="6" t="str">
        <f>IF(C2="Oui existant","Quel est le nombre actuel de licences détenues par la filiale?",IF(C7="COTS","Combien de licences projettez-vous d'acquérir ?",""))</f>
        <v>Quel est le nombre actuel de licences détenues par la filiale?</v>
      </c>
      <c r="C28" s="20" t="s">
        <v>85</v>
      </c>
      <c r="D28" s="20"/>
      <c r="E28" s="12">
        <f t="shared" si="0"/>
        <v>1</v>
      </c>
      <c r="F28" s="164" t="s">
        <v>54</v>
      </c>
    </row>
    <row r="29" spans="2:6">
      <c r="B29" s="6" t="str">
        <f>IF(C2="Oui existant","Quel type de licences (nominatives/partagées) ?",IF(C7="COTS","Est-ce que ce sera des licences nominatives ou partagées ?",""))</f>
        <v>Quel type de licences (nominatives/partagées) ?</v>
      </c>
      <c r="C29" s="20" t="s">
        <v>85</v>
      </c>
      <c r="D29" s="20"/>
      <c r="E29" s="12">
        <f t="shared" si="0"/>
        <v>1</v>
      </c>
      <c r="F29" s="164" t="s">
        <v>54</v>
      </c>
    </row>
    <row r="30" spans="2:6" ht="36.6" customHeight="1">
      <c r="B30" s="6" t="str">
        <f>IF(C2="Oui existant","Des licences supplémentaires sont-elles nécessaires pour l'utilisation de l'application (outil supplémentaire, interfaces, modules complémentaires, …) ? Par module / par utilisateur ?",IF(C7="COTS","Est-ce que vous projettez d'acquérir d'autres licences dans un second temps ? combien et quand ?",""))</f>
        <v>Des licences supplémentaires sont-elles nécessaires pour l'utilisation de l'application (outil supplémentaire, interfaces, modules complémentaires, …) ? Par module / par utilisateur ?</v>
      </c>
      <c r="C30" s="20" t="s">
        <v>85</v>
      </c>
      <c r="D30" s="21" t="s">
        <v>60</v>
      </c>
      <c r="E30" s="12">
        <f t="shared" si="0"/>
        <v>1</v>
      </c>
      <c r="F30" s="164" t="s">
        <v>54</v>
      </c>
    </row>
    <row r="31" spans="2:6">
      <c r="B31" s="6" t="str">
        <f>IF(C2="Oui existant","Quel est le coût du support éditeur ?",IF(C7="COTS","Quel sera le coût du support éditeur ?",""))</f>
        <v>Quel est le coût du support éditeur ?</v>
      </c>
      <c r="C31" s="211" t="s">
        <v>54</v>
      </c>
      <c r="D31" s="20"/>
      <c r="E31" s="12">
        <f t="shared" si="0"/>
        <v>1</v>
      </c>
      <c r="F31" s="164" t="s">
        <v>54</v>
      </c>
    </row>
    <row r="32" spans="2:6" ht="28.5" customHeight="1">
      <c r="B32" s="6" t="str">
        <f>IF(C2="Oui existant","Existe-t-il un contrat de support avec un fournisseur ou un partenaire ? Pouvez-vous le partager ?","")</f>
        <v>Existe-t-il un contrat de support avec un fournisseur ou un partenaire ? Pouvez-vous le partager ?</v>
      </c>
      <c r="C32" s="211" t="s">
        <v>54</v>
      </c>
      <c r="D32" s="20"/>
      <c r="E32" s="12">
        <f t="shared" si="0"/>
        <v>1</v>
      </c>
      <c r="F32" s="164" t="s">
        <v>54</v>
      </c>
    </row>
    <row r="33" spans="2:6">
      <c r="B33" s="6" t="str">
        <f>IF(C2="Oui existant","Le contrat est-il global couvrant plusieurs filiales ou dédié à la filiale ?",IF(C7="COTS","Projettez-vous une acquisition individuelle ou groupe ?",""))</f>
        <v>Le contrat est-il global couvrant plusieurs filiales ou dédié à la filiale ?</v>
      </c>
      <c r="C33" s="211" t="s">
        <v>56</v>
      </c>
      <c r="D33" s="20"/>
      <c r="E33" s="12">
        <f t="shared" si="0"/>
        <v>1</v>
      </c>
      <c r="F33" s="164" t="s">
        <v>54</v>
      </c>
    </row>
    <row r="34" spans="2:6" ht="15.95" customHeight="1">
      <c r="B34" s="6" t="str">
        <f>IF(C2="Oui existant","Le contrat comprend-il un SLA formel ? Cela inclut-il un engagement de performance ?","")</f>
        <v>Le contrat comprend-il un SLA formel ? Cela inclut-il un engagement de performance ?</v>
      </c>
      <c r="C34" s="211" t="s">
        <v>56</v>
      </c>
      <c r="D34" s="20"/>
      <c r="E34" s="12">
        <f>IF(TRIM(B34)="","",IF(TRIM(C34)="",0,1))</f>
        <v>1</v>
      </c>
      <c r="F34" s="164" t="s">
        <v>54</v>
      </c>
    </row>
    <row r="35" spans="2:6" ht="242.25">
      <c r="B35" s="6" t="str">
        <f>IF(C2="Oui existant","Combien de ETP internes sont dédiés aux support (Niveaux 1, 2 et 3) de cette solution ?
Veuillez décrire dans la colonne détail de quelle entité sont-ils (Holding ou pays), la répartition des principales activités, les compétences et les rôles",IF(AND(C5&lt;&gt;"Non prévu",C5&lt;&gt;""),"Combien de ETP internes projettez-vous de dédier aux support (Niveaux 1, 2 et 3) de cette solution ?",""))</f>
        <v>Combien de ETP internes sont dédiés aux support (Niveaux 1, 2 et 3) de cette solution ?
Veuillez décrire dans la colonne détail de quelle entité sont-ils (Holding ou pays), la répartition des principales activités, les compétences et les rôles</v>
      </c>
      <c r="C35" s="197" t="s">
        <v>876</v>
      </c>
      <c r="D35" s="222" t="s">
        <v>877</v>
      </c>
      <c r="E35" s="12">
        <f t="shared" ref="E35:E36" si="1">IF(TRIM(B35)="","",IF(TRIM(C35)="",0,IF(TRIM(D35)="",0.5,1)))</f>
        <v>1</v>
      </c>
      <c r="F35" s="164" t="s">
        <v>645</v>
      </c>
    </row>
    <row r="36" spans="2:6" ht="51" customHeight="1">
      <c r="B36" s="6" t="str">
        <f>IF(C2="Oui existant","Combien de ETP internes sont dédiés aux changes opérés sur cette solution (incluant Dev, Config, Mise en prod) ?
Veuillez décrire dans la col. détail de quelle entité sont-ils (Holding ou pays), la répartition des activités, les compétences et les rôles",IF(AND(C5&lt;&gt;"Non prévu",C5&lt;&gt;""),"Combien de ETP internes projettez-vous de dédier aux futurs changes sur cette solution (incluant Dev, Config, Mise en prod) ?",""))</f>
        <v>Combien de ETP internes sont dédiés aux changes opérés sur cette solution (incluant Dev, Config, Mise en prod) ?
Veuillez décrire dans la col. détail de quelle entité sont-ils (Holding ou pays), la répartition des activités, les compétences et les rôles</v>
      </c>
      <c r="C36" s="221" t="s">
        <v>878</v>
      </c>
      <c r="D36" s="21" t="s">
        <v>879</v>
      </c>
      <c r="E36" s="12">
        <f t="shared" si="1"/>
        <v>1</v>
      </c>
      <c r="F36" s="164" t="s">
        <v>880</v>
      </c>
    </row>
    <row r="37" spans="2:6">
      <c r="B37" s="6" t="str">
        <f>IF(C2="Oui existant","Est-ce qu'il y a une integration avec un ERP ou un outil de consolidation Groupe ?",IF(AND(C7&lt;&gt;"Non prévu",C7&lt;&gt;""),"Est-ce qu'il y aura une integration avec un ERP ou un outil de consolidation Groupe ?",""))</f>
        <v>Est-ce qu'il y a une integration avec un ERP ou un outil de consolidation Groupe ?</v>
      </c>
      <c r="C37" s="20" t="s">
        <v>54</v>
      </c>
      <c r="D37" s="20"/>
      <c r="E37" s="12">
        <f t="shared" si="0"/>
        <v>1</v>
      </c>
      <c r="F37" s="164" t="s">
        <v>54</v>
      </c>
    </row>
    <row r="38" spans="2:6" ht="26.45" customHeight="1">
      <c r="B38" s="8" t="str">
        <f>IF(C37="Oui",IF(C2="Oui existant","Pouvez-vous décrire l'integration en place ? Pouvez-vous SVP partager l'architecture si elle est disponible",IF(AND(C7&lt;&gt;"Non prévu",C7&lt;&gt;""),"Pouvez-vous décrire l'integration prévue ?","")),"")</f>
        <v/>
      </c>
      <c r="C38" s="22"/>
      <c r="D38" s="20"/>
      <c r="E38" s="12" t="str">
        <f t="shared" si="0"/>
        <v/>
      </c>
      <c r="F38" s="164"/>
    </row>
    <row r="39" spans="2:6" ht="27.6" customHeight="1">
      <c r="B39" s="8" t="str">
        <f>IF(C2="Oui existant","Avez-vous un historique des KPI pour la disponibilité et le support de cette application ? Si oui, pouvez-vous les partager","")</f>
        <v>Avez-vous un historique des KPI pour la disponibilité et le support de cette application ? Si oui, pouvez-vous les partager</v>
      </c>
      <c r="C39" s="20" t="s">
        <v>54</v>
      </c>
      <c r="D39" s="20"/>
      <c r="E39" s="12">
        <f t="shared" si="0"/>
        <v>1</v>
      </c>
      <c r="F39" s="164" t="s">
        <v>54</v>
      </c>
    </row>
    <row r="40" spans="2:6">
      <c r="B40" s="6" t="str">
        <f>IF(C2="Oui existant","Existe-t-il un processus de suivi des contrats groupe et tiers ?","")</f>
        <v>Existe-t-il un processus de suivi des contrats groupe et tiers ?</v>
      </c>
      <c r="C40" s="20" t="s">
        <v>54</v>
      </c>
      <c r="D40" s="20"/>
      <c r="E40" s="12">
        <f t="shared" si="0"/>
        <v>1</v>
      </c>
      <c r="F40" s="164" t="s">
        <v>54</v>
      </c>
    </row>
    <row r="41" spans="2:6">
      <c r="B41" s="6" t="str">
        <f>IF(C2="Oui existant","L'application est-elle installée sur site ou utilisée sur le Cloud (SaaS) ?",IF(AND(C7&lt;&gt;"Non prévu",C7&lt;&gt;""),"La nouvelle solution sera-t-elle installée sur site ou utilisée sur le Cloud (SaaS) ?",""))</f>
        <v>L'application est-elle installée sur site ou utilisée sur le Cloud (SaaS) ?</v>
      </c>
      <c r="C41" s="20" t="s">
        <v>655</v>
      </c>
      <c r="D41" s="20"/>
      <c r="E41" s="12">
        <f t="shared" si="0"/>
        <v>1</v>
      </c>
      <c r="F41" s="164" t="s">
        <v>54</v>
      </c>
    </row>
    <row r="42" spans="2:6">
      <c r="B42" s="6" t="str">
        <f>IF(AND(C41="Cloud",C7="COTS"),"Si c'est sur le Cloud, est-ce entièrement SaaS ou Infra gérée par l'équipe locale ?","")</f>
        <v/>
      </c>
      <c r="C42" s="22"/>
      <c r="D42" s="20"/>
      <c r="E42" s="12" t="str">
        <f t="shared" si="0"/>
        <v/>
      </c>
      <c r="F42" s="164"/>
    </row>
    <row r="43" spans="2:6">
      <c r="B43" s="6" t="str">
        <f>IF(C2="Oui existant","S'agit-il d'une architecture Client/Serveur à 3 niveaux ? Décrivez s'il vous plait","")</f>
        <v>S'agit-il d'une architecture Client/Serveur à 3 niveaux ? Décrivez s'il vous plait</v>
      </c>
      <c r="C43" s="20" t="s">
        <v>39</v>
      </c>
      <c r="D43" s="21" t="s">
        <v>60</v>
      </c>
      <c r="E43" s="12">
        <f t="shared" ref="E43" si="2">IF(TRIM(B43)="","",IF(TRIM(C43)="",0,IF(TRIM(D43)="",0.5,1)))</f>
        <v>1</v>
      </c>
      <c r="F43" s="164" t="s">
        <v>54</v>
      </c>
    </row>
    <row r="44" spans="2:6">
      <c r="B44" s="6" t="str">
        <f>IF(C41="On-site","Comment sont acquis les serveurs (achat/location/sous-traitance) ?","")</f>
        <v>Comment sont acquis les serveurs (achat/location/sous-traitance) ?</v>
      </c>
      <c r="C44" s="22" t="s">
        <v>659</v>
      </c>
      <c r="D44" s="20"/>
      <c r="E44" s="12">
        <f t="shared" si="0"/>
        <v>1</v>
      </c>
      <c r="F44" s="164" t="s">
        <v>54</v>
      </c>
    </row>
    <row r="45" spans="2:6">
      <c r="B45" s="6" t="str">
        <f>IF(C2="Oui existant","Où sont installés les serveurs ?","")</f>
        <v>Où sont installés les serveurs ?</v>
      </c>
      <c r="C45" s="22" t="s">
        <v>85</v>
      </c>
      <c r="D45" s="20"/>
      <c r="E45" s="12">
        <f t="shared" si="0"/>
        <v>1</v>
      </c>
      <c r="F45" s="164" t="s">
        <v>63</v>
      </c>
    </row>
    <row r="46" spans="2:6">
      <c r="B46" s="6" t="str">
        <f>IF(C2="Oui existant","Sur quels systèmes (versions) cette application s'exécute-t-elle ?",IF(AND(C7&lt;&gt;"Non prévu",C7&lt;&gt;""),"Sur quels systèmes (versions) cette application sera-t-elle implémentée ?",""))</f>
        <v>Sur quels systèmes (versions) cette application s'exécute-t-elle ?</v>
      </c>
      <c r="C46" s="22" t="s">
        <v>85</v>
      </c>
      <c r="D46" s="20"/>
      <c r="E46" s="12">
        <f t="shared" si="0"/>
        <v>1</v>
      </c>
      <c r="F46" s="164" t="s">
        <v>118</v>
      </c>
    </row>
    <row r="47" spans="2:6">
      <c r="B47" s="6" t="str">
        <f>IF(C2="Oui existant","Sur quelle base de données cette application tourne-t-elle ?",IF(AND(C7&lt;&gt;"Non prévu",C7&lt;&gt;""),"Sur quelle base de données cette application tournera-t-elle ?",""))</f>
        <v>Sur quelle base de données cette application tourne-t-elle ?</v>
      </c>
      <c r="C47" s="22" t="s">
        <v>85</v>
      </c>
      <c r="D47" s="20"/>
      <c r="E47" s="12">
        <f t="shared" si="0"/>
        <v>1</v>
      </c>
      <c r="F47" s="164" t="s">
        <v>118</v>
      </c>
    </row>
    <row r="48" spans="2:6">
      <c r="B48" s="6" t="str">
        <f>IF(C2="Oui existant","Existe-t-il une architecture haute disponibilité (réplication) ?",IF(AND(C7&lt;&gt;"Non prévu",C7&lt;&gt;""),"Est-ce qu'il est prévu une architecture haute disponibilité (réplication) ?",""))</f>
        <v>Existe-t-il une architecture haute disponibilité (réplication) ?</v>
      </c>
      <c r="C48" s="22" t="s">
        <v>39</v>
      </c>
      <c r="D48" s="20"/>
      <c r="E48" s="12">
        <f t="shared" si="0"/>
        <v>1</v>
      </c>
      <c r="F48" s="164" t="s">
        <v>54</v>
      </c>
    </row>
    <row r="49" spans="2:6">
      <c r="B49" s="6" t="str">
        <f>IF(C48="Oui","Entièrement ou partiellement ? Actif-Actif ou Actif-Passif ?","")</f>
        <v>Entièrement ou partiellement ? Actif-Actif ou Actif-Passif ?</v>
      </c>
      <c r="C49" s="22" t="s">
        <v>739</v>
      </c>
      <c r="D49" s="20"/>
      <c r="E49" s="12">
        <f t="shared" si="0"/>
        <v>1</v>
      </c>
      <c r="F49" s="164" t="s">
        <v>54</v>
      </c>
    </row>
    <row r="50" spans="2:6">
      <c r="B50" s="6" t="str">
        <f>IF(C2="Oui existant","Existe-t-il un plan de récupération pour cette application ?","")</f>
        <v>Existe-t-il un plan de récupération pour cette application ?</v>
      </c>
      <c r="C50" s="20" t="s">
        <v>60</v>
      </c>
      <c r="D50" s="20"/>
      <c r="E50" s="12">
        <f t="shared" si="0"/>
        <v>1</v>
      </c>
      <c r="F50" s="164" t="s">
        <v>54</v>
      </c>
    </row>
    <row r="51" spans="2:6">
      <c r="B51" s="6" t="str">
        <f>IF(C2="Oui existant","Qui gère les données de la base de données ?",IF(AND(C7&lt;&gt;"Non prévu",C7&lt;&gt;""),"Qui va gèrer les données de la base de données ?",""))</f>
        <v>Qui gère les données de la base de données ?</v>
      </c>
      <c r="C51" s="22" t="s">
        <v>872</v>
      </c>
      <c r="D51" s="20"/>
      <c r="E51" s="12">
        <f t="shared" si="0"/>
        <v>1</v>
      </c>
      <c r="F51" s="164" t="s">
        <v>54</v>
      </c>
    </row>
    <row r="52" spans="2:6" ht="25.5">
      <c r="B52" s="6" t="str">
        <f>IF(C2="Oui existant","Quelles sont les interfaces existantes de cette application ? Veuillez décrire et partager tout document d'architecture",IF(AND(C7&lt;&gt;"Non prévu",C7&lt;&gt;""),"Quelles sont les interfaces prévues ? Veuillez décrire et partager tout document d'architecture cible",""))</f>
        <v>Quelles sont les interfaces existantes de cette application ? Veuillez décrire et partager tout document d'architecture</v>
      </c>
      <c r="C52" s="22" t="s">
        <v>872</v>
      </c>
      <c r="D52" s="21" t="s">
        <v>56</v>
      </c>
      <c r="E52" s="12">
        <f t="shared" ref="E52:E53" si="3">IF(TRIM(B52)="","",IF(TRIM(C52)="",0,IF(TRIM(D52)="",0.5,1)))</f>
        <v>1</v>
      </c>
      <c r="F52" s="164" t="s">
        <v>54</v>
      </c>
    </row>
    <row r="53" spans="2:6" ht="25.5">
      <c r="B53" s="6" t="str">
        <f>IF(C2="Oui existant","L'application est-elle complètement en temps réel ou y'a-t-il des batchs la nuit ? Décrivez s'il vous plait",IF(AND(C7&lt;&gt;"Non prévu",C7&lt;&gt;""),"L'application sera-t-elle complètement en temps réel ou y'aura-t-il des batchs la nuit ? Décrivez s'il vous plait",""))</f>
        <v>L'application est-elle complètement en temps réel ou y'a-t-il des batchs la nuit ? Décrivez s'il vous plait</v>
      </c>
      <c r="C53" s="20" t="s">
        <v>881</v>
      </c>
      <c r="D53" s="21" t="s">
        <v>60</v>
      </c>
      <c r="E53" s="12">
        <f t="shared" si="3"/>
        <v>1</v>
      </c>
      <c r="F53" s="164" t="s">
        <v>54</v>
      </c>
    </row>
    <row r="54" spans="2:6" ht="38.25">
      <c r="B54" s="6" t="str">
        <f>IF(C2="Oui existant","Avez-vous connaissance d'un quelconque problème potentiel lié à la continuité de cette application (par exemple départ ou indisponibilité des ressources clés, fin de support, bug critique, ...), si oui lequel dans détails ?","")</f>
        <v>Avez-vous connaissance d'un quelconque problème potentiel lié à la continuité de cette application (par exemple départ ou indisponibilité des ressources clés, fin de support, bug critique, ...), si oui lequel dans détails ?</v>
      </c>
      <c r="C54" s="22" t="s">
        <v>54</v>
      </c>
      <c r="D54" s="20"/>
      <c r="E54" s="12">
        <f t="shared" si="0"/>
        <v>1</v>
      </c>
      <c r="F54" s="164" t="s">
        <v>54</v>
      </c>
    </row>
    <row r="55" spans="2:6">
      <c r="B55" s="6" t="str">
        <f>IF(C2="Oui existant","Est-ce que des sauvegardes sont réalisées régulièrement ?",IF(AND(C7&lt;&gt;"Non prévu",C7&lt;&gt;""),"Est-ce que des sauvegardes sont prévus dès l'implémentation ?",""))</f>
        <v>Est-ce que des sauvegardes sont réalisées régulièrement ?</v>
      </c>
      <c r="C55" s="22" t="s">
        <v>54</v>
      </c>
      <c r="D55" s="20" t="s">
        <v>743</v>
      </c>
      <c r="E55" s="12">
        <f t="shared" si="0"/>
        <v>1</v>
      </c>
      <c r="F55" s="164" t="s">
        <v>63</v>
      </c>
    </row>
    <row r="56" spans="2:6">
      <c r="B56" s="6" t="str">
        <f>IF(C55="Oui","A quelle fréquence sont-elles exécutées?","")</f>
        <v/>
      </c>
      <c r="C56" s="22"/>
      <c r="D56" s="20"/>
      <c r="E56" s="12" t="str">
        <f t="shared" si="0"/>
        <v/>
      </c>
      <c r="F56" s="164"/>
    </row>
    <row r="57" spans="2:6">
      <c r="B57" s="6" t="str">
        <f>IF(C55="Oui","Avez-vous une politique de rétention en place ? Si oui, pouvez-vous me la partager?","")</f>
        <v/>
      </c>
      <c r="C57" s="22"/>
      <c r="D57" s="20"/>
      <c r="E57" s="12" t="str">
        <f t="shared" si="0"/>
        <v/>
      </c>
      <c r="F57" s="164"/>
    </row>
    <row r="58" spans="2:6">
      <c r="B58" s="6" t="str">
        <f>IF(C55="Oui","Quelle est la solution de sauvegarde/récupération utilisée ?","")</f>
        <v/>
      </c>
      <c r="C58" s="22"/>
      <c r="D58" s="20"/>
      <c r="E58" s="12" t="str">
        <f t="shared" si="0"/>
        <v/>
      </c>
      <c r="F58" s="164"/>
    </row>
    <row r="59" spans="2:6">
      <c r="B59" s="6" t="str">
        <f>IF(C55="Oui","Quelle est la taille totale estimée des sauvegardes ?","")</f>
        <v/>
      </c>
      <c r="C59" s="22"/>
      <c r="D59" s="20"/>
      <c r="E59" s="12" t="str">
        <f t="shared" si="0"/>
        <v/>
      </c>
      <c r="F59" s="164"/>
    </row>
    <row r="123" spans="1:1">
      <c r="A123" t="s">
        <v>223</v>
      </c>
    </row>
  </sheetData>
  <sheetProtection formatRows="0"/>
  <mergeCells count="1">
    <mergeCell ref="A1:B1"/>
  </mergeCells>
  <conditionalFormatting sqref="B8:B13">
    <cfRule type="containsBlanks" dxfId="377" priority="32">
      <formula>LEN(TRIM(B8))=0</formula>
    </cfRule>
  </conditionalFormatting>
  <conditionalFormatting sqref="B15:B59">
    <cfRule type="containsBlanks" dxfId="376" priority="27">
      <formula>LEN(TRIM(B15))=0</formula>
    </cfRule>
  </conditionalFormatting>
  <conditionalFormatting sqref="C7">
    <cfRule type="containsBlanks" dxfId="375" priority="54">
      <formula>LEN(TRIM(C7))=0</formula>
    </cfRule>
  </conditionalFormatting>
  <conditionalFormatting sqref="C8:C13">
    <cfRule type="expression" dxfId="374" priority="57">
      <formula>AND($B8&lt;&gt;"",$C8="")</formula>
    </cfRule>
  </conditionalFormatting>
  <conditionalFormatting sqref="C14">
    <cfRule type="containsBlanks" dxfId="373" priority="59">
      <formula>LEN(TRIM(C14))=0</formula>
    </cfRule>
  </conditionalFormatting>
  <conditionalFormatting sqref="C15">
    <cfRule type="expression" dxfId="372" priority="33">
      <formula>AND($B15&lt;&gt;"",$C15="")</formula>
    </cfRule>
  </conditionalFormatting>
  <conditionalFormatting sqref="C16:C34">
    <cfRule type="expression" dxfId="371" priority="48">
      <formula>AND($B16&lt;&gt;"",$C16="")</formula>
    </cfRule>
  </conditionalFormatting>
  <conditionalFormatting sqref="C37:C49 C51:C59">
    <cfRule type="expression" dxfId="370" priority="47">
      <formula>AND($B37&lt;&gt;"",$C37="")</formula>
    </cfRule>
  </conditionalFormatting>
  <conditionalFormatting sqref="C50">
    <cfRule type="expression" dxfId="369" priority="26">
      <formula>AND($B50&lt;&gt;"",$C50="")</formula>
    </cfRule>
  </conditionalFormatting>
  <conditionalFormatting sqref="C51:D51 C8:D13 C31:D34 C44:D49 C52">
    <cfRule type="expression" dxfId="368" priority="60">
      <formula>$B8=""</formula>
    </cfRule>
  </conditionalFormatting>
  <conditionalFormatting sqref="C15:D21">
    <cfRule type="expression" dxfId="367" priority="34">
      <formula>$B15=""</formula>
    </cfRule>
  </conditionalFormatting>
  <conditionalFormatting sqref="C22:D22">
    <cfRule type="expression" dxfId="366" priority="52">
      <formula>$B22=""</formula>
    </cfRule>
  </conditionalFormatting>
  <conditionalFormatting sqref="C23:D30 C31:C34">
    <cfRule type="expression" dxfId="365" priority="44">
      <formula>$B23=""</formula>
    </cfRule>
  </conditionalFormatting>
  <conditionalFormatting sqref="C52:D59">
    <cfRule type="expression" dxfId="364" priority="37">
      <formula>$B52=""</formula>
    </cfRule>
  </conditionalFormatting>
  <conditionalFormatting sqref="C37:D38">
    <cfRule type="expression" dxfId="363" priority="56">
      <formula>$B37=""</formula>
    </cfRule>
  </conditionalFormatting>
  <conditionalFormatting sqref="C39:D41">
    <cfRule type="expression" dxfId="362" priority="46">
      <formula>$B39=""</formula>
    </cfRule>
  </conditionalFormatting>
  <conditionalFormatting sqref="C42:D42">
    <cfRule type="expression" dxfId="361" priority="55">
      <formula>$B42=""</formula>
    </cfRule>
  </conditionalFormatting>
  <conditionalFormatting sqref="C43:D43">
    <cfRule type="expression" dxfId="360" priority="39">
      <formula>$B43=""</formula>
    </cfRule>
  </conditionalFormatting>
  <conditionalFormatting sqref="C50:D50">
    <cfRule type="expression" dxfId="359" priority="25">
      <formula>$B50=""</formula>
    </cfRule>
  </conditionalFormatting>
  <conditionalFormatting sqref="D30">
    <cfRule type="containsBlanks" dxfId="358" priority="58">
      <formula>LEN(TRIM(D30))=0</formula>
    </cfRule>
  </conditionalFormatting>
  <conditionalFormatting sqref="D52:D53">
    <cfRule type="containsBlanks" dxfId="357" priority="38">
      <formula>LEN(TRIM(D52))=0</formula>
    </cfRule>
  </conditionalFormatting>
  <conditionalFormatting sqref="D43">
    <cfRule type="containsBlanks" dxfId="356" priority="40">
      <formula>LEN(TRIM(D43))=0</formula>
    </cfRule>
  </conditionalFormatting>
  <conditionalFormatting sqref="F7:F18 F26:F59 F20:F24">
    <cfRule type="expression" dxfId="355" priority="21">
      <formula>$B7=""</formula>
    </cfRule>
  </conditionalFormatting>
  <conditionalFormatting sqref="F7:F18">
    <cfRule type="expression" dxfId="354" priority="24">
      <formula>AND($B7&lt;&gt;"",#REF!="")</formula>
    </cfRule>
  </conditionalFormatting>
  <conditionalFormatting sqref="F8">
    <cfRule type="expression" dxfId="353" priority="18">
      <formula>AND($B8&lt;&gt;"",#REF!="")</formula>
    </cfRule>
    <cfRule type="expression" dxfId="352" priority="19">
      <formula>AND($B8&lt;&gt;"",#REF!="")</formula>
    </cfRule>
  </conditionalFormatting>
  <conditionalFormatting sqref="F15:F16">
    <cfRule type="expression" dxfId="351" priority="20">
      <formula>AND($B15&lt;&gt;"",#REF!="")</formula>
    </cfRule>
    <cfRule type="expression" dxfId="350" priority="23">
      <formula>AND($B15&lt;&gt;"",#REF!="")</formula>
    </cfRule>
  </conditionalFormatting>
  <conditionalFormatting sqref="F19">
    <cfRule type="expression" dxfId="349" priority="8">
      <formula>AND($B19&lt;&gt;"",#REF!="")</formula>
    </cfRule>
    <cfRule type="expression" dxfId="348" priority="10">
      <formula>$B19=""</formula>
    </cfRule>
  </conditionalFormatting>
  <conditionalFormatting sqref="F19:F20">
    <cfRule type="expression" dxfId="347" priority="11">
      <formula>AND($B19&lt;&gt;"",#REF!="")</formula>
    </cfRule>
  </conditionalFormatting>
  <conditionalFormatting sqref="F20:F24 F26:F59">
    <cfRule type="expression" dxfId="346" priority="22">
      <formula>AND($B20&lt;&gt;"",#REF!="")</formula>
    </cfRule>
  </conditionalFormatting>
  <conditionalFormatting sqref="F24:F25">
    <cfRule type="expression" dxfId="345" priority="7">
      <formula>AND($B24&lt;&gt;"",#REF!="")</formula>
    </cfRule>
  </conditionalFormatting>
  <conditionalFormatting sqref="F25">
    <cfRule type="expression" dxfId="344" priority="5">
      <formula>AND($B25&lt;&gt;"",#REF!="")</formula>
    </cfRule>
    <cfRule type="expression" dxfId="343" priority="6">
      <formula>$B25=""</formula>
    </cfRule>
  </conditionalFormatting>
  <conditionalFormatting sqref="F27:F29">
    <cfRule type="expression" dxfId="342" priority="16">
      <formula>AND($B27&lt;&gt;"",#REF!="")</formula>
    </cfRule>
  </conditionalFormatting>
  <conditionalFormatting sqref="F31:F34">
    <cfRule type="expression" dxfId="341" priority="15">
      <formula>AND($B31&lt;&gt;"",#REF!="")</formula>
    </cfRule>
  </conditionalFormatting>
  <conditionalFormatting sqref="F37">
    <cfRule type="expression" dxfId="340" priority="13">
      <formula>AND($B37&lt;&gt;"",#REF!="")</formula>
    </cfRule>
  </conditionalFormatting>
  <conditionalFormatting sqref="D35:D36">
    <cfRule type="expression" dxfId="339" priority="1">
      <formula>$B35=""</formula>
    </cfRule>
  </conditionalFormatting>
  <conditionalFormatting sqref="C35:C36">
    <cfRule type="expression" dxfId="338" priority="4">
      <formula>AND($B35&lt;&gt;"",$C35="")</formula>
    </cfRule>
  </conditionalFormatting>
  <conditionalFormatting sqref="C35:C36">
    <cfRule type="expression" dxfId="337" priority="3">
      <formula>$B35=""</formula>
    </cfRule>
  </conditionalFormatting>
  <conditionalFormatting sqref="D35:D36">
    <cfRule type="containsBlanks" dxfId="336" priority="2">
      <formula>LEN(TRIM(D35))=0</formula>
    </cfRule>
  </conditionalFormatting>
  <dataValidations count="11">
    <dataValidation type="list" allowBlank="1" showInputMessage="1" showErrorMessage="1" sqref="C7" xr:uid="{00000000-0002-0000-1400-000000000000}">
      <formula1>"COTS,Développement interne,Non prévu"</formula1>
    </dataValidation>
    <dataValidation type="list" allowBlank="1" showInputMessage="1" showErrorMessage="1" sqref="C22" xr:uid="{00000000-0002-0000-1400-000001000000}">
      <formula1>"Smartphone,Tablette,Les 2"</formula1>
    </dataValidation>
    <dataValidation type="list" allowBlank="1" showInputMessage="1" showErrorMessage="1" sqref="C2" xr:uid="{00000000-0002-0000-1400-000002000000}">
      <formula1>"Oui existant,Non existant"</formula1>
    </dataValidation>
    <dataValidation type="list" allowBlank="1" showInputMessage="1" showErrorMessage="1" sqref="C19" xr:uid="{00000000-0002-0000-1400-000003000000}">
      <formula1>"Très haut,Haut,Moyen,Faible, Inexistant"</formula1>
    </dataValidation>
    <dataValidation type="list" allowBlank="1" showInputMessage="1" showErrorMessage="1" sqref="C14" xr:uid="{00000000-0002-0000-1400-000004000000}">
      <formula1>"Primoridal,Critique,Moyen,Faible"</formula1>
    </dataValidation>
    <dataValidation type="list" allowBlank="1" showInputMessage="1" showErrorMessage="1" sqref="C25 C23 C54:C55 C48 C37:C40 C21 C43 C57" xr:uid="{00000000-0002-0000-1400-000005000000}">
      <formula1>"Oui,Non"</formula1>
    </dataValidation>
    <dataValidation type="list" allowBlank="1" showInputMessage="1" showErrorMessage="1" sqref="C41" xr:uid="{00000000-0002-0000-1400-000006000000}">
      <formula1>"On-site,Cloud"</formula1>
    </dataValidation>
    <dataValidation type="list" allowBlank="1" showInputMessage="1" showErrorMessage="1" sqref="C42" xr:uid="{00000000-0002-0000-1400-000007000000}">
      <formula1>"SaaS,Infra gérée"</formula1>
    </dataValidation>
    <dataValidation type="list" allowBlank="1" showInputMessage="1" showErrorMessage="1" sqref="C44" xr:uid="{00000000-0002-0000-1400-000008000000}">
      <formula1>"Achat,Location,Sous-traitance"</formula1>
    </dataValidation>
    <dataValidation type="list" allowBlank="1" showInputMessage="1" showErrorMessage="1" sqref="F16:F18 F37:F45 F57:F59 F7 F9:F14 F26:F34 F24 F48:F55" xr:uid="{00000000-0002-0000-1400-000009000000}">
      <formula1>"Oui,Non,Pourquoi?"</formula1>
    </dataValidation>
    <dataValidation type="list" allowBlank="1" showInputMessage="1" showErrorMessage="1" sqref="F46:F47 F20:F23" xr:uid="{00000000-0002-0000-1400-00000A000000}">
      <formula1>"Oui,Non,Détails"</formula1>
    </dataValidation>
  </dataValidations>
  <hyperlinks>
    <hyperlink ref="A1" location="Sommaire!A1" display="Retour à la page d'accueil" xr:uid="{00000000-0004-0000-1400-000000000000}"/>
    <hyperlink ref="A1:B1" location="Accueil!A1" display="Retour à la page d'accueil" xr:uid="{00000000-0004-0000-1400-000001000000}"/>
  </hyperlinks>
  <pageMargins left="0.7" right="0.7" top="0.75" bottom="0.75" header="0.3" footer="0.3"/>
  <pageSetup paperSize="9" orientation="portrait" horizontalDpi="4294967293"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23AF37"/>
  </sheetPr>
  <dimension ref="A1:F122"/>
  <sheetViews>
    <sheetView showGridLines="0" workbookViewId="0">
      <pane ySplit="6" topLeftCell="A7" activePane="bottomLeft" state="frozen"/>
      <selection pane="bottomLeft" sqref="A1:B1"/>
    </sheetView>
  </sheetViews>
  <sheetFormatPr defaultColWidth="11.42578125" defaultRowHeight="14.25"/>
  <cols>
    <col min="1" max="1" width="2.28515625" customWidth="1"/>
    <col min="2" max="2" width="63.140625" style="10" customWidth="1"/>
    <col min="3" max="3" width="32.42578125" style="15" customWidth="1"/>
    <col min="4" max="4" width="38.85546875" customWidth="1"/>
    <col min="5" max="5" width="11.42578125" hidden="1" customWidth="1"/>
    <col min="6" max="6" width="26.42578125" bestFit="1" customWidth="1"/>
  </cols>
  <sheetData>
    <row r="1" spans="1:6">
      <c r="A1" s="302" t="s">
        <v>26</v>
      </c>
      <c r="B1" s="302"/>
    </row>
    <row r="2" spans="1:6" s="49" customFormat="1" ht="18">
      <c r="B2" s="66" t="s">
        <v>882</v>
      </c>
      <c r="C2" s="128" t="s">
        <v>686</v>
      </c>
      <c r="F2"/>
    </row>
    <row r="3" spans="1:6">
      <c r="B3" s="13" t="s">
        <v>578</v>
      </c>
    </row>
    <row r="4" spans="1:6">
      <c r="B4" s="13" t="s">
        <v>579</v>
      </c>
    </row>
    <row r="5" spans="1:6" ht="6" customHeight="1"/>
    <row r="6" spans="1:6" ht="15">
      <c r="B6" s="67" t="s">
        <v>580</v>
      </c>
      <c r="C6" s="68" t="s">
        <v>581</v>
      </c>
      <c r="D6" s="68" t="s">
        <v>118</v>
      </c>
      <c r="E6" s="33" t="s">
        <v>31</v>
      </c>
      <c r="F6" s="68" t="s">
        <v>28</v>
      </c>
    </row>
    <row r="7" spans="1:6" ht="24.95" customHeight="1">
      <c r="B7" s="6" t="str">
        <f>IF(C2="Oui existant","COTS ou Développement interne? (Commercial Off-The-Shelf solution)","Vous prévoyez quel type de solution?: COTS ou Développement interne? (Commercial Off-The-Shelf solution)")</f>
        <v>COTS ou Développement interne? (Commercial Off-The-Shelf solution)</v>
      </c>
      <c r="C7" s="20" t="s">
        <v>867</v>
      </c>
      <c r="D7" s="21"/>
      <c r="E7" s="12">
        <f>IF(TRIM(B7)="","",IF(TRIM(C7)="",0,1))</f>
        <v>1</v>
      </c>
      <c r="F7" s="164" t="s">
        <v>54</v>
      </c>
    </row>
    <row r="8" spans="1:6">
      <c r="B8" s="6" t="str">
        <f>IF(C7="COTS","Nom de l'éditeur","")</f>
        <v/>
      </c>
      <c r="C8" s="20"/>
      <c r="D8" s="20"/>
      <c r="E8" s="12" t="str">
        <f t="shared" ref="E8:E59" si="0">IF(TRIM(B8)="","",IF(TRIM(C8)="",0,1))</f>
        <v/>
      </c>
      <c r="F8" s="164"/>
    </row>
    <row r="9" spans="1:6">
      <c r="B9" s="6" t="str">
        <f>IF(C2="Oui existant","Nom de la solution",IF(AND(C7&lt;&gt;"Non prévu",C7&lt;&gt;""),"Nom de la solution (si déjà identifiée)",""))</f>
        <v>Nom de la solution</v>
      </c>
      <c r="C9" s="20" t="s">
        <v>883</v>
      </c>
      <c r="D9" s="20"/>
      <c r="E9" s="12">
        <f t="shared" si="0"/>
        <v>1</v>
      </c>
      <c r="F9" s="164" t="s">
        <v>54</v>
      </c>
    </row>
    <row r="10" spans="1:6">
      <c r="B10" s="6" t="str">
        <f>IF(C2="Oui existant","Quelle est la version/release de l'application ?",IF(C7="COTS","Quelle est la version/release qui sera implémentée ?",""))</f>
        <v>Quelle est la version/release de l'application ?</v>
      </c>
      <c r="C10" s="22" t="s">
        <v>884</v>
      </c>
      <c r="D10" s="20"/>
      <c r="E10" s="12">
        <f>IF(TRIM(B10)="","",IF(TRIM(C10)="",0,1))</f>
        <v>1</v>
      </c>
      <c r="F10" s="164" t="s">
        <v>54</v>
      </c>
    </row>
    <row r="11" spans="1:6">
      <c r="B11" s="6" t="str">
        <f>IF(C2="Oui existant","Quelle est la dernière version de l'application ?",IF(C7="COTS","Quelle est la dernière version de cette nouvelle solution ?",""))</f>
        <v>Quelle est la dernière version de l'application ?</v>
      </c>
      <c r="C11" s="22" t="s">
        <v>885</v>
      </c>
      <c r="D11" s="20"/>
      <c r="E11" s="12">
        <f>IF(TRIM(B11)="","",IF(TRIM(C11)="",0,1))</f>
        <v>1</v>
      </c>
      <c r="F11" s="164" t="s">
        <v>54</v>
      </c>
    </row>
    <row r="12" spans="1:6">
      <c r="B12" s="6" t="str">
        <f>IF(C2="Oui existant","Etes-vous au courant d’une évolution majeure en cours sur cette application","")</f>
        <v>Etes-vous au courant d’une évolution majeure en cours sur cette application</v>
      </c>
      <c r="C12" s="22" t="s">
        <v>60</v>
      </c>
      <c r="D12" s="20"/>
      <c r="E12" s="12">
        <f>IF(TRIM(B12)="","",IF(TRIM(C12)="",0,1))</f>
        <v>1</v>
      </c>
      <c r="F12" s="164" t="s">
        <v>54</v>
      </c>
    </row>
    <row r="13" spans="1:6">
      <c r="B13" s="6" t="str">
        <f>IF(C2="Oui existant","Qui contrôle les évolutions sur cette Application ?","")</f>
        <v>Qui contrôle les évolutions sur cette Application ?</v>
      </c>
      <c r="C13" s="22" t="s">
        <v>869</v>
      </c>
      <c r="D13" s="20"/>
      <c r="E13" s="12">
        <f>IF(TRIM(B13)="","",IF(TRIM(C13)="",0,1))</f>
        <v>1</v>
      </c>
      <c r="F13" s="164" t="s">
        <v>54</v>
      </c>
    </row>
    <row r="14" spans="1:6" s="9" customFormat="1" ht="26.1" customHeight="1">
      <c r="B14" s="7" t="str">
        <f>IF(C2="Oui existant","Quelle est la criticité de cette application ? combien de temps peut-on supporter son indisponibilité (colonne détail) ?","Quelle est la criticité de ce besoin ?")</f>
        <v>Quelle est la criticité de cette application ? combien de temps peut-on supporter son indisponibilité (colonne détail) ?</v>
      </c>
      <c r="C14" s="20" t="s">
        <v>619</v>
      </c>
      <c r="D14" s="21"/>
      <c r="E14" s="12">
        <f>IF(TRIM(B14)="","",IF(TRIM(C14)="",0,1))</f>
        <v>1</v>
      </c>
      <c r="F14" s="164" t="s">
        <v>54</v>
      </c>
    </row>
    <row r="15" spans="1:6">
      <c r="B15" s="6" t="str">
        <f>IF(C7="COTS","Est-ce un module de l'ERP Finance ou une  solution séparée?","")</f>
        <v/>
      </c>
      <c r="C15" s="20"/>
      <c r="D15" s="20"/>
      <c r="E15" s="12" t="str">
        <f t="shared" si="0"/>
        <v/>
      </c>
      <c r="F15" s="164"/>
    </row>
    <row r="16" spans="1:6">
      <c r="B16" s="6" t="str">
        <f>IF(AND(C2="Oui existant",C15="Solution séparée"),"Est-ce que la solution est integrée avec l'ERP Finance ?",IF(AND(C7&lt;&gt;"Non prévu",C7&lt;&gt;"",C15="Solution séparée"),"Est-ce que la solution sera integrée avec l'ERP Finance ?",""))</f>
        <v/>
      </c>
      <c r="C16" s="20"/>
      <c r="D16" s="20"/>
      <c r="E16" s="12" t="str">
        <f>IF(TRIM(B16)="","",IF(TRIM(C16)="",0,1))</f>
        <v/>
      </c>
      <c r="F16" s="164"/>
    </row>
    <row r="17" spans="2:6" ht="25.5">
      <c r="B17" s="6" t="str">
        <f>IF(C2="Oui existant","Quand l’application a-t-elle été implémentée ?",IF(AND(C7&lt;&gt;"Non prévu",C7&lt;&gt;""),"Quand l’application sera-t-elle implémentée ?",""))</f>
        <v>Quand l’application a-t-elle été implémentée ?</v>
      </c>
      <c r="C17" s="185" t="s">
        <v>886</v>
      </c>
      <c r="D17" s="20" t="s">
        <v>887</v>
      </c>
      <c r="E17" s="12">
        <f t="shared" si="0"/>
        <v>1</v>
      </c>
      <c r="F17" s="164" t="s">
        <v>888</v>
      </c>
    </row>
    <row r="18" spans="2:6">
      <c r="B18" s="6" t="str">
        <f>IF(C2="Oui existant","Qui l'a implémenté ?",IF(AND(C7&lt;&gt;"Non prévu",C7&lt;&gt;""),"Qui doit l'implémenter ?",""))</f>
        <v>Qui l'a implémenté ?</v>
      </c>
      <c r="C18" s="20" t="s">
        <v>869</v>
      </c>
      <c r="D18" s="20"/>
      <c r="E18" s="12">
        <f t="shared" si="0"/>
        <v>1</v>
      </c>
      <c r="F18" s="164" t="s">
        <v>54</v>
      </c>
    </row>
    <row r="19" spans="2:6">
      <c r="B19" s="6" t="str">
        <f>IF(C2="Oui existant","Quel est le niveau de personnalisation de l’Application ?",IF(C7="COTS","Quel est le niveau de personnalisation prévu de l’Application ?",""))</f>
        <v>Quel est le niveau de personnalisation de l’Application ?</v>
      </c>
      <c r="C19" s="20" t="s">
        <v>619</v>
      </c>
      <c r="D19" s="20"/>
      <c r="E19" s="12">
        <f t="shared" si="0"/>
        <v>1</v>
      </c>
      <c r="F19" s="164" t="s">
        <v>54</v>
      </c>
    </row>
    <row r="20" spans="2:6">
      <c r="B20" s="6" t="str">
        <f>IF(C2="Oui existant","Quelle(s) technologie(s) sous-jacente(s) ?","")</f>
        <v>Quelle(s) technologie(s) sous-jacente(s) ?</v>
      </c>
      <c r="C20" s="20" t="s">
        <v>889</v>
      </c>
      <c r="D20" s="20"/>
      <c r="E20" s="12">
        <f t="shared" si="0"/>
        <v>1</v>
      </c>
      <c r="F20" s="164" t="s">
        <v>54</v>
      </c>
    </row>
    <row r="21" spans="2:6" ht="25.5">
      <c r="B21" s="6" t="str">
        <f>IF(C2="Oui existant","Est-ce que cette solution dispose d'une interface Mobile ?",IF(AND(C7&lt;&gt;"Non prévu",C7&lt;&gt;""),"Est-ce que cette solution disposera d'une interface Mobiles ?",""))</f>
        <v>Est-ce que cette solution dispose d'une interface Mobile ?</v>
      </c>
      <c r="C21" s="20" t="s">
        <v>39</v>
      </c>
      <c r="D21" s="20" t="s">
        <v>890</v>
      </c>
      <c r="E21" s="12">
        <f t="shared" si="0"/>
        <v>1</v>
      </c>
      <c r="F21" s="164" t="s">
        <v>54</v>
      </c>
    </row>
    <row r="22" spans="2:6">
      <c r="B22" s="6" t="str">
        <f>IF(C7&lt;&gt;"Non prévu",IF(C21="Oui","Dispose-t-elle d'une version smartphone ou tablette ou les 2  ?",""),"")</f>
        <v>Dispose-t-elle d'une version smartphone ou tablette ou les 2  ?</v>
      </c>
      <c r="C22" s="22" t="s">
        <v>623</v>
      </c>
      <c r="D22" s="20"/>
      <c r="E22" s="12">
        <f t="shared" si="0"/>
        <v>1</v>
      </c>
      <c r="F22" s="164"/>
    </row>
    <row r="23" spans="2:6" ht="24.6" customHeight="1">
      <c r="B23" s="6" t="str">
        <f>IF(C2="Oui existant","Est-ce qu'il est prévu de remplacer cette solution par une autre ? Si oui, veuillez mettre le nom de la nouvelle solution et la période prévue dans la colonne détails","")</f>
        <v>Est-ce qu'il est prévu de remplacer cette solution par une autre ? Si oui, veuillez mettre le nom de la nouvelle solution et la période prévue dans la colonne détails</v>
      </c>
      <c r="C23" s="20" t="s">
        <v>54</v>
      </c>
      <c r="D23" s="20"/>
      <c r="E23" s="12">
        <f t="shared" si="0"/>
        <v>1</v>
      </c>
      <c r="F23" s="164" t="s">
        <v>54</v>
      </c>
    </row>
    <row r="24" spans="2:6">
      <c r="B24" s="6" t="str">
        <f>IF(C2="Oui existant","Quel est le nombre d’utilisateurs finaux de cette application ?",IF(AND(C7&lt;&gt;"Non prévu",C7&lt;&gt;""),"Quel est le nombre d’utilisateurs finaux prévus pour cette application ?",""))</f>
        <v>Quel est le nombre d’utilisateurs finaux de cette application ?</v>
      </c>
      <c r="C24" s="59" t="s">
        <v>891</v>
      </c>
      <c r="D24" s="20"/>
      <c r="E24" s="12">
        <f t="shared" si="0"/>
        <v>1</v>
      </c>
      <c r="F24" s="164" t="s">
        <v>751</v>
      </c>
    </row>
    <row r="25" spans="2:6">
      <c r="B25" s="6" t="str">
        <f>IF(C2="Oui existant","Y a-t-il des utilisateurs du Groupe sur les activités de la filiale ?","")</f>
        <v>Y a-t-il des utilisateurs du Groupe sur les activités de la filiale ?</v>
      </c>
      <c r="C25" s="20" t="s">
        <v>54</v>
      </c>
      <c r="D25" s="20"/>
      <c r="E25" s="12">
        <f t="shared" si="0"/>
        <v>1</v>
      </c>
      <c r="F25" s="164" t="s">
        <v>54</v>
      </c>
    </row>
    <row r="26" spans="2:6">
      <c r="B26" s="6" t="str">
        <f>IF(C25="Oui","Quel est le ratio  ?","")</f>
        <v/>
      </c>
      <c r="C26" s="20"/>
      <c r="D26" s="20"/>
      <c r="E26" s="12" t="str">
        <f t="shared" si="0"/>
        <v/>
      </c>
      <c r="F26" s="164"/>
    </row>
    <row r="27" spans="2:6">
      <c r="B27" s="6" t="str">
        <f>IF(C2="Oui existant","Quels ont été les acquisitions de licences détaillées (nombre, date, coût) ?","")</f>
        <v>Quels ont été les acquisitions de licences détaillées (nombre, date, coût) ?</v>
      </c>
      <c r="C27" s="20" t="s">
        <v>60</v>
      </c>
      <c r="D27" s="20"/>
      <c r="E27" s="12">
        <f t="shared" si="0"/>
        <v>1</v>
      </c>
      <c r="F27" s="164" t="s">
        <v>54</v>
      </c>
    </row>
    <row r="28" spans="2:6">
      <c r="B28" s="6" t="str">
        <f>IF(C2="Oui existant","Quel est le nombre actuel de licences détenues par la filiale?",IF(C7="COTS","Combien de licences projettez-vous d'acquérir ?",""))</f>
        <v>Quel est le nombre actuel de licences détenues par la filiale?</v>
      </c>
      <c r="C28" s="20" t="s">
        <v>56</v>
      </c>
      <c r="D28" s="401" t="s">
        <v>867</v>
      </c>
      <c r="E28" s="12">
        <f t="shared" si="0"/>
        <v>1</v>
      </c>
      <c r="F28" s="164" t="s">
        <v>54</v>
      </c>
    </row>
    <row r="29" spans="2:6">
      <c r="B29" s="6" t="str">
        <f>IF(C2="Oui existant","Quel type de licences (nominatives/partagées) ?",IF(C7="COTS","Est-ce que ce sera des licences nominatives ou partagées ?",""))</f>
        <v>Quel type de licences (nominatives/partagées) ?</v>
      </c>
      <c r="C29" s="20" t="s">
        <v>56</v>
      </c>
      <c r="D29" s="402"/>
      <c r="E29" s="12">
        <f t="shared" si="0"/>
        <v>1</v>
      </c>
      <c r="F29" s="164" t="s">
        <v>54</v>
      </c>
    </row>
    <row r="30" spans="2:6" ht="36.6" customHeight="1">
      <c r="B30" s="6" t="str">
        <f>IF(C2="Oui existant","Des licences supplémentaires sont-elles nécessaires pour l'utilisation de l'application (outil supplémentaire, interfaces, modules complémentaires, …) ? Par module / par utilisateur ?",IF(C7="COTS","Est-ce que vous projettez d'acquérir d'autres licences dans un second temps ? combien et quand ?",""))</f>
        <v>Des licences supplémentaires sont-elles nécessaires pour l'utilisation de l'application (outil supplémentaire, interfaces, modules complémentaires, …) ? Par module / par utilisateur ?</v>
      </c>
      <c r="C30" s="20" t="s">
        <v>56</v>
      </c>
      <c r="D30" s="402"/>
      <c r="E30" s="12">
        <f t="shared" si="0"/>
        <v>1</v>
      </c>
      <c r="F30" s="164" t="s">
        <v>54</v>
      </c>
    </row>
    <row r="31" spans="2:6">
      <c r="B31" s="6" t="str">
        <f>IF(C2="Oui existant","Quel est le coût du support éditeur ?",IF(C7="COTS","Quel sera le coût du support éditeur ?",""))</f>
        <v>Quel est le coût du support éditeur ?</v>
      </c>
      <c r="C31" s="20" t="s">
        <v>56</v>
      </c>
      <c r="D31" s="402"/>
      <c r="E31" s="12">
        <f t="shared" si="0"/>
        <v>1</v>
      </c>
      <c r="F31" s="164" t="s">
        <v>54</v>
      </c>
    </row>
    <row r="32" spans="2:6" ht="28.5" customHeight="1">
      <c r="B32" s="6" t="str">
        <f>IF(C2="Oui existant","Existe-t-il un contrat de support avec un fournisseur ou un partenaire ? Pouvez-vous le partager ?","")</f>
        <v>Existe-t-il un contrat de support avec un fournisseur ou un partenaire ? Pouvez-vous le partager ?</v>
      </c>
      <c r="C32" s="20" t="s">
        <v>56</v>
      </c>
      <c r="D32" s="402"/>
      <c r="E32" s="12">
        <f t="shared" si="0"/>
        <v>1</v>
      </c>
      <c r="F32" s="164" t="s">
        <v>54</v>
      </c>
    </row>
    <row r="33" spans="2:6">
      <c r="B33" s="6" t="str">
        <f>IF(C2="Oui existant","Le contrat est-il global couvrant plusieurs filiales ou dédié à la filiale ?",IF(C7="COTS","Projettez-vous une acquisition individuelle ou groupe ?",""))</f>
        <v>Le contrat est-il global couvrant plusieurs filiales ou dédié à la filiale ?</v>
      </c>
      <c r="C33" s="20" t="s">
        <v>56</v>
      </c>
      <c r="D33" s="402"/>
      <c r="E33" s="12">
        <f t="shared" si="0"/>
        <v>1</v>
      </c>
      <c r="F33" s="164" t="s">
        <v>54</v>
      </c>
    </row>
    <row r="34" spans="2:6" ht="15.95" customHeight="1">
      <c r="B34" s="6" t="str">
        <f>IF(C2="Oui existant","Le contrat comprend-il un SLA formel ? Cela inclut-il un engagement de performance ?","")</f>
        <v>Le contrat comprend-il un SLA formel ? Cela inclut-il un engagement de performance ?</v>
      </c>
      <c r="C34" s="20" t="s">
        <v>56</v>
      </c>
      <c r="D34" s="403"/>
      <c r="E34" s="12">
        <f>IF(TRIM(B34)="","",IF(TRIM(C34)="",0,1))</f>
        <v>1</v>
      </c>
      <c r="F34" s="164" t="s">
        <v>54</v>
      </c>
    </row>
    <row r="35" spans="2:6" ht="89.25">
      <c r="B35" s="6" t="str">
        <f>IF(C2="Oui existant","Combien de ETP internes sont dédiés aux support (Niveaux 1, 2 et 3) de cette solution ?
Veuillez décrire dans la colonne détail de quelle entité sont-ils (Holding ou pays), la répartition des principales activités, les compétences et les rôles",IF(AND(C5&lt;&gt;"Non prévu",C5&lt;&gt;""),"Combien de ETP internes projettez-vous de dédier aux support (Niveaux 1, 2 et 3) de cette solution ?",""))</f>
        <v>Combien de ETP internes sont dédiés aux support (Niveaux 1, 2 et 3) de cette solution ?
Veuillez décrire dans la colonne détail de quelle entité sont-ils (Holding ou pays), la répartition des principales activités, les compétences et les rôles</v>
      </c>
      <c r="C35" s="197" t="s">
        <v>892</v>
      </c>
      <c r="D35" s="222" t="s">
        <v>893</v>
      </c>
      <c r="E35" s="12">
        <f t="shared" ref="E35:E36" si="1">IF(TRIM(B35)="","",IF(TRIM(C35)="",0,IF(TRIM(D35)="",0.5,1)))</f>
        <v>1</v>
      </c>
      <c r="F35" s="164" t="s">
        <v>645</v>
      </c>
    </row>
    <row r="36" spans="2:6" ht="51" customHeight="1">
      <c r="B36" s="6" t="str">
        <f>IF(C2="Oui existant","Combien de ETP internes sont dédiés aux changes opérés sur cette solution (incluant Dev, Config, Mise en prod) ?
Veuillez décrire dans la col. détail de quelle entité sont-ils (Holding ou pays), la répartition des activités, les compétences et les rôles",IF(AND(C5&lt;&gt;"Non prévu",C5&lt;&gt;""),"Combien de ETP internes projettez-vous de dédier aux futurs changes sur cette solution (incluant Dev, Config, Mise en prod) ?",""))</f>
        <v>Combien de ETP internes sont dédiés aux changes opérés sur cette solution (incluant Dev, Config, Mise en prod) ?
Veuillez décrire dans la col. détail de quelle entité sont-ils (Holding ou pays), la répartition des activités, les compétences et les rôles</v>
      </c>
      <c r="C36" s="221" t="s">
        <v>894</v>
      </c>
      <c r="D36" s="21" t="s">
        <v>895</v>
      </c>
      <c r="E36" s="12">
        <f t="shared" si="1"/>
        <v>1</v>
      </c>
      <c r="F36" s="164" t="s">
        <v>645</v>
      </c>
    </row>
    <row r="37" spans="2:6">
      <c r="B37" s="6" t="str">
        <f>IF(C2="Oui existant","Est-ce qu'il y a une integration avec un ERP ou un outil de consolidation Groupe ?",IF(AND(C7&lt;&gt;"Non prévu",C7&lt;&gt;""),"Est-ce qu'il y aura une integration avec un ERP ou un outil de consolidation Groupe ?",""))</f>
        <v>Est-ce qu'il y a une integration avec un ERP ou un outil de consolidation Groupe ?</v>
      </c>
      <c r="C37" s="20" t="s">
        <v>54</v>
      </c>
      <c r="D37" s="20"/>
      <c r="E37" s="12">
        <f t="shared" si="0"/>
        <v>1</v>
      </c>
      <c r="F37" s="164" t="s">
        <v>54</v>
      </c>
    </row>
    <row r="38" spans="2:6" ht="26.45" customHeight="1">
      <c r="B38" s="8" t="str">
        <f>IF(C37="Oui",IF(C2="Oui existant","Pouvez-vous décrire l'integration en place ? Pouvez-vous SVP partager l'architecture si elle est disponible",IF(AND(C7&lt;&gt;"Non prévu",C7&lt;&gt;""),"Pouvez-vous décrire l'integration prévue ?","")),"")</f>
        <v/>
      </c>
      <c r="C38" s="22"/>
      <c r="D38" s="20"/>
      <c r="E38" s="12" t="str">
        <f t="shared" si="0"/>
        <v/>
      </c>
      <c r="F38" s="164"/>
    </row>
    <row r="39" spans="2:6" ht="27.6" customHeight="1">
      <c r="B39" s="8" t="str">
        <f>IF(C2="Oui existant","Avez-vous un historique des KPI pour la disponibilité et le support de cette application ? Si oui, pouvez-vous les partager","")</f>
        <v>Avez-vous un historique des KPI pour la disponibilité et le support de cette application ? Si oui, pouvez-vous les partager</v>
      </c>
      <c r="C39" s="20" t="s">
        <v>54</v>
      </c>
      <c r="D39" s="20"/>
      <c r="E39" s="12">
        <f t="shared" si="0"/>
        <v>1</v>
      </c>
      <c r="F39" s="164" t="s">
        <v>54</v>
      </c>
    </row>
    <row r="40" spans="2:6">
      <c r="B40" s="6" t="str">
        <f>IF(C2="Oui existant","Existe-t-il un processus de suivi des contrats groupe et tiers ?","")</f>
        <v>Existe-t-il un processus de suivi des contrats groupe et tiers ?</v>
      </c>
      <c r="C40" s="20" t="s">
        <v>54</v>
      </c>
      <c r="D40" s="20"/>
      <c r="E40" s="12">
        <f t="shared" si="0"/>
        <v>1</v>
      </c>
      <c r="F40" s="164" t="s">
        <v>54</v>
      </c>
    </row>
    <row r="41" spans="2:6">
      <c r="B41" s="6" t="str">
        <f>IF(C2="Oui existant","L'application est-elle installée sur site ou utilisée sur le Cloud (SaaS) ?",IF(AND(C7&lt;&gt;"Non prévu",C7&lt;&gt;""),"La nouvelle solution sera-t-elle installée sur site ou utilisée sur le Cloud (SaaS) ?",""))</f>
        <v>L'application est-elle installée sur site ou utilisée sur le Cloud (SaaS) ?</v>
      </c>
      <c r="C41" s="20" t="s">
        <v>655</v>
      </c>
      <c r="D41" s="20"/>
      <c r="E41" s="12">
        <f t="shared" si="0"/>
        <v>1</v>
      </c>
      <c r="F41" s="164" t="s">
        <v>54</v>
      </c>
    </row>
    <row r="42" spans="2:6">
      <c r="B42" s="6" t="str">
        <f>IF(AND(C41="Cloud",C7="COTS"),"Si c'est sur le Cloud, est-ce entièrement SaaS ou Infra gérée par l'équipe locale ?","")</f>
        <v/>
      </c>
      <c r="C42" s="22"/>
      <c r="D42" s="20"/>
      <c r="E42" s="12" t="str">
        <f t="shared" si="0"/>
        <v/>
      </c>
      <c r="F42" s="164"/>
    </row>
    <row r="43" spans="2:6">
      <c r="B43" s="6" t="str">
        <f>IF(C2="Oui existant","S'agit-il d'une architecture Client/Serveur à 3 niveaux ? Décrivez s'il vous plait","")</f>
        <v>S'agit-il d'une architecture Client/Serveur à 3 niveaux ? Décrivez s'il vous plait</v>
      </c>
      <c r="C43" s="20" t="s">
        <v>54</v>
      </c>
      <c r="D43" s="21" t="s">
        <v>799</v>
      </c>
      <c r="E43" s="12">
        <f t="shared" ref="E43" si="2">IF(TRIM(B43)="","",IF(TRIM(C43)="",0,IF(TRIM(D43)="",0.5,1)))</f>
        <v>1</v>
      </c>
      <c r="F43" s="164" t="s">
        <v>54</v>
      </c>
    </row>
    <row r="44" spans="2:6">
      <c r="B44" s="6" t="str">
        <f>IF(C41="On-site","Comment sont acquis les serveurs (achat/location/sous-traitance) ?","")</f>
        <v>Comment sont acquis les serveurs (achat/location/sous-traitance) ?</v>
      </c>
      <c r="C44" s="22" t="s">
        <v>659</v>
      </c>
      <c r="D44" s="20"/>
      <c r="E44" s="12">
        <f t="shared" si="0"/>
        <v>1</v>
      </c>
      <c r="F44" s="164" t="s">
        <v>54</v>
      </c>
    </row>
    <row r="45" spans="2:6">
      <c r="B45" s="6" t="str">
        <f>IF(C2="Oui existant","Où sont installés les serveurs ?","")</f>
        <v>Où sont installés les serveurs ?</v>
      </c>
      <c r="C45" s="22" t="s">
        <v>896</v>
      </c>
      <c r="D45" s="20"/>
      <c r="E45" s="12">
        <f t="shared" si="0"/>
        <v>1</v>
      </c>
      <c r="F45" s="164" t="s">
        <v>54</v>
      </c>
    </row>
    <row r="46" spans="2:6">
      <c r="B46" s="6" t="str">
        <f>IF(C2="Oui existant","Sur quels systèmes (versions) cette application s'exécute-t-elle ?",IF(AND(C7&lt;&gt;"Non prévu",C7&lt;&gt;""),"Sur quels systèmes (versions) cette application sera-t-elle implémentée ?",""))</f>
        <v>Sur quels systèmes (versions) cette application s'exécute-t-elle ?</v>
      </c>
      <c r="C46" s="22" t="s">
        <v>897</v>
      </c>
      <c r="D46" s="20"/>
      <c r="E46" s="12">
        <f t="shared" si="0"/>
        <v>1</v>
      </c>
      <c r="F46" s="164" t="s">
        <v>737</v>
      </c>
    </row>
    <row r="47" spans="2:6">
      <c r="B47" s="6" t="str">
        <f>IF(C2="Oui existant","Sur quelle base de données cette application tourne-t-elle ?",IF(AND(C7&lt;&gt;"Non prévu",C7&lt;&gt;""),"Sur quelle base de données cette application tournera-t-elle ?",""))</f>
        <v>Sur quelle base de données cette application tourne-t-elle ?</v>
      </c>
      <c r="C47" s="22" t="s">
        <v>898</v>
      </c>
      <c r="D47" s="20"/>
      <c r="E47" s="12">
        <f t="shared" si="0"/>
        <v>1</v>
      </c>
      <c r="F47" s="164" t="s">
        <v>737</v>
      </c>
    </row>
    <row r="48" spans="2:6">
      <c r="B48" s="6" t="str">
        <f>IF(C2="Oui existant","Existe-t-il une architecture haute disponibilité (réplication) ?",IF(AND(C7&lt;&gt;"Non prévu",C7&lt;&gt;""),"Est-ce qu'il est prévu une architecture haute disponibilité (réplication) ?",""))</f>
        <v>Existe-t-il une architecture haute disponibilité (réplication) ?</v>
      </c>
      <c r="C48" s="22" t="s">
        <v>54</v>
      </c>
      <c r="D48" s="20"/>
      <c r="E48" s="12">
        <f t="shared" si="0"/>
        <v>1</v>
      </c>
      <c r="F48" s="164" t="s">
        <v>54</v>
      </c>
    </row>
    <row r="49" spans="2:6">
      <c r="B49" s="6" t="str">
        <f>IF(C48="Oui","Entièrement ou partiellement ? Actif-Actif ou Actif-Passif ?","")</f>
        <v/>
      </c>
      <c r="C49" s="22"/>
      <c r="D49" s="20"/>
      <c r="E49" s="12" t="str">
        <f t="shared" si="0"/>
        <v/>
      </c>
      <c r="F49" s="164"/>
    </row>
    <row r="50" spans="2:6">
      <c r="B50" s="6" t="str">
        <f>IF(C2="Oui existant","Existe-t-il un plan de récupération pour cette application ?","")</f>
        <v>Existe-t-il un plan de récupération pour cette application ?</v>
      </c>
      <c r="C50" s="22" t="s">
        <v>54</v>
      </c>
      <c r="D50" s="20"/>
      <c r="E50" s="12">
        <f t="shared" si="0"/>
        <v>1</v>
      </c>
      <c r="F50" s="164" t="s">
        <v>54</v>
      </c>
    </row>
    <row r="51" spans="2:6">
      <c r="B51" s="6" t="str">
        <f>IF(C2="Oui existant","Qui gère les données de la base de données ?",IF(AND(C7&lt;&gt;"Non prévu",C7&lt;&gt;""),"Qui va gèrer les données de la base de données ?",""))</f>
        <v>Qui gère les données de la base de données ?</v>
      </c>
      <c r="C51" s="22" t="s">
        <v>869</v>
      </c>
      <c r="D51" s="20"/>
      <c r="E51" s="12">
        <f t="shared" si="0"/>
        <v>1</v>
      </c>
      <c r="F51" s="164" t="s">
        <v>54</v>
      </c>
    </row>
    <row r="52" spans="2:6" ht="33" customHeight="1">
      <c r="B52" s="208" t="str">
        <f>IF(C2="Oui existant","Quelles sont les interfaces existantes de cette application ? Veuillez décrire et partager tout document d'architecture",IF(AND(C7&lt;&gt;"Non prévu",C7&lt;&gt;""),"Quelles sont les interfaces prévues ? Veuillez décrire et partager tout document d'architecture cible",""))</f>
        <v>Quelles sont les interfaces existantes de cette application ? Veuillez décrire et partager tout document d'architecture</v>
      </c>
      <c r="C52" s="21" t="s">
        <v>899</v>
      </c>
      <c r="D52" s="21" t="s">
        <v>900</v>
      </c>
      <c r="E52" s="12">
        <f t="shared" ref="E52:E53" si="3">IF(TRIM(B52)="","",IF(TRIM(C52)="",0,IF(TRIM(D52)="",0.5,1)))</f>
        <v>1</v>
      </c>
      <c r="F52" s="164" t="s">
        <v>901</v>
      </c>
    </row>
    <row r="53" spans="2:6" ht="25.5">
      <c r="B53" s="6" t="str">
        <f>IF(C2="Oui existant","L'application est-elle complètement en temps réel ou y'a-t-il des batchs la nuit ? Décrivez s'il vous plait",IF(AND(C7&lt;&gt;"Non prévu",C7&lt;&gt;""),"L'application sera-t-elle complètement en temps réel ou y'aura-t-il des batchs la nuit ? Décrivez s'il vous plait",""))</f>
        <v>L'application est-elle complètement en temps réel ou y'a-t-il des batchs la nuit ? Décrivez s'il vous plait</v>
      </c>
      <c r="C53" s="20" t="s">
        <v>902</v>
      </c>
      <c r="D53" s="20" t="s">
        <v>902</v>
      </c>
      <c r="E53" s="12">
        <f t="shared" si="3"/>
        <v>1</v>
      </c>
      <c r="F53" s="164" t="s">
        <v>54</v>
      </c>
    </row>
    <row r="54" spans="2:6" ht="38.25">
      <c r="B54" s="6" t="str">
        <f>IF(C2="Oui existant","Avez-vous connaissance d'un quelconque problème potentiel lié à la continuité de cette application (par exemple départ ou indisponibilité des ressources clés, fin de support, bug critique, ...), si oui lequel dans détails ?","")</f>
        <v>Avez-vous connaissance d'un quelconque problème potentiel lié à la continuité de cette application (par exemple départ ou indisponibilité des ressources clés, fin de support, bug critique, ...), si oui lequel dans détails ?</v>
      </c>
      <c r="C54" s="22" t="s">
        <v>54</v>
      </c>
      <c r="D54" s="20"/>
      <c r="E54" s="12">
        <f t="shared" si="0"/>
        <v>1</v>
      </c>
      <c r="F54" s="164" t="s">
        <v>54</v>
      </c>
    </row>
    <row r="55" spans="2:6" ht="24" customHeight="1">
      <c r="B55" s="6" t="str">
        <f>IF(C2="Oui existant","Est-ce que des sauvegardes sont réalisées régulièrement ?",IF(AND(C7&lt;&gt;"Non prévu",C7&lt;&gt;""),"Est-ce que des sauvegardes sont prévus dès l'implémentation ?",""))</f>
        <v>Est-ce que des sauvegardes sont réalisées régulièrement ?</v>
      </c>
      <c r="C55" s="22" t="s">
        <v>39</v>
      </c>
      <c r="D55" s="20"/>
      <c r="E55" s="12">
        <f t="shared" si="0"/>
        <v>1</v>
      </c>
      <c r="F55" s="164" t="s">
        <v>54</v>
      </c>
    </row>
    <row r="56" spans="2:6" ht="25.5">
      <c r="B56" s="6" t="str">
        <f>IF(C55="Oui","A quelle fréquence sont-elles exécutées?","")</f>
        <v>A quelle fréquence sont-elles exécutées?</v>
      </c>
      <c r="C56" s="22" t="s">
        <v>903</v>
      </c>
      <c r="D56" s="20"/>
      <c r="E56" s="12">
        <f t="shared" si="0"/>
        <v>1</v>
      </c>
      <c r="F56" s="164" t="s">
        <v>54</v>
      </c>
    </row>
    <row r="57" spans="2:6">
      <c r="B57" s="6" t="str">
        <f>IF(C55="Oui","Avez-vous une politique de rétention en place ? Si oui, pouvez-vous me la partager?","")</f>
        <v>Avez-vous une politique de rétention en place ? Si oui, pouvez-vous me la partager?</v>
      </c>
      <c r="C57" s="22" t="s">
        <v>54</v>
      </c>
      <c r="D57" s="20"/>
      <c r="E57" s="12">
        <f t="shared" si="0"/>
        <v>1</v>
      </c>
      <c r="F57" s="164" t="s">
        <v>54</v>
      </c>
    </row>
    <row r="58" spans="2:6">
      <c r="B58" s="6" t="str">
        <f>IF(C55="Oui","Quelle est la solution de sauvegarde/récupération utilisée ?","")</f>
        <v>Quelle est la solution de sauvegarde/récupération utilisée ?</v>
      </c>
      <c r="C58" s="22" t="s">
        <v>54</v>
      </c>
      <c r="D58" s="20"/>
      <c r="E58" s="12">
        <f t="shared" si="0"/>
        <v>1</v>
      </c>
      <c r="F58" s="164" t="s">
        <v>54</v>
      </c>
    </row>
    <row r="59" spans="2:6">
      <c r="B59" s="6" t="str">
        <f>IF(C55="Oui","Quelle est la taille totale estimée des sauvegardes ?","")</f>
        <v>Quelle est la taille totale estimée des sauvegardes ?</v>
      </c>
      <c r="C59" s="22" t="s">
        <v>54</v>
      </c>
      <c r="D59" s="20"/>
      <c r="E59" s="12">
        <f t="shared" si="0"/>
        <v>1</v>
      </c>
      <c r="F59" s="164" t="s">
        <v>54</v>
      </c>
    </row>
    <row r="122" spans="1:1">
      <c r="A122" t="s">
        <v>223</v>
      </c>
    </row>
  </sheetData>
  <sheetProtection formatRows="0"/>
  <mergeCells count="2">
    <mergeCell ref="A1:B1"/>
    <mergeCell ref="D28:D34"/>
  </mergeCells>
  <conditionalFormatting sqref="B8:B13">
    <cfRule type="containsBlanks" dxfId="335" priority="29">
      <formula>LEN(TRIM(B8))=0</formula>
    </cfRule>
  </conditionalFormatting>
  <conditionalFormatting sqref="B15:B59">
    <cfRule type="containsBlanks" dxfId="334" priority="22">
      <formula>LEN(TRIM(B15))=0</formula>
    </cfRule>
  </conditionalFormatting>
  <conditionalFormatting sqref="C7">
    <cfRule type="containsBlanks" dxfId="333" priority="51">
      <formula>LEN(TRIM(C7))=0</formula>
    </cfRule>
  </conditionalFormatting>
  <conditionalFormatting sqref="C14">
    <cfRule type="containsBlanks" dxfId="332" priority="56">
      <formula>LEN(TRIM(C14))=0</formula>
    </cfRule>
  </conditionalFormatting>
  <conditionalFormatting sqref="C15:C34 C8:C13">
    <cfRule type="expression" dxfId="331" priority="54">
      <formula>AND($B8&lt;&gt;"",$C8="")</formula>
    </cfRule>
  </conditionalFormatting>
  <conditionalFormatting sqref="C37:C59">
    <cfRule type="expression" dxfId="330" priority="44">
      <formula>AND($B37&lt;&gt;"",$C37="")</formula>
    </cfRule>
  </conditionalFormatting>
  <conditionalFormatting sqref="C8:D13 C15:D21 C44:D51 C29:C34">
    <cfRule type="expression" dxfId="329" priority="57">
      <formula>$B8=""</formula>
    </cfRule>
  </conditionalFormatting>
  <conditionalFormatting sqref="C22:D27 C28:C34">
    <cfRule type="expression" dxfId="328" priority="41">
      <formula>$B22=""</formula>
    </cfRule>
  </conditionalFormatting>
  <conditionalFormatting sqref="C52:D59">
    <cfRule type="expression" dxfId="327" priority="34">
      <formula>$B52=""</formula>
    </cfRule>
  </conditionalFormatting>
  <conditionalFormatting sqref="C37:D38">
    <cfRule type="expression" dxfId="326" priority="53">
      <formula>$B37=""</formula>
    </cfRule>
  </conditionalFormatting>
  <conditionalFormatting sqref="C39:D41">
    <cfRule type="expression" dxfId="325" priority="43">
      <formula>$B39=""</formula>
    </cfRule>
  </conditionalFormatting>
  <conditionalFormatting sqref="C42:D42">
    <cfRule type="expression" dxfId="324" priority="52">
      <formula>$B42=""</formula>
    </cfRule>
  </conditionalFormatting>
  <conditionalFormatting sqref="C43:D43">
    <cfRule type="expression" dxfId="323" priority="36">
      <formula>$B43=""</formula>
    </cfRule>
  </conditionalFormatting>
  <conditionalFormatting sqref="D17">
    <cfRule type="expression" dxfId="322" priority="7">
      <formula>AND($B17&lt;&gt;"",$C17="")</formula>
    </cfRule>
  </conditionalFormatting>
  <conditionalFormatting sqref="D28">
    <cfRule type="containsBlanks" dxfId="321" priority="55">
      <formula>LEN(TRIM(D28))=0</formula>
    </cfRule>
  </conditionalFormatting>
  <conditionalFormatting sqref="D52:D53">
    <cfRule type="containsBlanks" dxfId="320" priority="35">
      <formula>LEN(TRIM(D52))=0</formula>
    </cfRule>
  </conditionalFormatting>
  <conditionalFormatting sqref="D43">
    <cfRule type="containsBlanks" dxfId="319" priority="37">
      <formula>LEN(TRIM(D43))=0</formula>
    </cfRule>
  </conditionalFormatting>
  <conditionalFormatting sqref="D53">
    <cfRule type="expression" dxfId="318" priority="21">
      <formula>AND($B53&lt;&gt;"",$C53="")</formula>
    </cfRule>
  </conditionalFormatting>
  <conditionalFormatting sqref="F7:F15 F17:F18">
    <cfRule type="expression" dxfId="317" priority="20">
      <formula>AND($B7&lt;&gt;"",#REF!="")</formula>
    </cfRule>
  </conditionalFormatting>
  <conditionalFormatting sqref="F7:F59">
    <cfRule type="expression" dxfId="316" priority="17">
      <formula>$B7=""</formula>
    </cfRule>
  </conditionalFormatting>
  <conditionalFormatting sqref="F8">
    <cfRule type="expression" dxfId="315" priority="14">
      <formula>AND($B8&lt;&gt;"",#REF!="")</formula>
    </cfRule>
  </conditionalFormatting>
  <conditionalFormatting sqref="F15:F16">
    <cfRule type="expression" dxfId="314" priority="19">
      <formula>AND($B15&lt;&gt;"",#REF!="")</formula>
    </cfRule>
  </conditionalFormatting>
  <conditionalFormatting sqref="F15:F17">
    <cfRule type="expression" dxfId="313" priority="8">
      <formula>AND($B15&lt;&gt;"",#REF!="")</formula>
    </cfRule>
  </conditionalFormatting>
  <conditionalFormatting sqref="F19:F59">
    <cfRule type="expression" dxfId="312" priority="18">
      <formula>AND($B19&lt;&gt;"",#REF!="")</formula>
    </cfRule>
  </conditionalFormatting>
  <conditionalFormatting sqref="F20">
    <cfRule type="expression" dxfId="311" priority="10">
      <formula>AND($B20&lt;&gt;"",#REF!="")</formula>
    </cfRule>
  </conditionalFormatting>
  <conditionalFormatting sqref="F24">
    <cfRule type="expression" dxfId="310" priority="5">
      <formula>AND($B24&lt;&gt;"",#REF!="")</formula>
    </cfRule>
  </conditionalFormatting>
  <conditionalFormatting sqref="F27:F29">
    <cfRule type="expression" dxfId="309" priority="12">
      <formula>AND($B27&lt;&gt;"",#REF!="")</formula>
    </cfRule>
  </conditionalFormatting>
  <conditionalFormatting sqref="F31:F34">
    <cfRule type="expression" dxfId="308" priority="11">
      <formula>AND($B31&lt;&gt;"",#REF!="")</formula>
    </cfRule>
  </conditionalFormatting>
  <conditionalFormatting sqref="F37">
    <cfRule type="expression" dxfId="307" priority="9">
      <formula>AND($B37&lt;&gt;"",#REF!="")</formula>
    </cfRule>
  </conditionalFormatting>
  <conditionalFormatting sqref="C35:C36">
    <cfRule type="expression" dxfId="306" priority="4">
      <formula>AND($B35&lt;&gt;"",$C35="")</formula>
    </cfRule>
  </conditionalFormatting>
  <conditionalFormatting sqref="C35:C36">
    <cfRule type="expression" dxfId="305" priority="3">
      <formula>$B35=""</formula>
    </cfRule>
  </conditionalFormatting>
  <conditionalFormatting sqref="D35:D36">
    <cfRule type="expression" dxfId="304" priority="1">
      <formula>$B35=""</formula>
    </cfRule>
  </conditionalFormatting>
  <conditionalFormatting sqref="D35:D36">
    <cfRule type="containsBlanks" dxfId="303" priority="2">
      <formula>LEN(TRIM(D35))=0</formula>
    </cfRule>
  </conditionalFormatting>
  <conditionalFormatting sqref="D28">
    <cfRule type="expression" dxfId="302" priority="244">
      <formula>$B30=""</formula>
    </cfRule>
  </conditionalFormatting>
  <dataValidations count="12">
    <dataValidation type="list" allowBlank="1" showInputMessage="1" showErrorMessage="1" sqref="C44" xr:uid="{00000000-0002-0000-1500-000000000000}">
      <formula1>"Achat,Location,Sous-traitance"</formula1>
    </dataValidation>
    <dataValidation type="list" allowBlank="1" showInputMessage="1" showErrorMessage="1" sqref="C42" xr:uid="{00000000-0002-0000-1500-000001000000}">
      <formula1>"SaaS,Infra gérée"</formula1>
    </dataValidation>
    <dataValidation type="list" allowBlank="1" showInputMessage="1" showErrorMessage="1" sqref="C41" xr:uid="{00000000-0002-0000-1500-000002000000}">
      <formula1>"On-site,Cloud"</formula1>
    </dataValidation>
    <dataValidation type="list" allowBlank="1" showInputMessage="1" showErrorMessage="1" sqref="C25 C23 C54:C55 C48 C50 C21 C43 C57 C37:C40" xr:uid="{00000000-0002-0000-1500-000003000000}">
      <formula1>"Oui,Non"</formula1>
    </dataValidation>
    <dataValidation type="list" allowBlank="1" showInputMessage="1" showErrorMessage="1" sqref="C14" xr:uid="{00000000-0002-0000-1500-000004000000}">
      <formula1>"Primoridal,Critique,Moyen,Faible"</formula1>
    </dataValidation>
    <dataValidation type="list" allowBlank="1" showInputMessage="1" showErrorMessage="1" sqref="C19" xr:uid="{00000000-0002-0000-1500-000005000000}">
      <formula1>"Très haut,Haut,Moyen,Faible, Inexistant"</formula1>
    </dataValidation>
    <dataValidation type="list" allowBlank="1" showInputMessage="1" showErrorMessage="1" sqref="C2" xr:uid="{00000000-0002-0000-1500-000006000000}">
      <formula1>"Oui existant,Non existant"</formula1>
    </dataValidation>
    <dataValidation type="list" allowBlank="1" showInputMessage="1" showErrorMessage="1" sqref="C22" xr:uid="{00000000-0002-0000-1500-000007000000}">
      <formula1>"Smartphone,Tablette,Les 2"</formula1>
    </dataValidation>
    <dataValidation type="list" allowBlank="1" showInputMessage="1" showErrorMessage="1" sqref="C7" xr:uid="{00000000-0002-0000-1500-000008000000}">
      <formula1>"COTS,Développement interne,Non prévu"</formula1>
    </dataValidation>
    <dataValidation type="list" allowBlank="1" showInputMessage="1" showErrorMessage="1" sqref="C15:C16" xr:uid="{00000000-0002-0000-1500-000009000000}">
      <formula1>"Module de l'ERP,Solution séparée"</formula1>
    </dataValidation>
    <dataValidation type="list" allowBlank="1" showInputMessage="1" showErrorMessage="1" sqref="F19:F23" xr:uid="{00000000-0002-0000-1500-00000A000000}">
      <formula1>"Oui,Non,Détails"</formula1>
    </dataValidation>
    <dataValidation type="list" allowBlank="1" showInputMessage="1" showErrorMessage="1" sqref="F48:F51 F37:F45 F53:F59 F7 F9:F14 F18 F25:F34" xr:uid="{00000000-0002-0000-1500-00000B000000}">
      <formula1>"Oui,Non,Pourquoi?"</formula1>
    </dataValidation>
  </dataValidations>
  <hyperlinks>
    <hyperlink ref="A1" location="Sommaire!A1" display="Retour à la page d'accueil" xr:uid="{00000000-0004-0000-1500-000000000000}"/>
    <hyperlink ref="A1:B1" location="Accueil!A1" display="Retour à la page d'accueil" xr:uid="{00000000-0004-0000-1500-000001000000}"/>
  </hyperlinks>
  <pageMargins left="0.7" right="0.7" top="0.75" bottom="0.75" header="0.3" footer="0.3"/>
  <pageSetup paperSize="9" orientation="portrait" horizontalDpi="4294967293"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A1:K123"/>
  <sheetViews>
    <sheetView showGridLines="0" workbookViewId="0">
      <pane ySplit="6" topLeftCell="A25" activePane="bottomLeft" state="frozen"/>
      <selection pane="bottomLeft" activeCell="D70" sqref="D70"/>
    </sheetView>
  </sheetViews>
  <sheetFormatPr defaultColWidth="11.42578125" defaultRowHeight="14.25"/>
  <cols>
    <col min="1" max="1" width="2.28515625" customWidth="1"/>
    <col min="2" max="2" width="63.140625" style="10" customWidth="1"/>
    <col min="3" max="3" width="32.42578125" style="15" customWidth="1"/>
    <col min="4" max="4" width="44.42578125" customWidth="1"/>
    <col min="5" max="5" width="12.140625" hidden="1" customWidth="1"/>
    <col min="6" max="6" width="26.42578125" bestFit="1" customWidth="1"/>
    <col min="7" max="7" width="6.85546875" customWidth="1"/>
  </cols>
  <sheetData>
    <row r="1" spans="1:11">
      <c r="A1" s="302" t="s">
        <v>26</v>
      </c>
      <c r="B1" s="302"/>
    </row>
    <row r="2" spans="1:11" s="49" customFormat="1" ht="18">
      <c r="B2" s="69" t="s">
        <v>904</v>
      </c>
      <c r="C2" s="127" t="s">
        <v>686</v>
      </c>
      <c r="D2" s="189" t="s">
        <v>905</v>
      </c>
      <c r="F2"/>
    </row>
    <row r="3" spans="1:11">
      <c r="B3" s="13" t="s">
        <v>578</v>
      </c>
    </row>
    <row r="4" spans="1:11">
      <c r="B4" s="13" t="s">
        <v>579</v>
      </c>
    </row>
    <row r="5" spans="1:11" ht="6" customHeight="1"/>
    <row r="6" spans="1:11" ht="15">
      <c r="B6" s="70" t="s">
        <v>580</v>
      </c>
      <c r="C6" s="71" t="s">
        <v>581</v>
      </c>
      <c r="D6" s="71" t="s">
        <v>118</v>
      </c>
      <c r="E6" s="33" t="s">
        <v>31</v>
      </c>
      <c r="F6" s="71" t="s">
        <v>28</v>
      </c>
    </row>
    <row r="7" spans="1:11" ht="24.95" customHeight="1">
      <c r="B7" s="6" t="str">
        <f>IF(C2="Oui existant","COTS ou Développement interne? (Commercial Off-The-Shelf solution)","Vous prévoyez quel type de solution?: COTS ou Développement interne? (Commercial Off-The-Shelf solution)")</f>
        <v>COTS ou Développement interne? (Commercial Off-The-Shelf solution)</v>
      </c>
      <c r="C7" s="20" t="s">
        <v>867</v>
      </c>
      <c r="D7" s="21"/>
      <c r="E7" s="12">
        <f>IF(TRIM(B7)="","",IF(TRIM(C7)="",0,1))</f>
        <v>1</v>
      </c>
      <c r="F7" s="164" t="s">
        <v>54</v>
      </c>
      <c r="H7" s="171"/>
      <c r="I7" s="171"/>
      <c r="J7" s="172"/>
      <c r="K7" s="172"/>
    </row>
    <row r="8" spans="1:11">
      <c r="B8" s="6" t="str">
        <f>IF(C7="COTS","Nom de l'éditeur","")</f>
        <v/>
      </c>
      <c r="C8" s="20"/>
      <c r="D8" s="20"/>
      <c r="E8" s="12" t="str">
        <f t="shared" ref="E8:E59" si="0">IF(TRIM(B8)="","",IF(TRIM(C8)="",0,1))</f>
        <v/>
      </c>
      <c r="F8" s="164"/>
      <c r="H8" s="171"/>
      <c r="I8" s="171"/>
      <c r="J8" s="172"/>
      <c r="K8" s="172"/>
    </row>
    <row r="9" spans="1:11" ht="38.25">
      <c r="B9" s="6" t="str">
        <f>IF(C2="Oui existant","Nom de la solution",IF(AND(C7&lt;&gt;"Non prévu",C7&lt;&gt;""),"Nom de la solution (si déjà identifiée)",""))</f>
        <v>Nom de la solution</v>
      </c>
      <c r="C9" s="20" t="s">
        <v>906</v>
      </c>
      <c r="D9" s="209" t="s">
        <v>907</v>
      </c>
      <c r="E9" s="12">
        <f t="shared" si="0"/>
        <v>1</v>
      </c>
      <c r="F9" s="164" t="s">
        <v>54</v>
      </c>
      <c r="H9" s="398"/>
      <c r="I9" s="398"/>
      <c r="J9" s="172"/>
      <c r="K9" s="172"/>
    </row>
    <row r="10" spans="1:11">
      <c r="B10" s="6" t="str">
        <f>IF(C2="Oui existant","Quelle est la version/release de l'application ?",IF(C7="COTS","Quelle est la version/release qui sera implémentée ?",""))</f>
        <v>Quelle est la version/release de l'application ?</v>
      </c>
      <c r="C10" s="22" t="s">
        <v>691</v>
      </c>
      <c r="D10" s="20"/>
      <c r="E10" s="12">
        <f>IF(TRIM(B10)="","",IF(TRIM(C10)="",0,1))</f>
        <v>1</v>
      </c>
      <c r="F10" s="164" t="s">
        <v>54</v>
      </c>
      <c r="H10" s="398"/>
      <c r="I10" s="398"/>
      <c r="J10" s="172"/>
      <c r="K10" s="172"/>
    </row>
    <row r="11" spans="1:11">
      <c r="B11" s="6" t="str">
        <f>IF(C2="Oui existant","Quelle est la dernière version de l'application ?",IF(C7="COTS","Quelle est la dernière version de cette nouvelle solution ?",""))</f>
        <v>Quelle est la dernière version de l'application ?</v>
      </c>
      <c r="C11" s="22" t="s">
        <v>691</v>
      </c>
      <c r="D11" s="20"/>
      <c r="E11" s="12">
        <f>IF(TRIM(B11)="","",IF(TRIM(C11)="",0,1))</f>
        <v>1</v>
      </c>
      <c r="F11" s="164" t="s">
        <v>54</v>
      </c>
      <c r="H11" s="398"/>
      <c r="I11" s="398"/>
      <c r="J11" s="172"/>
      <c r="K11" s="172"/>
    </row>
    <row r="12" spans="1:11">
      <c r="B12" s="6" t="str">
        <f>IF(C2="Oui existant","Etes-vous au courant d’une évolution majeure en cours sur cette application","")</f>
        <v>Etes-vous au courant d’une évolution majeure en cours sur cette application</v>
      </c>
      <c r="C12" s="22" t="s">
        <v>54</v>
      </c>
      <c r="D12" s="20"/>
      <c r="E12" s="12">
        <f>IF(TRIM(B12)="","",IF(TRIM(C12)="",0,1))</f>
        <v>1</v>
      </c>
      <c r="F12" s="164" t="s">
        <v>118</v>
      </c>
      <c r="H12" s="171"/>
      <c r="I12" s="171"/>
      <c r="J12" s="172"/>
      <c r="K12" s="172"/>
    </row>
    <row r="13" spans="1:11" ht="25.5">
      <c r="B13" s="6" t="str">
        <f>IF(C2="Oui existant","Qui contrôle les évolutions sur cette Application ?","")</f>
        <v>Qui contrôle les évolutions sur cette Application ?</v>
      </c>
      <c r="C13" s="22" t="s">
        <v>908</v>
      </c>
      <c r="D13" s="20"/>
      <c r="E13" s="12">
        <f>IF(TRIM(B13)="","",IF(TRIM(C13)="",0,1))</f>
        <v>1</v>
      </c>
      <c r="F13" s="164" t="s">
        <v>54</v>
      </c>
      <c r="H13" s="171"/>
      <c r="I13" s="171"/>
      <c r="J13" s="172"/>
      <c r="K13" s="172"/>
    </row>
    <row r="14" spans="1:11" s="9" customFormat="1" ht="26.1" customHeight="1">
      <c r="B14" s="7" t="str">
        <f>IF(C2="Oui existant","Quelle est la criticité de cette application ? combien de temps peut-on supporter son indisponibilité (colonne détail) ?","Quelle est la criticité de ce besoin ?")</f>
        <v>Quelle est la criticité de cette application ? combien de temps peut-on supporter son indisponibilité (colonne détail) ?</v>
      </c>
      <c r="C14" s="20" t="s">
        <v>619</v>
      </c>
      <c r="D14" s="21"/>
      <c r="E14" s="12">
        <f>IF(TRIM(B14)="","",IF(TRIM(C14)="",0,1))</f>
        <v>1</v>
      </c>
      <c r="F14" s="164" t="s">
        <v>54</v>
      </c>
      <c r="H14" s="171"/>
      <c r="I14" s="171"/>
      <c r="J14" s="172"/>
      <c r="K14" s="172"/>
    </row>
    <row r="15" spans="1:11" ht="51">
      <c r="B15" s="6" t="str">
        <f>IF(C2="Oui existant","Quels sont les modules utlisés ?",IF(AND(C7&lt;&gt;"Non prévu",C7&lt;&gt;""),"Quels sont les modules prévus ?",""))</f>
        <v>Quels sont les modules utlisés ?</v>
      </c>
      <c r="C15" s="22" t="s">
        <v>909</v>
      </c>
      <c r="D15" s="20" t="s">
        <v>910</v>
      </c>
      <c r="E15" s="12">
        <f t="shared" si="0"/>
        <v>1</v>
      </c>
      <c r="F15" s="164" t="s">
        <v>54</v>
      </c>
      <c r="H15" s="171"/>
      <c r="I15" s="171"/>
      <c r="J15" s="172"/>
      <c r="K15" s="172"/>
    </row>
    <row r="16" spans="1:11" ht="15">
      <c r="B16" s="6" t="str">
        <f>IF(C2="Oui existant","Quand l’application a-t-elle été implémentée ?",IF(AND(C7&lt;&gt;"Non prévu",C7&lt;&gt;""),"Quand l’application sera-t-elle implémentée ?",""))</f>
        <v>Quand l’application a-t-elle été implémentée ?</v>
      </c>
      <c r="C16" s="157" t="s">
        <v>887</v>
      </c>
      <c r="D16" s="20"/>
      <c r="E16" s="12">
        <f t="shared" si="0"/>
        <v>1</v>
      </c>
      <c r="F16" s="164" t="s">
        <v>54</v>
      </c>
      <c r="H16" s="173"/>
      <c r="I16" s="173"/>
      <c r="J16" s="172"/>
      <c r="K16" s="172"/>
    </row>
    <row r="17" spans="2:11" ht="25.5">
      <c r="B17" s="6" t="str">
        <f>IF(C2="Oui existant","Qui l'a implémenté ?",IF(AND(C7&lt;&gt;"Non prévu",C7&lt;&gt;""),"Qui doit l'implémenter ?",""))</f>
        <v>Qui l'a implémenté ?</v>
      </c>
      <c r="C17" s="20" t="s">
        <v>908</v>
      </c>
      <c r="D17" s="20"/>
      <c r="E17" s="12">
        <f t="shared" si="0"/>
        <v>1</v>
      </c>
      <c r="F17" s="164" t="s">
        <v>54</v>
      </c>
      <c r="H17" s="171"/>
      <c r="I17" s="171"/>
      <c r="J17" s="172"/>
      <c r="K17" s="172"/>
    </row>
    <row r="18" spans="2:11" ht="140.25">
      <c r="B18" s="6" t="str">
        <f>IF(C2="Oui existant","Quels sont les processus fonctionnels couverts ?",IF(AND(C7&lt;&gt;"Non prévu",C7&lt;&gt;""),"Quels sont les processus fonctionnels qui doivent être couverts ?",""))</f>
        <v>Quels sont les processus fonctionnels couverts ?</v>
      </c>
      <c r="C18" s="20" t="s">
        <v>911</v>
      </c>
      <c r="D18" s="203" t="s">
        <v>912</v>
      </c>
      <c r="E18" s="12">
        <f t="shared" si="0"/>
        <v>1</v>
      </c>
      <c r="F18" s="164" t="s">
        <v>118</v>
      </c>
      <c r="H18" s="171"/>
      <c r="I18" s="171"/>
      <c r="J18" s="172"/>
      <c r="K18" s="172"/>
    </row>
    <row r="19" spans="2:11">
      <c r="B19" s="6" t="str">
        <f>IF(C2="Oui existant","Quel est le niveau de personnalisation de l’Application ?",IF(C7="COTS","Quel est le niveau de personnalisation prévu de l’Application ?",""))</f>
        <v>Quel est le niveau de personnalisation de l’Application ?</v>
      </c>
      <c r="C19" s="20" t="s">
        <v>749</v>
      </c>
      <c r="D19" s="20"/>
      <c r="E19" s="12">
        <f t="shared" si="0"/>
        <v>1</v>
      </c>
      <c r="F19" s="164" t="s">
        <v>63</v>
      </c>
      <c r="H19" s="171"/>
      <c r="I19" s="171"/>
      <c r="J19" s="172"/>
      <c r="K19" s="172"/>
    </row>
    <row r="20" spans="2:11" ht="38.25">
      <c r="B20" s="6" t="str">
        <f>IF(C2="Oui existant","Quelle(s) technologie(s) sous-jacente(s) ?","")</f>
        <v>Quelle(s) technologie(s) sous-jacente(s) ?</v>
      </c>
      <c r="C20" s="224" t="s">
        <v>913</v>
      </c>
      <c r="D20" s="224" t="s">
        <v>914</v>
      </c>
      <c r="E20" s="12">
        <f t="shared" si="0"/>
        <v>1</v>
      </c>
      <c r="F20" s="164" t="s">
        <v>63</v>
      </c>
      <c r="H20" s="171"/>
      <c r="I20" s="171"/>
      <c r="J20" s="172"/>
      <c r="K20" s="172"/>
    </row>
    <row r="21" spans="2:11" ht="25.5">
      <c r="B21" s="6" t="str">
        <f>IF(C2="Oui existant","Est-ce que cette solution dispose d'une interface Mobile ?",IF(AND(C7&lt;&gt;"Non prévu",C7&lt;&gt;""),"Est-ce que cette solution disposera d'une interface Mobiles ?",""))</f>
        <v>Est-ce que cette solution dispose d'une interface Mobile ?</v>
      </c>
      <c r="C21" s="20" t="s">
        <v>39</v>
      </c>
      <c r="D21" s="20" t="s">
        <v>890</v>
      </c>
      <c r="E21" s="12">
        <f t="shared" si="0"/>
        <v>1</v>
      </c>
      <c r="F21" s="164" t="s">
        <v>54</v>
      </c>
      <c r="H21" s="173"/>
      <c r="I21" s="173"/>
      <c r="J21" s="172"/>
      <c r="K21" s="172"/>
    </row>
    <row r="22" spans="2:11">
      <c r="B22" s="6" t="str">
        <f>IF(C7&lt;&gt;"Non prévu",IF(C21="Oui","Dispose-t-elle d'une version smartphone ou tablette ou les 2  ?",""),"")</f>
        <v>Dispose-t-elle d'une version smartphone ou tablette ou les 2  ?</v>
      </c>
      <c r="C22" s="22" t="s">
        <v>623</v>
      </c>
      <c r="D22" s="20"/>
      <c r="E22" s="12">
        <f t="shared" si="0"/>
        <v>1</v>
      </c>
      <c r="F22" s="164"/>
      <c r="H22" s="173"/>
      <c r="I22" s="173"/>
      <c r="J22" s="172"/>
      <c r="K22" s="172"/>
    </row>
    <row r="23" spans="2:11" ht="24.6" customHeight="1">
      <c r="B23" s="6" t="str">
        <f>IF(C2="Oui existant","Est-ce qu'il est prévu de remplacer cette solution par une autre ? Si oui, veuillez mettre le nom de la nouvelle solution et la période prévue dans la colonne détails","")</f>
        <v>Est-ce qu'il est prévu de remplacer cette solution par une autre ? Si oui, veuillez mettre le nom de la nouvelle solution et la période prévue dans la colonne détails</v>
      </c>
      <c r="C23" s="20" t="s">
        <v>54</v>
      </c>
      <c r="D23" s="20"/>
      <c r="E23" s="12">
        <f t="shared" si="0"/>
        <v>1</v>
      </c>
      <c r="F23" s="164" t="s">
        <v>54</v>
      </c>
      <c r="H23" s="173"/>
      <c r="I23" s="173"/>
      <c r="J23" s="172"/>
      <c r="K23" s="172"/>
    </row>
    <row r="24" spans="2:11">
      <c r="B24" s="6" t="str">
        <f>IF(C2="Oui existant","Quel est le nombre d’utilisateurs finaux de cette application ?",IF(AND(C7&lt;&gt;"Non prévu",C7&lt;&gt;""),"Quel est le nombre d’utilisateurs finaux prévus pour cette application ?",""))</f>
        <v>Quel est le nombre d’utilisateurs finaux de cette application ?</v>
      </c>
      <c r="C24" s="59" t="s">
        <v>891</v>
      </c>
      <c r="D24" s="20"/>
      <c r="E24" s="12">
        <f t="shared" si="0"/>
        <v>1</v>
      </c>
      <c r="F24" s="164" t="s">
        <v>54</v>
      </c>
      <c r="H24" s="171"/>
      <c r="I24" s="171"/>
      <c r="J24" s="172"/>
      <c r="K24" s="172"/>
    </row>
    <row r="25" spans="2:11">
      <c r="B25" s="6" t="str">
        <f>IF(C2="Oui existant","Y a-t-il des utilisateurs du Groupe sur les activités de la filiale ?","")</f>
        <v>Y a-t-il des utilisateurs du Groupe sur les activités de la filiale ?</v>
      </c>
      <c r="C25" s="20" t="s">
        <v>39</v>
      </c>
      <c r="D25" s="224" t="s">
        <v>915</v>
      </c>
      <c r="E25" s="12">
        <f t="shared" si="0"/>
        <v>1</v>
      </c>
      <c r="F25" s="164" t="s">
        <v>63</v>
      </c>
      <c r="H25" s="171"/>
      <c r="I25" s="171"/>
      <c r="J25" s="172"/>
      <c r="K25" s="172"/>
    </row>
    <row r="26" spans="2:11">
      <c r="B26" s="6" t="str">
        <f>IF(C25="Oui","Quel est le ratio  ?","")</f>
        <v>Quel est le ratio  ?</v>
      </c>
      <c r="C26" s="20" t="s">
        <v>56</v>
      </c>
      <c r="D26" s="20"/>
      <c r="E26" s="12">
        <f t="shared" si="0"/>
        <v>1</v>
      </c>
      <c r="F26" s="164"/>
      <c r="H26" s="171"/>
      <c r="I26" s="171"/>
      <c r="J26" s="172"/>
      <c r="K26" s="172"/>
    </row>
    <row r="27" spans="2:11">
      <c r="B27" s="6" t="str">
        <f>IF(C2="Oui existant","Quels ont été les acquisitions de licences détaillées (nombre, date, coût) ?","")</f>
        <v>Quels ont été les acquisitions de licences détaillées (nombre, date, coût) ?</v>
      </c>
      <c r="C27" s="20" t="s">
        <v>56</v>
      </c>
      <c r="D27" s="20"/>
      <c r="E27" s="12">
        <f t="shared" si="0"/>
        <v>1</v>
      </c>
      <c r="F27" s="164" t="s">
        <v>54</v>
      </c>
      <c r="H27" s="171"/>
      <c r="I27" s="171"/>
      <c r="J27" s="172"/>
      <c r="K27" s="172"/>
    </row>
    <row r="28" spans="2:11">
      <c r="B28" s="6" t="str">
        <f>IF(C2="Oui existant","Quel est le nombre actuel de licences détenues par la filiale?",IF(C7="COTS","Combien de licences projettez-vous d'acquérir ?",""))</f>
        <v>Quel est le nombre actuel de licences détenues par la filiale?</v>
      </c>
      <c r="C28" s="20" t="s">
        <v>56</v>
      </c>
      <c r="D28" s="20"/>
      <c r="E28" s="12">
        <f t="shared" si="0"/>
        <v>1</v>
      </c>
      <c r="F28" s="164" t="s">
        <v>54</v>
      </c>
      <c r="H28" s="171"/>
      <c r="I28" s="171"/>
      <c r="J28" s="172"/>
      <c r="K28" s="172"/>
    </row>
    <row r="29" spans="2:11">
      <c r="B29" s="6" t="str">
        <f>IF(C2="Oui existant","Quel type de licences (nominatives/partagées) ?",IF(C7="COTS","Est-ce que ce sera des licences nominatives ou partagées ?",""))</f>
        <v>Quel type de licences (nominatives/partagées) ?</v>
      </c>
      <c r="C29" s="20" t="s">
        <v>56</v>
      </c>
      <c r="D29" s="20"/>
      <c r="E29" s="12">
        <f t="shared" si="0"/>
        <v>1</v>
      </c>
      <c r="F29" s="164" t="s">
        <v>54</v>
      </c>
      <c r="H29" s="171"/>
      <c r="I29" s="171"/>
    </row>
    <row r="30" spans="2:11" ht="36.6" customHeight="1">
      <c r="B30" s="6" t="str">
        <f>IF(C2="Oui existant","Des licences supplémentaires sont-elles nécessaires pour l'utilisation de l'application (outil supplémentaire, interfaces, modules complémentaires, …) ? Par module / par utilisateur ?",IF(C7="COTS","Est-ce que vous projettez d'acquérir d'autres licences dans un second temps ? combien et quand ?",""))</f>
        <v>Des licences supplémentaires sont-elles nécessaires pour l'utilisation de l'application (outil supplémentaire, interfaces, modules complémentaires, …) ? Par module / par utilisateur ?</v>
      </c>
      <c r="C30" s="224" t="s">
        <v>54</v>
      </c>
      <c r="D30" s="21" t="s">
        <v>56</v>
      </c>
      <c r="E30" s="12">
        <f t="shared" si="0"/>
        <v>1</v>
      </c>
      <c r="F30" s="164" t="s">
        <v>54</v>
      </c>
      <c r="H30" s="171"/>
      <c r="I30" s="171"/>
    </row>
    <row r="31" spans="2:11">
      <c r="B31" s="6" t="str">
        <f>IF(C2="Oui existant","Quel est le coût du support éditeur ?",IF(C7="COTS","Quel sera le coût du support éditeur ?",""))</f>
        <v>Quel est le coût du support éditeur ?</v>
      </c>
      <c r="C31" s="224" t="s">
        <v>916</v>
      </c>
      <c r="D31" s="20"/>
      <c r="E31" s="12">
        <f t="shared" si="0"/>
        <v>1</v>
      </c>
      <c r="F31" s="164" t="s">
        <v>54</v>
      </c>
      <c r="H31" s="171"/>
      <c r="I31" s="171"/>
    </row>
    <row r="32" spans="2:11" ht="28.5" customHeight="1">
      <c r="B32" s="6" t="str">
        <f>IF(C2="Oui existant","Existe-t-il un contrat de support avec un fournisseur ou un partenaire ? Pouvez-vous le partager ?","")</f>
        <v>Existe-t-il un contrat de support avec un fournisseur ou un partenaire ? Pouvez-vous le partager ?</v>
      </c>
      <c r="C32" s="224" t="s">
        <v>54</v>
      </c>
      <c r="D32" s="20"/>
      <c r="E32" s="12">
        <f t="shared" si="0"/>
        <v>1</v>
      </c>
      <c r="F32" s="164" t="s">
        <v>54</v>
      </c>
      <c r="H32" s="171"/>
      <c r="I32" s="171"/>
    </row>
    <row r="33" spans="2:9">
      <c r="B33" s="6" t="str">
        <f>IF(C2="Oui existant","Le contrat est-il global couvrant plusieurs filiales ou dédié à la filiale ?",IF(C7="COTS","Projettez-vous une acquisition individuelle ou groupe ?",""))</f>
        <v>Le contrat est-il global couvrant plusieurs filiales ou dédié à la filiale ?</v>
      </c>
      <c r="C33" s="224" t="s">
        <v>917</v>
      </c>
      <c r="D33" s="20"/>
      <c r="E33" s="12">
        <f t="shared" si="0"/>
        <v>1</v>
      </c>
      <c r="F33" s="164" t="s">
        <v>54</v>
      </c>
      <c r="H33" s="171"/>
      <c r="I33" s="171"/>
    </row>
    <row r="34" spans="2:9" ht="15.95" customHeight="1">
      <c r="B34" s="6" t="str">
        <f>IF(C2="Oui existant","Le contrat comprend-il un SLA formel ? Cela inclut-il un engagement de performance ?","")</f>
        <v>Le contrat comprend-il un SLA formel ? Cela inclut-il un engagement de performance ?</v>
      </c>
      <c r="C34" s="224" t="s">
        <v>54</v>
      </c>
      <c r="D34" s="20"/>
      <c r="E34" s="12">
        <f>IF(TRIM(B34)="","",IF(TRIM(C34)="",0,1))</f>
        <v>1</v>
      </c>
      <c r="F34" s="164" t="s">
        <v>54</v>
      </c>
      <c r="H34" s="171"/>
      <c r="I34" s="171"/>
    </row>
    <row r="35" spans="2:9" ht="76.5" customHeight="1">
      <c r="B35" s="6" t="str">
        <f>IF(C2="Oui existant","Combien de ETP internes sont dédiés aux support (Niveaux 1, 2 et 3) de cette solution ?
Veuillez décrire dans la colonne détail de quelle entité sont-ils (Holding ou pays), la répartition des principales activités, les compétences et les rôles",IF(AND(C5&lt;&gt;"Non prévu",C5&lt;&gt;""),"Combien de ETP internes projettez-vous de dédier aux support (Niveaux 1, 2 et 3) de cette solution ?",""))</f>
        <v>Combien de ETP internes sont dédiés aux support (Niveaux 1, 2 et 3) de cette solution ?
Veuillez décrire dans la colonne détail de quelle entité sont-ils (Holding ou pays), la répartition des principales activités, les compétences et les rôles</v>
      </c>
      <c r="C35" s="222" t="s">
        <v>918</v>
      </c>
      <c r="D35" s="222" t="s">
        <v>918</v>
      </c>
      <c r="E35" s="12">
        <f t="shared" ref="E35:E36" si="1">IF(TRIM(B35)="","",IF(TRIM(C35)="",0,IF(TRIM(D35)="",0.5,1)))</f>
        <v>1</v>
      </c>
      <c r="F35" s="164" t="s">
        <v>118</v>
      </c>
      <c r="H35" s="171"/>
      <c r="I35" s="171"/>
    </row>
    <row r="36" spans="2:9" ht="51" customHeight="1">
      <c r="B36" s="6" t="str">
        <f>IF(C2="Oui existant","Combien de ETP internes sont dédiés aux changes opérés sur cette solution (incluant Dev, Config, Mise en prod) ?
Veuillez décrire dans la col. détail de quelle entité sont-ils (Holding ou pays), la répartition des activités, les compétences et les rôles",IF(AND(C5&lt;&gt;"Non prévu",C5&lt;&gt;""),"Combien de ETP internes projettez-vous de dédier aux futurs changes sur cette solution (incluant Dev, Config, Mise en prod) ?",""))</f>
        <v>Combien de ETP internes sont dédiés aux changes opérés sur cette solution (incluant Dev, Config, Mise en prod) ?
Veuillez décrire dans la col. détail de quelle entité sont-ils (Holding ou pays), la répartition des activités, les compétences et les rôles</v>
      </c>
      <c r="C36" s="21" t="s">
        <v>879</v>
      </c>
      <c r="D36" s="21" t="s">
        <v>879</v>
      </c>
      <c r="E36" s="12">
        <f t="shared" si="1"/>
        <v>1</v>
      </c>
      <c r="F36" s="164" t="s">
        <v>118</v>
      </c>
      <c r="H36" s="171"/>
      <c r="I36" s="171"/>
    </row>
    <row r="37" spans="2:9" ht="24" customHeight="1">
      <c r="B37" s="6" t="str">
        <f>IF(C2="Oui existant","Est-ce qu'il y a une integration avec un ERP ou un outil de consolidation Groupe ?",IF(AND(C7&lt;&gt;"Non prévu",C7&lt;&gt;""),"Est-ce qu'il y aura une integration avec un ERP ou un outil de consolidation Groupe ?",""))</f>
        <v>Est-ce qu'il y a une integration avec un ERP ou un outil de consolidation Groupe ?</v>
      </c>
      <c r="C37" s="20" t="s">
        <v>54</v>
      </c>
      <c r="D37" s="20"/>
      <c r="E37" s="12">
        <f t="shared" si="0"/>
        <v>1</v>
      </c>
      <c r="F37" s="164" t="s">
        <v>118</v>
      </c>
      <c r="H37" s="171"/>
      <c r="I37" s="171"/>
    </row>
    <row r="38" spans="2:9" ht="26.45" customHeight="1">
      <c r="B38" s="8" t="str">
        <f>IF(C37="Oui",IF(C2="Oui existant","Pouvez-vous décrire l'integration en place ? Pouvez-vous SVP partager l'architecture si elle est disponible",IF(AND(C7&lt;&gt;"Non prévu",C7&lt;&gt;""),"Pouvez-vous décrire l'integration prévue ?","")),"")</f>
        <v/>
      </c>
      <c r="C38" s="22"/>
      <c r="D38" s="20"/>
      <c r="E38" s="12" t="str">
        <f t="shared" si="0"/>
        <v/>
      </c>
      <c r="F38" s="164"/>
      <c r="H38" s="171"/>
      <c r="I38" s="171"/>
    </row>
    <row r="39" spans="2:9" ht="27.6" customHeight="1">
      <c r="B39" s="8" t="str">
        <f>IF(C2="Oui existant","Avez-vous un historique des KPI pour la disponibilité et le support de cette application ? Si oui, pouvez-vous les partager","")</f>
        <v>Avez-vous un historique des KPI pour la disponibilité et le support de cette application ? Si oui, pouvez-vous les partager</v>
      </c>
      <c r="C39" s="20" t="s">
        <v>54</v>
      </c>
      <c r="D39" s="20"/>
      <c r="E39" s="12">
        <f t="shared" si="0"/>
        <v>1</v>
      </c>
      <c r="F39" s="164" t="s">
        <v>63</v>
      </c>
      <c r="H39" s="171"/>
      <c r="I39" s="171"/>
    </row>
    <row r="40" spans="2:9">
      <c r="B40" s="6" t="str">
        <f>IF(C2="Oui existant","Existe-t-il un processus de suivi des contrats groupe et tiers ?","")</f>
        <v>Existe-t-il un processus de suivi des contrats groupe et tiers ?</v>
      </c>
      <c r="C40" s="20" t="s">
        <v>54</v>
      </c>
      <c r="D40" s="20"/>
      <c r="E40" s="12">
        <f t="shared" si="0"/>
        <v>1</v>
      </c>
      <c r="F40" s="164" t="s">
        <v>54</v>
      </c>
      <c r="H40" s="171"/>
      <c r="I40" s="171"/>
    </row>
    <row r="41" spans="2:9">
      <c r="B41" s="6" t="str">
        <f>IF(C2="Oui existant","L'application est-elle installée sur site ou utilisée sur le Cloud (SaaS) ?",IF(AND(C7&lt;&gt;"Non prévu",C7&lt;&gt;""),"La nouvelle solution sera-t-elle installée sur site ou utilisée sur le Cloud (SaaS) ?",""))</f>
        <v>L'application est-elle installée sur site ou utilisée sur le Cloud (SaaS) ?</v>
      </c>
      <c r="C41" s="20" t="s">
        <v>655</v>
      </c>
      <c r="D41" s="20"/>
      <c r="E41" s="12">
        <f t="shared" si="0"/>
        <v>1</v>
      </c>
      <c r="F41" s="164" t="s">
        <v>54</v>
      </c>
      <c r="H41" s="171"/>
      <c r="I41" s="171"/>
    </row>
    <row r="42" spans="2:9">
      <c r="B42" s="6" t="str">
        <f>IF(AND(C41="Cloud",C7="COTS"),"Si c'est sur le Cloud, est-ce entièrement SaaS ou Infra gérée par l'équipe locale ?","")</f>
        <v/>
      </c>
      <c r="C42" s="22"/>
      <c r="D42" s="20"/>
      <c r="E42" s="12" t="str">
        <f t="shared" si="0"/>
        <v/>
      </c>
      <c r="F42" s="164"/>
      <c r="H42" s="171"/>
      <c r="I42" s="171"/>
    </row>
    <row r="43" spans="2:9">
      <c r="B43" s="208" t="str">
        <f>IF(C2="Oui existant","S'agit-il d'une architecture Client/Serveur à 3 niveaux ? Décrivez s'il vous plait","")</f>
        <v>S'agit-il d'une architecture Client/Serveur à 3 niveaux ? Décrivez s'il vous plait</v>
      </c>
      <c r="C43" s="20" t="s">
        <v>54</v>
      </c>
      <c r="D43" s="6" t="s">
        <v>799</v>
      </c>
      <c r="E43" s="12">
        <f t="shared" ref="E43" si="2">IF(TRIM(B43)="","",IF(TRIM(C43)="",0,IF(TRIM(D43)="",0.5,1)))</f>
        <v>1</v>
      </c>
      <c r="F43" s="164" t="s">
        <v>54</v>
      </c>
      <c r="H43" s="171"/>
      <c r="I43" s="171"/>
    </row>
    <row r="44" spans="2:9">
      <c r="B44" s="208" t="str">
        <f>IF(C41="On-site","Comment sont acquis les serveurs (achat/location/sous-traitance) ?","")</f>
        <v>Comment sont acquis les serveurs (achat/location/sous-traitance) ?</v>
      </c>
      <c r="C44" s="22" t="s">
        <v>659</v>
      </c>
      <c r="D44" s="20"/>
      <c r="E44" s="12">
        <f t="shared" si="0"/>
        <v>1</v>
      </c>
      <c r="F44" s="164" t="s">
        <v>54</v>
      </c>
      <c r="H44" s="171"/>
      <c r="I44" s="171"/>
    </row>
    <row r="45" spans="2:9">
      <c r="B45" s="208" t="str">
        <f>IF(C2="Oui existant","Où sont installés les serveurs ?","")</f>
        <v>Où sont installés les serveurs ?</v>
      </c>
      <c r="C45" s="22" t="s">
        <v>919</v>
      </c>
      <c r="D45" s="20"/>
      <c r="E45" s="12">
        <f t="shared" si="0"/>
        <v>1</v>
      </c>
      <c r="F45" s="164" t="s">
        <v>63</v>
      </c>
      <c r="H45" s="171"/>
      <c r="I45" s="171"/>
    </row>
    <row r="46" spans="2:9">
      <c r="B46" s="208" t="str">
        <f>IF(C2="Oui existant","Sur quels systèmes (versions) cette application s'exécute-t-elle ?",IF(AND(C7&lt;&gt;"Non prévu",C7&lt;&gt;""),"Sur quels systèmes (versions) cette application sera-t-elle implémentée ?",""))</f>
        <v>Sur quels systèmes (versions) cette application s'exécute-t-elle ?</v>
      </c>
      <c r="C46" s="217" t="s">
        <v>761</v>
      </c>
      <c r="D46" s="20"/>
      <c r="E46" s="12">
        <f t="shared" si="0"/>
        <v>1</v>
      </c>
      <c r="F46" s="164" t="s">
        <v>920</v>
      </c>
      <c r="H46" s="171"/>
      <c r="I46" s="171"/>
    </row>
    <row r="47" spans="2:9">
      <c r="B47" s="208" t="str">
        <f>IF(C2="Oui existant","Sur quelle base de données cette application tourne-t-elle ?",IF(AND(C7&lt;&gt;"Non prévu",C7&lt;&gt;""),"Sur quelle base de données cette application tournera-t-elle ?",""))</f>
        <v>Sur quelle base de données cette application tourne-t-elle ?</v>
      </c>
      <c r="C47" s="217" t="s">
        <v>921</v>
      </c>
      <c r="D47" s="20"/>
      <c r="E47" s="12">
        <f t="shared" si="0"/>
        <v>1</v>
      </c>
      <c r="F47" s="164" t="s">
        <v>920</v>
      </c>
      <c r="H47" s="171"/>
      <c r="I47" s="171"/>
    </row>
    <row r="48" spans="2:9">
      <c r="B48" s="208" t="str">
        <f>IF(C2="Oui existant","Existe-t-il une architecture haute disponibilité (réplication) ?",IF(AND(C7&lt;&gt;"Non prévu",C7&lt;&gt;""),"Est-ce qu'il est prévu une architecture haute disponibilité (réplication) ?",""))</f>
        <v>Existe-t-il une architecture haute disponibilité (réplication) ?</v>
      </c>
      <c r="C48" s="22" t="s">
        <v>54</v>
      </c>
      <c r="D48" s="20"/>
      <c r="E48" s="12">
        <f t="shared" si="0"/>
        <v>1</v>
      </c>
      <c r="F48" s="164" t="s">
        <v>54</v>
      </c>
      <c r="H48" s="171"/>
      <c r="I48" s="171"/>
    </row>
    <row r="49" spans="2:9">
      <c r="B49" s="6" t="str">
        <f>IF(C48="Oui","Entièrement ou partiellement ? Actif-Actif ou Actif-Passif ?","")</f>
        <v/>
      </c>
      <c r="C49" s="22"/>
      <c r="D49" s="20"/>
      <c r="E49" s="12" t="str">
        <f t="shared" si="0"/>
        <v/>
      </c>
      <c r="F49" s="164"/>
      <c r="H49" s="171"/>
      <c r="I49" s="171"/>
    </row>
    <row r="50" spans="2:9">
      <c r="B50" s="6" t="str">
        <f>IF(C2="Oui existant","Existe-t-il un plan de récupération pour cette application ?","")</f>
        <v>Existe-t-il un plan de récupération pour cette application ?</v>
      </c>
      <c r="C50" s="217" t="s">
        <v>54</v>
      </c>
      <c r="D50" s="20"/>
      <c r="E50" s="12">
        <f t="shared" si="0"/>
        <v>1</v>
      </c>
      <c r="F50" s="164" t="s">
        <v>670</v>
      </c>
      <c r="H50" s="171"/>
      <c r="I50" s="171"/>
    </row>
    <row r="51" spans="2:9" ht="25.5">
      <c r="B51" s="6" t="str">
        <f>IF(C2="Oui existant","Qui gère les données de la base de données ?",IF(AND(C7&lt;&gt;"Non prévu",C7&lt;&gt;""),"Qui va gèrer les données de la base de données ?",""))</f>
        <v>Qui gère les données de la base de données ?</v>
      </c>
      <c r="C51" s="22" t="s">
        <v>922</v>
      </c>
      <c r="D51" s="20"/>
      <c r="E51" s="12">
        <f t="shared" si="0"/>
        <v>1</v>
      </c>
      <c r="F51" s="164" t="s">
        <v>54</v>
      </c>
      <c r="H51" s="171"/>
      <c r="I51" s="171"/>
    </row>
    <row r="52" spans="2:9" ht="76.5">
      <c r="B52" s="6" t="str">
        <f>IF(C2="Oui existant","Quelles sont les interfaces existantes de cette application ? Veuillez décrire et partager tout document d'architecture",IF(AND(C7&lt;&gt;"Non prévu",C7&lt;&gt;""),"Quelles sont les interfaces prévues ? Veuillez décrire et partager tout document d'architecture cible",""))</f>
        <v>Quelles sont les interfaces existantes de cette application ? Veuillez décrire et partager tout document d'architecture</v>
      </c>
      <c r="C52" s="224" t="s">
        <v>923</v>
      </c>
      <c r="D52" s="225" t="s">
        <v>924</v>
      </c>
      <c r="E52" s="12">
        <f t="shared" ref="E52:E53" si="3">IF(TRIM(B52)="","",IF(TRIM(C52)="",0,IF(TRIM(D52)="",0.5,1)))</f>
        <v>1</v>
      </c>
      <c r="F52" s="164" t="s">
        <v>54</v>
      </c>
      <c r="H52" s="171"/>
      <c r="I52" s="171"/>
    </row>
    <row r="53" spans="2:9" ht="25.5">
      <c r="B53" s="6" t="str">
        <f>IF(C2="Oui existant","L'application est-elle complètement en temps réel ou y'a-t-il des batchs la nuit ? Décrivez s'il vous plait",IF(AND(C7&lt;&gt;"Non prévu",C7&lt;&gt;""),"L'application sera-t-elle complètement en temps réel ou y'aura-t-il des batchs la nuit ? Décrivez s'il vous plait",""))</f>
        <v>L'application est-elle complètement en temps réel ou y'a-t-il des batchs la nuit ? Décrivez s'il vous plait</v>
      </c>
      <c r="C53" s="20" t="s">
        <v>902</v>
      </c>
      <c r="D53" s="20" t="s">
        <v>902</v>
      </c>
      <c r="E53" s="12">
        <f t="shared" si="3"/>
        <v>1</v>
      </c>
      <c r="F53" s="164" t="s">
        <v>54</v>
      </c>
      <c r="H53" s="171"/>
      <c r="I53" s="171"/>
    </row>
    <row r="54" spans="2:9" ht="38.25">
      <c r="B54" s="6" t="str">
        <f>IF(C2="Oui existant","Avez-vous connaissance d'un quelconque problème potentiel lié à la continuité de cette application (par exemple départ ou indisponibilité des ressources clés, fin de support, bug critique, ...), si oui lequel dans détails ?","")</f>
        <v>Avez-vous connaissance d'un quelconque problème potentiel lié à la continuité de cette application (par exemple départ ou indisponibilité des ressources clés, fin de support, bug critique, ...), si oui lequel dans détails ?</v>
      </c>
      <c r="C54" s="22" t="s">
        <v>54</v>
      </c>
      <c r="D54" s="20"/>
      <c r="E54" s="12">
        <f t="shared" si="0"/>
        <v>1</v>
      </c>
      <c r="F54" s="164" t="s">
        <v>54</v>
      </c>
      <c r="H54" s="171"/>
      <c r="I54" s="171"/>
    </row>
    <row r="55" spans="2:9" ht="25.5">
      <c r="B55" s="6" t="str">
        <f>IF(C2="Oui existant","Est-ce que des sauvegardes sont réalisées régulièrement ?",IF(AND(C7&lt;&gt;"Non prévu",C7&lt;&gt;""),"Est-ce que des sauvegardes sont prévus dès l'implémentation ?",""))</f>
        <v>Est-ce que des sauvegardes sont réalisées régulièrement ?</v>
      </c>
      <c r="C55" s="22" t="s">
        <v>54</v>
      </c>
      <c r="D55" s="20" t="s">
        <v>903</v>
      </c>
      <c r="E55" s="12">
        <f t="shared" si="0"/>
        <v>1</v>
      </c>
      <c r="F55" s="164" t="s">
        <v>54</v>
      </c>
      <c r="H55" s="171"/>
      <c r="I55" s="171"/>
    </row>
    <row r="56" spans="2:9">
      <c r="B56" s="6" t="str">
        <f>IF(C55="Oui","A quelle fréquence sont-elles exécutées?","")</f>
        <v/>
      </c>
      <c r="C56" s="22"/>
      <c r="D56" s="20"/>
      <c r="E56" s="12" t="str">
        <f t="shared" si="0"/>
        <v/>
      </c>
      <c r="F56" s="164"/>
      <c r="H56" s="171"/>
      <c r="I56" s="171"/>
    </row>
    <row r="57" spans="2:9">
      <c r="B57" s="6" t="str">
        <f>IF(C55="Oui","Avez-vous une politique de rétention en place ? Si oui, pouvez-vous me la partager?","")</f>
        <v/>
      </c>
      <c r="C57" s="22"/>
      <c r="D57" s="20"/>
      <c r="E57" s="12" t="str">
        <f t="shared" si="0"/>
        <v/>
      </c>
      <c r="F57" s="164"/>
      <c r="H57" s="173"/>
      <c r="I57" s="171"/>
    </row>
    <row r="58" spans="2:9">
      <c r="B58" s="6" t="str">
        <f>IF(C55="Oui","Quelle est la solution de sauvegarde/récupération utilisée ?","")</f>
        <v/>
      </c>
      <c r="C58" s="22"/>
      <c r="D58" s="20"/>
      <c r="E58" s="12" t="str">
        <f t="shared" si="0"/>
        <v/>
      </c>
      <c r="F58" s="164"/>
      <c r="H58" s="171"/>
      <c r="I58" s="171"/>
    </row>
    <row r="59" spans="2:9">
      <c r="B59" s="6" t="str">
        <f>IF(C55="Oui","Quelle est la taille totale estimée des sauvegardes ?","")</f>
        <v/>
      </c>
      <c r="C59" s="22"/>
      <c r="D59" s="20"/>
      <c r="E59" s="12" t="str">
        <f t="shared" si="0"/>
        <v/>
      </c>
      <c r="F59" s="164"/>
      <c r="H59" s="171"/>
      <c r="I59" s="171"/>
    </row>
    <row r="60" spans="2:9">
      <c r="H60" s="171"/>
      <c r="I60" s="171"/>
    </row>
    <row r="123" spans="1:1">
      <c r="A123" t="s">
        <v>223</v>
      </c>
    </row>
  </sheetData>
  <sheetProtection formatRows="0"/>
  <mergeCells count="3">
    <mergeCell ref="A1:B1"/>
    <mergeCell ref="H9:H11"/>
    <mergeCell ref="I9:I11"/>
  </mergeCells>
  <conditionalFormatting sqref="B8:B13">
    <cfRule type="containsBlanks" dxfId="301" priority="40">
      <formula>LEN(TRIM(B8))=0</formula>
    </cfRule>
  </conditionalFormatting>
  <conditionalFormatting sqref="B15">
    <cfRule type="containsBlanks" dxfId="300" priority="35">
      <formula>LEN(TRIM(B15))=0</formula>
    </cfRule>
    <cfRule type="containsBlanks" dxfId="299" priority="37">
      <formula>LEN(TRIM(B15))=0</formula>
    </cfRule>
  </conditionalFormatting>
  <conditionalFormatting sqref="B15:B22">
    <cfRule type="containsBlanks" dxfId="298" priority="39">
      <formula>LEN(TRIM(B15))=0</formula>
    </cfRule>
  </conditionalFormatting>
  <conditionalFormatting sqref="B21">
    <cfRule type="containsBlanks" dxfId="297" priority="34">
      <formula>LEN(TRIM(B21))=0</formula>
    </cfRule>
  </conditionalFormatting>
  <conditionalFormatting sqref="B21:B59">
    <cfRule type="containsBlanks" dxfId="296" priority="33">
      <formula>LEN(TRIM(B21))=0</formula>
    </cfRule>
  </conditionalFormatting>
  <conditionalFormatting sqref="C7">
    <cfRule type="containsBlanks" dxfId="295" priority="62">
      <formula>LEN(TRIM(C7))=0</formula>
    </cfRule>
  </conditionalFormatting>
  <conditionalFormatting sqref="C8:C13">
    <cfRule type="expression" dxfId="294" priority="65">
      <formula>AND($B8&lt;&gt;"",$C8="")</formula>
    </cfRule>
  </conditionalFormatting>
  <conditionalFormatting sqref="C14">
    <cfRule type="containsBlanks" dxfId="293" priority="67">
      <formula>LEN(TRIM(C14))=0</formula>
    </cfRule>
  </conditionalFormatting>
  <conditionalFormatting sqref="C15">
    <cfRule type="expression" dxfId="292" priority="41">
      <formula>AND($B15&lt;&gt;"",$C15="")</formula>
    </cfRule>
  </conditionalFormatting>
  <conditionalFormatting sqref="C16:C19 C21:C29">
    <cfRule type="expression" dxfId="291" priority="56">
      <formula>AND($B16&lt;&gt;"",$C16="")</formula>
    </cfRule>
  </conditionalFormatting>
  <conditionalFormatting sqref="C37:C45 C53:C59 C48:C51">
    <cfRule type="expression" dxfId="290" priority="55">
      <formula>AND($B37&lt;&gt;"",$C37="")</formula>
    </cfRule>
  </conditionalFormatting>
  <conditionalFormatting sqref="C43">
    <cfRule type="expression" dxfId="289" priority="47">
      <formula>$B43=""</formula>
    </cfRule>
  </conditionalFormatting>
  <conditionalFormatting sqref="C8:D13 D31:D34 C44:D45 C48:D51 D46:D47">
    <cfRule type="expression" dxfId="288" priority="68">
      <formula>$B8=""</formula>
    </cfRule>
  </conditionalFormatting>
  <conditionalFormatting sqref="C15:D19 C21:D21">
    <cfRule type="expression" dxfId="287" priority="42">
      <formula>$B15=""</formula>
    </cfRule>
  </conditionalFormatting>
  <conditionalFormatting sqref="C22:D22">
    <cfRule type="expression" dxfId="286" priority="60">
      <formula>$B22=""</formula>
    </cfRule>
  </conditionalFormatting>
  <conditionalFormatting sqref="C23:D24 D30 C26:D29 C25">
    <cfRule type="expression" dxfId="285" priority="52">
      <formula>$B23=""</formula>
    </cfRule>
  </conditionalFormatting>
  <conditionalFormatting sqref="C37:D38">
    <cfRule type="expression" dxfId="284" priority="64">
      <formula>$B37=""</formula>
    </cfRule>
  </conditionalFormatting>
  <conditionalFormatting sqref="C39:D41">
    <cfRule type="expression" dxfId="283" priority="54">
      <formula>$B39=""</formula>
    </cfRule>
  </conditionalFormatting>
  <conditionalFormatting sqref="C42:D42">
    <cfRule type="expression" dxfId="282" priority="63">
      <formula>$B42=""</formula>
    </cfRule>
  </conditionalFormatting>
  <conditionalFormatting sqref="C53:D59">
    <cfRule type="expression" dxfId="281" priority="45">
      <formula>$B53=""</formula>
    </cfRule>
  </conditionalFormatting>
  <conditionalFormatting sqref="D30">
    <cfRule type="containsBlanks" dxfId="280" priority="66">
      <formula>LEN(TRIM(D30))=0</formula>
    </cfRule>
  </conditionalFormatting>
  <conditionalFormatting sqref="D43">
    <cfRule type="containsBlanks" dxfId="279" priority="31">
      <formula>LEN(TRIM(D43))=0</formula>
    </cfRule>
  </conditionalFormatting>
  <conditionalFormatting sqref="D53">
    <cfRule type="containsBlanks" dxfId="278" priority="46">
      <formula>LEN(TRIM(D53))=0</formula>
    </cfRule>
  </conditionalFormatting>
  <conditionalFormatting sqref="D53">
    <cfRule type="expression" dxfId="277" priority="32">
      <formula>AND($B53&lt;&gt;"",$C53="")</formula>
    </cfRule>
  </conditionalFormatting>
  <conditionalFormatting sqref="F7:F20">
    <cfRule type="expression" dxfId="276" priority="30">
      <formula>AND($B7&lt;&gt;"",#REF!="")</formula>
    </cfRule>
  </conditionalFormatting>
  <conditionalFormatting sqref="F7:F45">
    <cfRule type="expression" dxfId="275" priority="27">
      <formula>$B7=""</formula>
    </cfRule>
  </conditionalFormatting>
  <conditionalFormatting sqref="F8">
    <cfRule type="expression" dxfId="274" priority="24">
      <formula>AND($B8&lt;&gt;"",#REF!="")</formula>
    </cfRule>
  </conditionalFormatting>
  <conditionalFormatting sqref="F12">
    <cfRule type="expression" dxfId="273" priority="22">
      <formula>AND($B12&lt;&gt;"",#REF!="")</formula>
    </cfRule>
  </conditionalFormatting>
  <conditionalFormatting sqref="F16">
    <cfRule type="expression" dxfId="272" priority="26">
      <formula>AND($B16&lt;&gt;"",#REF!="")</formula>
    </cfRule>
    <cfRule type="expression" dxfId="271" priority="29">
      <formula>AND($B16&lt;&gt;"",#REF!="")</formula>
    </cfRule>
  </conditionalFormatting>
  <conditionalFormatting sqref="F18:F20">
    <cfRule type="expression" dxfId="270" priority="21">
      <formula>AND($B18&lt;&gt;"",#REF!="")</formula>
    </cfRule>
  </conditionalFormatting>
  <conditionalFormatting sqref="F19:F45">
    <cfRule type="expression" dxfId="269" priority="28">
      <formula>AND($B19&lt;&gt;"",#REF!="")</formula>
    </cfRule>
  </conditionalFormatting>
  <conditionalFormatting sqref="F24:F25">
    <cfRule type="expression" dxfId="268" priority="20">
      <formula>AND($B24&lt;&gt;"",#REF!="")</formula>
    </cfRule>
  </conditionalFormatting>
  <conditionalFormatting sqref="F27:F32">
    <cfRule type="expression" dxfId="267" priority="23">
      <formula>AND($B27&lt;&gt;"",#REF!="")</formula>
    </cfRule>
  </conditionalFormatting>
  <conditionalFormatting sqref="F35:F36">
    <cfRule type="expression" dxfId="266" priority="19">
      <formula>AND($B35&lt;&gt;"",#REF!="")</formula>
    </cfRule>
  </conditionalFormatting>
  <conditionalFormatting sqref="F46:F59">
    <cfRule type="expression" dxfId="265" priority="17">
      <formula>$B46=""</formula>
    </cfRule>
    <cfRule type="expression" dxfId="264" priority="18">
      <formula>AND($B46&lt;&gt;"",#REF!="")</formula>
    </cfRule>
  </conditionalFormatting>
  <conditionalFormatting sqref="F50">
    <cfRule type="expression" dxfId="263" priority="16">
      <formula>AND($B50&lt;&gt;"",#REF!="")</formula>
    </cfRule>
  </conditionalFormatting>
  <conditionalFormatting sqref="C52">
    <cfRule type="expression" dxfId="262" priority="15">
      <formula>AND($B52&lt;&gt;"",$C52="")</formula>
    </cfRule>
  </conditionalFormatting>
  <conditionalFormatting sqref="C52:D52">
    <cfRule type="expression" dxfId="261" priority="13">
      <formula>$B52=""</formula>
    </cfRule>
  </conditionalFormatting>
  <conditionalFormatting sqref="D52">
    <cfRule type="containsBlanks" dxfId="260" priority="14">
      <formula>LEN(TRIM(D52))=0</formula>
    </cfRule>
  </conditionalFormatting>
  <conditionalFormatting sqref="C30:C34">
    <cfRule type="expression" dxfId="259" priority="11">
      <formula>AND($B30&lt;&gt;"",$C30="")</formula>
    </cfRule>
  </conditionalFormatting>
  <conditionalFormatting sqref="C31:C34">
    <cfRule type="expression" dxfId="258" priority="12">
      <formula>$B31=""</formula>
    </cfRule>
  </conditionalFormatting>
  <conditionalFormatting sqref="C30:C34">
    <cfRule type="expression" dxfId="257" priority="10">
      <formula>$B30=""</formula>
    </cfRule>
  </conditionalFormatting>
  <conditionalFormatting sqref="C35:C36">
    <cfRule type="expression" dxfId="256" priority="8">
      <formula>$B35=""</formula>
    </cfRule>
  </conditionalFormatting>
  <conditionalFormatting sqref="C35:C36">
    <cfRule type="containsBlanks" dxfId="255" priority="9">
      <formula>LEN(TRIM(C35))=0</formula>
    </cfRule>
  </conditionalFormatting>
  <conditionalFormatting sqref="D35:D36">
    <cfRule type="expression" dxfId="254" priority="6">
      <formula>$B35=""</formula>
    </cfRule>
  </conditionalFormatting>
  <conditionalFormatting sqref="D35:D36">
    <cfRule type="containsBlanks" dxfId="253" priority="7">
      <formula>LEN(TRIM(D35))=0</formula>
    </cfRule>
  </conditionalFormatting>
  <conditionalFormatting sqref="D25">
    <cfRule type="expression" dxfId="252" priority="5">
      <formula>$B25=""</formula>
    </cfRule>
  </conditionalFormatting>
  <conditionalFormatting sqref="C20">
    <cfRule type="expression" dxfId="251" priority="4">
      <formula>AND($B20&lt;&gt;"",$C20="")</formula>
    </cfRule>
  </conditionalFormatting>
  <conditionalFormatting sqref="C20:D20">
    <cfRule type="expression" dxfId="250" priority="3">
      <formula>$B20=""</formula>
    </cfRule>
  </conditionalFormatting>
  <conditionalFormatting sqref="C46:C47">
    <cfRule type="expression" dxfId="249" priority="1">
      <formula>AND($B46&lt;&gt;"",$C46="")</formula>
    </cfRule>
  </conditionalFormatting>
  <conditionalFormatting sqref="C46:C47">
    <cfRule type="expression" dxfId="248" priority="2">
      <formula>$B46=""</formula>
    </cfRule>
  </conditionalFormatting>
  <dataValidations count="11">
    <dataValidation type="list" allowBlank="1" showInputMessage="1" showErrorMessage="1" sqref="C7" xr:uid="{00000000-0002-0000-1600-000000000000}">
      <formula1>"COTS,Développement interne,Non prévu"</formula1>
    </dataValidation>
    <dataValidation type="list" allowBlank="1" showInputMessage="1" showErrorMessage="1" sqref="C22" xr:uid="{00000000-0002-0000-1600-000001000000}">
      <formula1>"Smartphone,Tablette,Les 2"</formula1>
    </dataValidation>
    <dataValidation type="list" allowBlank="1" showInputMessage="1" showErrorMessage="1" sqref="C2" xr:uid="{00000000-0002-0000-1600-000002000000}">
      <formula1>"Oui existant,Non existant"</formula1>
    </dataValidation>
    <dataValidation type="list" allowBlank="1" showInputMessage="1" showErrorMessage="1" sqref="C19" xr:uid="{00000000-0002-0000-1600-000003000000}">
      <formula1>"Très haut,Haut,Moyen,Faible, Inexistant"</formula1>
    </dataValidation>
    <dataValidation type="list" allowBlank="1" showInputMessage="1" showErrorMessage="1" sqref="C14" xr:uid="{00000000-0002-0000-1600-000004000000}">
      <formula1>"Primoridal,Critique,Moyen,Faible"</formula1>
    </dataValidation>
    <dataValidation type="list" allowBlank="1" showInputMessage="1" showErrorMessage="1" sqref="C25 C21 C54:C55 C48 C50 C12 C43 C57 C37:C40 C23" xr:uid="{00000000-0002-0000-1600-000005000000}">
      <formula1>"Oui,Non"</formula1>
    </dataValidation>
    <dataValidation type="list" allowBlank="1" showInputMessage="1" showErrorMessage="1" sqref="C41" xr:uid="{00000000-0002-0000-1600-000006000000}">
      <formula1>"On-site,Cloud"</formula1>
    </dataValidation>
    <dataValidation type="list" allowBlank="1" showInputMessage="1" showErrorMessage="1" sqref="C42" xr:uid="{00000000-0002-0000-1600-000007000000}">
      <formula1>"SaaS,Infra gérée"</formula1>
    </dataValidation>
    <dataValidation type="list" allowBlank="1" showInputMessage="1" showErrorMessage="1" sqref="C44" xr:uid="{00000000-0002-0000-1600-000008000000}">
      <formula1>"Achat,Location,Sous-traitance"</formula1>
    </dataValidation>
    <dataValidation type="list" allowBlank="1" showInputMessage="1" showErrorMessage="1" sqref="F24:F34 F57:F59 F7 F19:F20 F38:F45 F9:F11 F13:F17 F48:F49 F51:F55" xr:uid="{00000000-0002-0000-1600-000009000000}">
      <formula1>"Oui,Non,Pourquoi?"</formula1>
    </dataValidation>
    <dataValidation type="list" allowBlank="1" showInputMessage="1" showErrorMessage="1" sqref="F21:F23 F12 F18" xr:uid="{00000000-0002-0000-1600-00000A000000}">
      <formula1>"Oui,Non,Détails"</formula1>
    </dataValidation>
  </dataValidations>
  <hyperlinks>
    <hyperlink ref="A1" location="Sommaire!A1" display="Retour à la page d'accueil" xr:uid="{00000000-0004-0000-1600-000000000000}"/>
    <hyperlink ref="A1:B1" location="Accueil!A1" display="Retour à la page d'accueil" xr:uid="{00000000-0004-0000-1600-000001000000}"/>
  </hyperlinks>
  <pageMargins left="0.7" right="0.7" top="0.75" bottom="0.75" header="0.3" footer="0.3"/>
  <pageSetup paperSize="9" orientation="portrait" horizontalDpi="4294967293"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E74549"/>
  </sheetPr>
  <dimension ref="A1:F123"/>
  <sheetViews>
    <sheetView showGridLines="0" workbookViewId="0">
      <pane ySplit="6" topLeftCell="A7" activePane="bottomLeft" state="frozen"/>
      <selection pane="bottomLeft" sqref="A1:B1"/>
    </sheetView>
  </sheetViews>
  <sheetFormatPr defaultColWidth="11.42578125" defaultRowHeight="14.25"/>
  <cols>
    <col min="1" max="1" width="2.28515625" customWidth="1"/>
    <col min="2" max="2" width="63.140625" style="10" customWidth="1"/>
    <col min="3" max="3" width="27.5703125" style="15" customWidth="1"/>
    <col min="4" max="4" width="17.28515625" customWidth="1"/>
    <col min="5" max="5" width="12.85546875" hidden="1" customWidth="1"/>
    <col min="6" max="6" width="35" bestFit="1" customWidth="1"/>
  </cols>
  <sheetData>
    <row r="1" spans="1:6" ht="25.5">
      <c r="A1" s="302" t="s">
        <v>26</v>
      </c>
      <c r="B1" s="302"/>
      <c r="C1" s="177" t="s">
        <v>576</v>
      </c>
    </row>
    <row r="2" spans="1:6" s="49" customFormat="1" ht="18">
      <c r="B2" s="72" t="s">
        <v>925</v>
      </c>
      <c r="C2" s="129" t="s">
        <v>686</v>
      </c>
      <c r="F2"/>
    </row>
    <row r="3" spans="1:6">
      <c r="B3" s="13" t="s">
        <v>578</v>
      </c>
    </row>
    <row r="4" spans="1:6">
      <c r="B4" s="13" t="s">
        <v>579</v>
      </c>
    </row>
    <row r="5" spans="1:6" ht="6" customHeight="1"/>
    <row r="6" spans="1:6" ht="15">
      <c r="B6" s="73" t="s">
        <v>580</v>
      </c>
      <c r="C6" s="74" t="s">
        <v>581</v>
      </c>
      <c r="D6" s="74" t="s">
        <v>118</v>
      </c>
      <c r="E6" s="33" t="s">
        <v>31</v>
      </c>
      <c r="F6" s="74" t="s">
        <v>28</v>
      </c>
    </row>
    <row r="7" spans="1:6" ht="24.95" customHeight="1">
      <c r="B7" s="6" t="str">
        <f>IF(C2="Oui existant","COTS ou Développement interne? (Commercial Off-The-Shelf solution)","Vous prévoyez quel type de solution?: COTS ou Développement interne? (Commercial Off-The-Shelf solution)")</f>
        <v>COTS ou Développement interne? (Commercial Off-The-Shelf solution)</v>
      </c>
      <c r="C7" s="20" t="s">
        <v>583</v>
      </c>
      <c r="D7" s="21"/>
      <c r="E7" s="12">
        <f>IF(TRIM(B7)="","",IF(TRIM(C7)="",0,1))</f>
        <v>1</v>
      </c>
      <c r="F7" s="164" t="s">
        <v>54</v>
      </c>
    </row>
    <row r="8" spans="1:6">
      <c r="B8" s="6" t="str">
        <f>IF(C7="COTS","Nom de l'éditeur","")</f>
        <v>Nom de l'éditeur</v>
      </c>
      <c r="C8" s="20" t="s">
        <v>815</v>
      </c>
      <c r="D8" s="20"/>
      <c r="E8" s="12">
        <f t="shared" ref="E8:E42" si="0">IF(TRIM(B8)="","",IF(TRIM(C8)="",0,1))</f>
        <v>1</v>
      </c>
      <c r="F8" s="164" t="s">
        <v>54</v>
      </c>
    </row>
    <row r="9" spans="1:6">
      <c r="B9" s="6" t="str">
        <f>IF(C2="Oui existant","Nom de la solution",IF(AND(C7&lt;&gt;"Non prévu",C7&lt;&gt;""),"Nom de la solution (si déjà identifiée)",""))</f>
        <v>Nom de la solution</v>
      </c>
      <c r="C9" s="158" t="s">
        <v>926</v>
      </c>
      <c r="D9" s="20"/>
      <c r="E9" s="12">
        <f t="shared" si="0"/>
        <v>1</v>
      </c>
      <c r="F9" s="164" t="s">
        <v>54</v>
      </c>
    </row>
    <row r="10" spans="1:6">
      <c r="B10" s="6" t="str">
        <f>IF(C2="Oui existant","Quelle est la version/release de l'application ?",IF(C7="COTS","Quelle est la version/release qui sera implémentée ?",""))</f>
        <v>Quelle est la version/release de l'application ?</v>
      </c>
      <c r="C10" s="22" t="s">
        <v>60</v>
      </c>
      <c r="D10" s="20"/>
      <c r="E10" s="12">
        <f t="shared" ref="E10:E17" si="1">IF(TRIM(B10)="","",IF(TRIM(C10)="",0,1))</f>
        <v>1</v>
      </c>
      <c r="F10" s="164" t="s">
        <v>54</v>
      </c>
    </row>
    <row r="11" spans="1:6">
      <c r="B11" s="6" t="str">
        <f>IF(C2="Oui existant","Quelle est la dernière version de l'application ?",IF(C7="COTS","Quelle est la dernière version de cette nouvelle solution ?",""))</f>
        <v>Quelle est la dernière version de l'application ?</v>
      </c>
      <c r="C11" s="22" t="s">
        <v>60</v>
      </c>
      <c r="D11" s="20"/>
      <c r="E11" s="12">
        <f t="shared" si="1"/>
        <v>1</v>
      </c>
      <c r="F11" s="164" t="s">
        <v>54</v>
      </c>
    </row>
    <row r="12" spans="1:6">
      <c r="B12" s="6" t="str">
        <f>IF(C2="Oui existant","L'application est-elle installée sur site ou utilisée sur le Cloud (SaaS) ?",IF(AND(C7&lt;&gt;"Non prévu",C7&lt;&gt;""),"La nouvelle solution sera-t-elle installée sur site ou utilisée sur le Cloud (SaaS) ?",""))</f>
        <v>L'application est-elle installée sur site ou utilisée sur le Cloud (SaaS) ?</v>
      </c>
      <c r="C12" s="20" t="s">
        <v>707</v>
      </c>
      <c r="D12" s="20"/>
      <c r="E12" s="12">
        <f t="shared" si="1"/>
        <v>1</v>
      </c>
      <c r="F12" s="164" t="s">
        <v>54</v>
      </c>
    </row>
    <row r="13" spans="1:6">
      <c r="B13" s="6" t="str">
        <f>IF(AND(C12="Cloud",C7="COTS"),"Si c'est sur le Cloud, est-ce entièrement SaaS ou Infra gérée par l'équipe locale ?","")</f>
        <v>Si c'est sur le Cloud, est-ce entièrement SaaS ou Infra gérée par l'équipe locale ?</v>
      </c>
      <c r="C13" s="22" t="s">
        <v>710</v>
      </c>
      <c r="D13" s="20"/>
      <c r="E13" s="12">
        <f t="shared" si="1"/>
        <v>1</v>
      </c>
      <c r="F13" s="164" t="s">
        <v>54</v>
      </c>
    </row>
    <row r="14" spans="1:6">
      <c r="B14" s="6" t="str">
        <f>IF(C12="On-site","Comment sont acquis les serveurs (achat/location/sous-traitance) ?","")</f>
        <v/>
      </c>
      <c r="C14" s="22"/>
      <c r="D14" s="20"/>
      <c r="E14" s="12" t="str">
        <f t="shared" si="1"/>
        <v/>
      </c>
      <c r="F14" s="164"/>
    </row>
    <row r="15" spans="1:6">
      <c r="B15" s="6" t="str">
        <f>IF(C2="Oui existant","Etes-vous au courant d’une évolution majeure en cours sur cette application","")</f>
        <v>Etes-vous au courant d’une évolution majeure en cours sur cette application</v>
      </c>
      <c r="C15" s="22" t="s">
        <v>39</v>
      </c>
      <c r="D15" s="20"/>
      <c r="E15" s="12">
        <f t="shared" si="1"/>
        <v>1</v>
      </c>
      <c r="F15" s="164" t="s">
        <v>54</v>
      </c>
    </row>
    <row r="16" spans="1:6">
      <c r="B16" s="6" t="str">
        <f>IF(C2="Oui existant","Qui contrôle les évolutions sur cette Application ?","")</f>
        <v>Qui contrôle les évolutions sur cette Application ?</v>
      </c>
      <c r="C16" s="20" t="s">
        <v>815</v>
      </c>
      <c r="D16" s="20"/>
      <c r="E16" s="12">
        <f t="shared" si="1"/>
        <v>1</v>
      </c>
      <c r="F16" s="164" t="s">
        <v>54</v>
      </c>
    </row>
    <row r="17" spans="2:6" s="9" customFormat="1" ht="26.1" customHeight="1">
      <c r="B17" s="7" t="str">
        <f>IF(C2="Oui existant","Quelle est la criticité de cette application ? combien de temps peut-on supporter son indisponibilité (colonne détail) ?","Quelle est la criticité de ce besoin ?")</f>
        <v>Quelle est la criticité de cette application ? combien de temps peut-on supporter son indisponibilité (colonne détail) ?</v>
      </c>
      <c r="C17" s="20" t="s">
        <v>597</v>
      </c>
      <c r="D17" s="21"/>
      <c r="E17" s="12">
        <f t="shared" si="1"/>
        <v>1</v>
      </c>
      <c r="F17" s="164" t="s">
        <v>54</v>
      </c>
    </row>
    <row r="18" spans="2:6">
      <c r="B18" s="6" t="str">
        <f>IF(C2="Oui existant","Quand l’application a-t-elle été implémentée ?",IF(AND(C7&lt;&gt;"Non prévu",C7&lt;&gt;""),"Quand l’application sera-t-elle implémentée ?",""))</f>
        <v>Quand l’application a-t-elle été implémentée ?</v>
      </c>
      <c r="C18" s="20" t="s">
        <v>887</v>
      </c>
      <c r="D18" s="20"/>
      <c r="E18" s="12">
        <f t="shared" si="0"/>
        <v>1</v>
      </c>
      <c r="F18" s="164" t="s">
        <v>54</v>
      </c>
    </row>
    <row r="19" spans="2:6">
      <c r="B19" s="6" t="str">
        <f>IF(C2="Oui existant","Qui l'a implémenté ?",IF(AND(C7&lt;&gt;"Non prévu",C7&lt;&gt;""),"Qui doit l'implémenter ?",""))</f>
        <v>Qui l'a implémenté ?</v>
      </c>
      <c r="C19" s="20" t="s">
        <v>364</v>
      </c>
      <c r="D19" s="20"/>
      <c r="E19" s="12">
        <f t="shared" si="0"/>
        <v>1</v>
      </c>
      <c r="F19" s="164" t="s">
        <v>54</v>
      </c>
    </row>
    <row r="20" spans="2:6">
      <c r="B20" s="6" t="str">
        <f>IF(C2="Oui existant","Est-ce que cette solution dispose d'une interface Mobile ?",IF(AND(C7&lt;&gt;"Non prévu",C7&lt;&gt;""),"Est-ce que cette solution disposera d'une interface Mobile ?",""))</f>
        <v>Est-ce que cette solution dispose d'une interface Mobile ?</v>
      </c>
      <c r="C20" s="20" t="s">
        <v>39</v>
      </c>
      <c r="D20" s="20"/>
      <c r="E20" s="12">
        <f t="shared" si="0"/>
        <v>1</v>
      </c>
      <c r="F20" s="164" t="s">
        <v>54</v>
      </c>
    </row>
    <row r="21" spans="2:6">
      <c r="B21" s="6" t="str">
        <f>IF(C7&lt;&gt;"Non prévu",IF(C20="Oui","Dispose-t-elle d'une version smartphone ou tablette ou les 2  ?",""),"")</f>
        <v>Dispose-t-elle d'une version smartphone ou tablette ou les 2  ?</v>
      </c>
      <c r="C21" s="22" t="s">
        <v>623</v>
      </c>
      <c r="D21" s="20"/>
      <c r="E21" s="12">
        <f t="shared" si="0"/>
        <v>1</v>
      </c>
      <c r="F21" s="164" t="s">
        <v>54</v>
      </c>
    </row>
    <row r="22" spans="2:6" ht="25.5">
      <c r="B22" s="6" t="str">
        <f>IF(C2="Oui existant","Est-ce que la solution est excusivement utilisée par la filiale ou partagée par toutes les filiales ?",IF(C7="COTS","Projettez-vous une acquisition individuelle ou groupe ?",""))</f>
        <v>Est-ce que la solution est excusivement utilisée par la filiale ou partagée par toutes les filiales ?</v>
      </c>
      <c r="C22" s="20" t="s">
        <v>623</v>
      </c>
      <c r="D22" s="20"/>
      <c r="E22" s="12">
        <f>IF(TRIM(B22)="","",IF(TRIM(C22)="",0,1))</f>
        <v>1</v>
      </c>
      <c r="F22" s="164" t="s">
        <v>54</v>
      </c>
    </row>
    <row r="23" spans="2:6" ht="24.6" customHeight="1">
      <c r="B23" s="6" t="str">
        <f>IF(C2="Oui existant","Est-ce qu'il est prévu de remplacer cette solution par une autre ? Si oui, veuillez mettre le nom de la nouvelle solution et la période prévue dans la colonne détails","")</f>
        <v>Est-ce qu'il est prévu de remplacer cette solution par une autre ? Si oui, veuillez mettre le nom de la nouvelle solution et la période prévue dans la colonne détails</v>
      </c>
      <c r="C23" s="20" t="s">
        <v>54</v>
      </c>
      <c r="D23" s="20"/>
      <c r="E23" s="12">
        <f t="shared" si="0"/>
        <v>1</v>
      </c>
      <c r="F23" s="164" t="s">
        <v>54</v>
      </c>
    </row>
    <row r="24" spans="2:6">
      <c r="B24" s="6" t="str">
        <f>IF(C2="Oui existant","Quels ont été les acquisitions de licences détaillées (nombre, date, coût) ?","")</f>
        <v>Quels ont été les acquisitions de licences détaillées (nombre, date, coût) ?</v>
      </c>
      <c r="C24" s="20" t="s">
        <v>60</v>
      </c>
      <c r="D24" s="20"/>
      <c r="E24" s="12">
        <f t="shared" si="0"/>
        <v>1</v>
      </c>
      <c r="F24" s="164" t="s">
        <v>54</v>
      </c>
    </row>
    <row r="25" spans="2:6">
      <c r="B25" s="6" t="str">
        <f>IF(C2="Oui existant","Quel est le nombre actuel de licences détenues par la filiale?",IF(C7="COTS","Combien de licences projettez-vous d'acquérir ?",""))</f>
        <v>Quel est le nombre actuel de licences détenues par la filiale?</v>
      </c>
      <c r="C25" s="20" t="s">
        <v>60</v>
      </c>
      <c r="D25" s="20"/>
      <c r="E25" s="12">
        <f t="shared" si="0"/>
        <v>1</v>
      </c>
      <c r="F25" s="164" t="s">
        <v>927</v>
      </c>
    </row>
    <row r="26" spans="2:6">
      <c r="B26" s="6" t="str">
        <f>IF(C2="Oui existant","Quel est le coût du support éditeur ?",IF(C7="COTS","Quel sera le coût du support éditeur ?",""))</f>
        <v>Quel est le coût du support éditeur ?</v>
      </c>
      <c r="C26" s="20" t="s">
        <v>60</v>
      </c>
      <c r="D26" s="20"/>
      <c r="E26" s="12">
        <f t="shared" si="0"/>
        <v>1</v>
      </c>
      <c r="F26" s="164" t="s">
        <v>54</v>
      </c>
    </row>
    <row r="27" spans="2:6" ht="28.5" customHeight="1">
      <c r="B27" s="6" t="str">
        <f>IF(C2="Oui existant","Existe-t-il un contrat de support avec un fournisseur ou un partenaire ? Pouvez-vous le partager ?","")</f>
        <v>Existe-t-il un contrat de support avec un fournisseur ou un partenaire ? Pouvez-vous le partager ?</v>
      </c>
      <c r="C27" s="20" t="s">
        <v>39</v>
      </c>
      <c r="D27" s="20"/>
      <c r="E27" s="12">
        <f t="shared" si="0"/>
        <v>1</v>
      </c>
      <c r="F27" s="164" t="s">
        <v>54</v>
      </c>
    </row>
    <row r="28" spans="2:6" ht="30.75" customHeight="1">
      <c r="B28" s="6" t="str">
        <f>IF(C2="Oui existant","Le contrat comprend-il un SLA formel ? Cela inclut-il un engagement de performance ?","")</f>
        <v>Le contrat comprend-il un SLA formel ? Cela inclut-il un engagement de performance ?</v>
      </c>
      <c r="C28" s="20" t="s">
        <v>641</v>
      </c>
      <c r="D28" s="20"/>
      <c r="E28" s="12">
        <f>IF(TRIM(B28)="","",IF(TRIM(C28)="",0,1))</f>
        <v>1</v>
      </c>
      <c r="F28" s="164" t="s">
        <v>54</v>
      </c>
    </row>
    <row r="29" spans="2:6" ht="39.950000000000003" customHeight="1">
      <c r="B29" s="6" t="str">
        <f>IF(C2="Oui existant","Combien de ETP internes sont dédiés aux support (Niveaux 1, 2 et 3) de cette solution ?
Veuillez décrire dans la colonne détail de quelle entité sont-ils (Holding ou pays), la répartition des principales activités, les compétences et les rôles",IF(AND(C7&lt;&gt;"Non prévu",C7&lt;&gt;""),"Combien de ETP internes projettez-vous de dédier aux support (Niveaux 1, 2 et 3) de cette solution ?",""))</f>
        <v>Combien de ETP internes sont dédiés aux support (Niveaux 1, 2 et 3) de cette solution ?
Veuillez décrire dans la colonne détail de quelle entité sont-ils (Holding ou pays), la répartition des principales activités, les compétences et les rôles</v>
      </c>
      <c r="C29" s="20" t="s">
        <v>928</v>
      </c>
      <c r="D29" s="21" t="s">
        <v>929</v>
      </c>
      <c r="E29" s="12">
        <f t="shared" ref="E29" si="2">IF(TRIM(B29)="","",IF(TRIM(C29)="",0,IF(TRIM(D29)="",0.5,1)))</f>
        <v>1</v>
      </c>
      <c r="F29" s="164" t="s">
        <v>930</v>
      </c>
    </row>
    <row r="30" spans="2:6" ht="27.6" customHeight="1">
      <c r="B30" s="6" t="str">
        <f>IF(C2="Oui existant","Avez-vous un historique des KPI pour la disponibilité et le support de cette application ? Si oui, pouvez-vous les partager","")</f>
        <v>Avez-vous un historique des KPI pour la disponibilité et le support de cette application ? Si oui, pouvez-vous les partager</v>
      </c>
      <c r="C30" s="20" t="s">
        <v>54</v>
      </c>
      <c r="D30" s="20"/>
      <c r="E30" s="12">
        <f t="shared" si="0"/>
        <v>1</v>
      </c>
      <c r="F30" s="164" t="s">
        <v>54</v>
      </c>
    </row>
    <row r="31" spans="2:6">
      <c r="B31" s="6" t="str">
        <f>IF(C2="Oui existant","Où sont installés les serveurs ?","")</f>
        <v>Où sont installés les serveurs ?</v>
      </c>
      <c r="C31" s="22" t="s">
        <v>60</v>
      </c>
      <c r="D31" s="20"/>
      <c r="E31" s="12">
        <f t="shared" si="0"/>
        <v>1</v>
      </c>
      <c r="F31" s="164" t="s">
        <v>54</v>
      </c>
    </row>
    <row r="32" spans="2:6">
      <c r="B32" s="6" t="str">
        <f>IF(C2="Oui existant","Sur quels systèmes (versions) cette application s'exécute-t-elle ?",IF(AND(C7&lt;&gt;"Non prévu",C7&lt;&gt;""),"Sur quels systèmes (versions) cette application sera-t-elle implémentée ?",""))</f>
        <v>Sur quels systèmes (versions) cette application s'exécute-t-elle ?</v>
      </c>
      <c r="C32" s="22" t="s">
        <v>60</v>
      </c>
      <c r="D32" s="20"/>
      <c r="E32" s="12">
        <f t="shared" si="0"/>
        <v>1</v>
      </c>
      <c r="F32" s="164" t="s">
        <v>54</v>
      </c>
    </row>
    <row r="33" spans="2:6">
      <c r="B33" s="6" t="str">
        <f>IF(C2="Oui existant","Existe-t-il une architecture haute disponibilité (réplication) ?",IF(AND(C7&lt;&gt;"Non prévu",C7&lt;&gt;""),"Est-ce qu'il est prévu une architecture haute disponibilité (réplication) ?",""))</f>
        <v>Existe-t-il une architecture haute disponibilité (réplication) ?</v>
      </c>
      <c r="C33" s="22" t="s">
        <v>39</v>
      </c>
      <c r="D33" s="20"/>
      <c r="E33" s="12">
        <f t="shared" si="0"/>
        <v>1</v>
      </c>
      <c r="F33" s="164" t="s">
        <v>54</v>
      </c>
    </row>
    <row r="34" spans="2:6">
      <c r="B34" s="6" t="str">
        <f>IF(C33="Oui","Entièrement ou partiellement ? Actif-Actif ou Actif-Passif ?","")</f>
        <v>Entièrement ou partiellement ? Actif-Actif ou Actif-Passif ?</v>
      </c>
      <c r="C34" s="22" t="s">
        <v>931</v>
      </c>
      <c r="D34" s="20"/>
      <c r="E34" s="12">
        <f t="shared" si="0"/>
        <v>1</v>
      </c>
      <c r="F34" s="20" t="s">
        <v>54</v>
      </c>
    </row>
    <row r="35" spans="2:6">
      <c r="B35" s="6" t="str">
        <f>IF(C2="Oui existant","Existe-t-il un plan de récupération pour cette application ?","")</f>
        <v>Existe-t-il un plan de récupération pour cette application ?</v>
      </c>
      <c r="C35" s="22" t="s">
        <v>39</v>
      </c>
      <c r="D35" s="20"/>
      <c r="E35" s="12">
        <f t="shared" si="0"/>
        <v>1</v>
      </c>
      <c r="F35" s="164" t="s">
        <v>54</v>
      </c>
    </row>
    <row r="36" spans="2:6" ht="25.5">
      <c r="B36" s="6" t="str">
        <f>IF(C2="Oui existant","Quelles sont les interfaces existantes de cette application ? Veuillez décrire et partager tout document d'architecture",IF(AND(C7&lt;&gt;"Non prévu",C7&lt;&gt;""),"Quelles sont les interfaces prévues ? Veuillez décrire et partager tout document d'architecture cible",""))</f>
        <v>Quelles sont les interfaces existantes de cette application ? Veuillez décrire et partager tout document d'architecture</v>
      </c>
      <c r="C36" s="20" t="s">
        <v>60</v>
      </c>
      <c r="D36" s="21" t="s">
        <v>60</v>
      </c>
      <c r="E36" s="12">
        <f t="shared" ref="E36" si="3">IF(TRIM(B36)="","",IF(TRIM(C36)="",0,IF(TRIM(D36)="",0.5,1)))</f>
        <v>1</v>
      </c>
      <c r="F36" s="164" t="s">
        <v>54</v>
      </c>
    </row>
    <row r="37" spans="2:6" ht="38.25">
      <c r="B37" s="6" t="str">
        <f>IF(C2="Oui existant","Avez-vous connaissance d'un quelconque problème potentiel lié à la continuité de cette application (par exemple départ ou indisponibilité des ressources clés, fin de support, bug critique, ...), si oui lequel dans détails ?","")</f>
        <v>Avez-vous connaissance d'un quelconque problème potentiel lié à la continuité de cette application (par exemple départ ou indisponibilité des ressources clés, fin de support, bug critique, ...), si oui lequel dans détails ?</v>
      </c>
      <c r="C37" s="22" t="s">
        <v>39</v>
      </c>
      <c r="D37" s="20"/>
      <c r="E37" s="12">
        <f t="shared" si="0"/>
        <v>1</v>
      </c>
      <c r="F37" s="164" t="s">
        <v>54</v>
      </c>
    </row>
    <row r="38" spans="2:6">
      <c r="B38" s="6" t="str">
        <f>IF(C2="Oui existant","Est-ce que des sauvegardes sont réalisées régulièrement ?",IF(AND(C7&lt;&gt;"Non prévu",C7&lt;&gt;""),"Est-ce que des sauvegardes sont prévus dès l'implémentation ?",""))</f>
        <v>Est-ce que des sauvegardes sont réalisées régulièrement ?</v>
      </c>
      <c r="C38" s="22" t="s">
        <v>54</v>
      </c>
      <c r="D38" s="20"/>
      <c r="E38" s="12">
        <f t="shared" si="0"/>
        <v>1</v>
      </c>
      <c r="F38" s="164" t="s">
        <v>54</v>
      </c>
    </row>
    <row r="39" spans="2:6">
      <c r="B39" s="6" t="str">
        <f>IF(C38="Oui","A quelle fréquence sont-elles exécutées?","")</f>
        <v/>
      </c>
      <c r="C39" s="22"/>
      <c r="D39" s="20"/>
      <c r="E39" s="12" t="str">
        <f t="shared" si="0"/>
        <v/>
      </c>
      <c r="F39" s="20"/>
    </row>
    <row r="40" spans="2:6">
      <c r="B40" s="6" t="str">
        <f>IF(C38="Oui","Avez-vous une politique de rétention en place ? Si oui, pouvez-vous me la partager?","")</f>
        <v/>
      </c>
      <c r="C40" s="22"/>
      <c r="D40" s="20"/>
      <c r="E40" s="12" t="str">
        <f t="shared" si="0"/>
        <v/>
      </c>
      <c r="F40" s="20"/>
    </row>
    <row r="41" spans="2:6">
      <c r="B41" s="6" t="str">
        <f>IF(C38="Oui","Quelle est la solution de sauvegarde/récupération utilisée ?","")</f>
        <v/>
      </c>
      <c r="C41" s="22"/>
      <c r="D41" s="20"/>
      <c r="E41" s="12" t="str">
        <f t="shared" si="0"/>
        <v/>
      </c>
      <c r="F41" s="20"/>
    </row>
    <row r="42" spans="2:6">
      <c r="B42" s="6" t="str">
        <f>IF(C38="Oui","Quelle est la taille totale estimée des sauvegardes ?","")</f>
        <v/>
      </c>
      <c r="C42" s="22"/>
      <c r="D42" s="20"/>
      <c r="E42" s="12" t="str">
        <f t="shared" si="0"/>
        <v/>
      </c>
      <c r="F42" s="20"/>
    </row>
    <row r="123" spans="1:1">
      <c r="A123" t="s">
        <v>223</v>
      </c>
    </row>
  </sheetData>
  <sheetProtection formatRows="0"/>
  <mergeCells count="1">
    <mergeCell ref="A1:B1"/>
  </mergeCells>
  <conditionalFormatting sqref="B8:B16">
    <cfRule type="containsBlanks" dxfId="247" priority="62">
      <formula>LEN(TRIM(B8))=0</formula>
    </cfRule>
  </conditionalFormatting>
  <conditionalFormatting sqref="B18:B42">
    <cfRule type="containsBlanks" dxfId="246" priority="41">
      <formula>LEN(TRIM(B18))=0</formula>
    </cfRule>
  </conditionalFormatting>
  <conditionalFormatting sqref="C1">
    <cfRule type="containsBlanks" dxfId="245" priority="15">
      <formula>LEN(TRIM(C1))=0</formula>
    </cfRule>
  </conditionalFormatting>
  <conditionalFormatting sqref="C7">
    <cfRule type="containsBlanks" dxfId="244" priority="63">
      <formula>LEN(TRIM(C7))=0</formula>
    </cfRule>
  </conditionalFormatting>
  <conditionalFormatting sqref="C17">
    <cfRule type="containsBlanks" dxfId="243" priority="68">
      <formula>LEN(TRIM(C17))=0</formula>
    </cfRule>
  </conditionalFormatting>
  <conditionalFormatting sqref="C18:C42 C8:C16">
    <cfRule type="expression" dxfId="242" priority="66">
      <formula>AND($B8&lt;&gt;"",$C8="")</formula>
    </cfRule>
  </conditionalFormatting>
  <conditionalFormatting sqref="C8:D16 C18:D36">
    <cfRule type="expression" dxfId="241" priority="69">
      <formula>$B8=""</formula>
    </cfRule>
  </conditionalFormatting>
  <conditionalFormatting sqref="C37:D42">
    <cfRule type="expression" dxfId="240" priority="54">
      <formula>$B37=""</formula>
    </cfRule>
  </conditionalFormatting>
  <conditionalFormatting sqref="D29">
    <cfRule type="containsBlanks" dxfId="239" priority="51">
      <formula>LEN(TRIM(D29))=0</formula>
    </cfRule>
  </conditionalFormatting>
  <conditionalFormatting sqref="D36">
    <cfRule type="containsBlanks" dxfId="238" priority="47">
      <formula>LEN(TRIM(D36))=0</formula>
    </cfRule>
  </conditionalFormatting>
  <conditionalFormatting sqref="F7:F15">
    <cfRule type="expression" dxfId="237" priority="6">
      <formula>$B7=""</formula>
    </cfRule>
    <cfRule type="expression" dxfId="236" priority="14">
      <formula>AND($B7&lt;&gt;"",#REF!="")</formula>
    </cfRule>
  </conditionalFormatting>
  <conditionalFormatting sqref="F15">
    <cfRule type="expression" dxfId="235" priority="7">
      <formula>AND($B15&lt;&gt;"",#REF!="")</formula>
    </cfRule>
  </conditionalFormatting>
  <conditionalFormatting sqref="F16">
    <cfRule type="expression" dxfId="234" priority="12">
      <formula>$B20=""</formula>
    </cfRule>
    <cfRule type="expression" dxfId="233" priority="13">
      <formula>AND($B20&lt;&gt;"",#REF!="")</formula>
    </cfRule>
  </conditionalFormatting>
  <conditionalFormatting sqref="F17">
    <cfRule type="expression" dxfId="232" priority="8">
      <formula>$B17=""</formula>
    </cfRule>
    <cfRule type="expression" dxfId="231" priority="9">
      <formula>AND($B17&lt;&gt;"",#REF!="")</formula>
    </cfRule>
  </conditionalFormatting>
  <conditionalFormatting sqref="F18:F20">
    <cfRule type="expression" dxfId="230" priority="10">
      <formula>$B22=""</formula>
    </cfRule>
    <cfRule type="expression" dxfId="229" priority="11">
      <formula>AND($B22&lt;&gt;"",#REF!="")</formula>
    </cfRule>
  </conditionalFormatting>
  <conditionalFormatting sqref="F25">
    <cfRule type="expression" dxfId="228" priority="4">
      <formula>$B25=""</formula>
    </cfRule>
    <cfRule type="expression" dxfId="227" priority="5">
      <formula>AND($B25&lt;&gt;"",#REF!="")</formula>
    </cfRule>
  </conditionalFormatting>
  <conditionalFormatting sqref="F29">
    <cfRule type="expression" dxfId="226" priority="1">
      <formula>$B29=""</formula>
    </cfRule>
    <cfRule type="expression" dxfId="225" priority="2">
      <formula>AND($B29&lt;&gt;"",#REF!="")</formula>
    </cfRule>
  </conditionalFormatting>
  <conditionalFormatting sqref="F34">
    <cfRule type="expression" dxfId="224" priority="3">
      <formula>$B34=""</formula>
    </cfRule>
  </conditionalFormatting>
  <conditionalFormatting sqref="F39:F42">
    <cfRule type="expression" dxfId="223" priority="16">
      <formula>$B39=""</formula>
    </cfRule>
  </conditionalFormatting>
  <dataValidations count="12">
    <dataValidation type="list" allowBlank="1" showInputMessage="1" showErrorMessage="1" sqref="C28" xr:uid="{00000000-0002-0000-1700-000000000000}">
      <formula1>"Oui et oui,Oui et non,Non pour les 2"</formula1>
    </dataValidation>
    <dataValidation type="list" allowBlank="1" showInputMessage="1" showErrorMessage="1" sqref="C14" xr:uid="{00000000-0002-0000-1700-000001000000}">
      <formula1>"Achat,Location,Sous-traitance"</formula1>
    </dataValidation>
    <dataValidation type="list" allowBlank="1" showInputMessage="1" showErrorMessage="1" sqref="C13:C14" xr:uid="{00000000-0002-0000-1700-000002000000}">
      <formula1>"SaaS,Infra gérée"</formula1>
    </dataValidation>
    <dataValidation type="list" allowBlank="1" showInputMessage="1" showErrorMessage="1" sqref="C12" xr:uid="{00000000-0002-0000-1700-000003000000}">
      <formula1>"On-site,Cloud"</formula1>
    </dataValidation>
    <dataValidation type="list" allowBlank="1" showInputMessage="1" showErrorMessage="1" sqref="C27 C37:C38 C33 C35 C15 C40 C23 C20 C30" xr:uid="{00000000-0002-0000-1700-000004000000}">
      <formula1>"Oui,Non"</formula1>
    </dataValidation>
    <dataValidation type="list" allowBlank="1" showInputMessage="1" showErrorMessage="1" sqref="C17" xr:uid="{00000000-0002-0000-1700-000005000000}">
      <formula1>"Primoridal,Critique,Moyen,Faible"</formula1>
    </dataValidation>
    <dataValidation type="list" allowBlank="1" showInputMessage="1" showErrorMessage="1" sqref="C2" xr:uid="{00000000-0002-0000-1700-000006000000}">
      <formula1>"Oui existant,Non existant"</formula1>
    </dataValidation>
    <dataValidation type="list" allowBlank="1" showInputMessage="1" showErrorMessage="1" sqref="C21:C22" xr:uid="{00000000-0002-0000-1700-000007000000}">
      <formula1>"Smartphone,Tablette,Les 2"</formula1>
    </dataValidation>
    <dataValidation type="list" allowBlank="1" showInputMessage="1" showErrorMessage="1" sqref="C7" xr:uid="{00000000-0002-0000-1700-000008000000}">
      <formula1>"COTS,Développement interne,Non prévu"</formula1>
    </dataValidation>
    <dataValidation type="list" allowBlank="1" showInputMessage="1" showErrorMessage="1" sqref="C28 C22" xr:uid="{00000000-0002-0000-1700-000009000000}">
      <formula1>"Global,Dédié"</formula1>
    </dataValidation>
    <dataValidation type="list" allowBlank="1" showInputMessage="1" showErrorMessage="1" sqref="F32:F35" xr:uid="{00000000-0002-0000-1700-00000A000000}">
      <formula1>"Oui,Non,Détails"</formula1>
    </dataValidation>
    <dataValidation type="list" allowBlank="1" showInputMessage="1" showErrorMessage="1" sqref="F36:F42 F7:F24 F26:F28 F30:F31" xr:uid="{00000000-0002-0000-1700-00000B000000}">
      <formula1>"Oui,Non,Pourquoi?"</formula1>
    </dataValidation>
  </dataValidations>
  <hyperlinks>
    <hyperlink ref="A1" location="Sommaire!A1" display="Retour à la page d'accueil" xr:uid="{00000000-0004-0000-1700-000000000000}"/>
    <hyperlink ref="A1:B1" location="Accueil!A1" display="Retour à la page d'accueil" xr:uid="{00000000-0004-0000-1700-000001000000}"/>
  </hyperlinks>
  <pageMargins left="0.7" right="0.7" top="0.75" bottom="0.75" header="0.3" footer="0.3"/>
  <pageSetup paperSize="9" orientation="portrait" horizontalDpi="4294967293"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9E7FF"/>
  </sheetPr>
  <dimension ref="A1:M177"/>
  <sheetViews>
    <sheetView showGridLines="0" workbookViewId="0">
      <pane ySplit="6" topLeftCell="A52" activePane="bottomLeft" state="frozen"/>
      <selection pane="bottomLeft" sqref="A1:B1"/>
    </sheetView>
  </sheetViews>
  <sheetFormatPr defaultColWidth="11.42578125" defaultRowHeight="14.25"/>
  <cols>
    <col min="1" max="1" width="2.28515625" customWidth="1"/>
    <col min="2" max="2" width="87.85546875" style="10" customWidth="1"/>
    <col min="3" max="3" width="22.28515625" style="15" customWidth="1"/>
    <col min="4" max="4" width="43.42578125" bestFit="1" customWidth="1"/>
    <col min="5" max="5" width="16.85546875" hidden="1" customWidth="1"/>
    <col min="6" max="6" width="8.85546875" hidden="1" customWidth="1"/>
    <col min="7" max="7" width="21.42578125" customWidth="1"/>
    <col min="8" max="8" width="3.85546875" customWidth="1"/>
    <col min="9" max="10" width="5.42578125" customWidth="1"/>
    <col min="11" max="11" width="3.42578125" customWidth="1"/>
    <col min="12" max="12" width="20.85546875" bestFit="1" customWidth="1"/>
  </cols>
  <sheetData>
    <row r="1" spans="1:13">
      <c r="A1" s="302" t="s">
        <v>26</v>
      </c>
      <c r="B1" s="302"/>
    </row>
    <row r="2" spans="1:13" s="49" customFormat="1" ht="18">
      <c r="B2" s="151" t="s">
        <v>932</v>
      </c>
      <c r="G2"/>
    </row>
    <row r="3" spans="1:13">
      <c r="B3" s="13" t="s">
        <v>578</v>
      </c>
    </row>
    <row r="4" spans="1:13">
      <c r="B4" s="13" t="s">
        <v>579</v>
      </c>
    </row>
    <row r="5" spans="1:13" ht="6" customHeight="1"/>
    <row r="6" spans="1:13" ht="15.75">
      <c r="B6" s="152" t="s">
        <v>580</v>
      </c>
      <c r="C6" s="153" t="s">
        <v>581</v>
      </c>
      <c r="D6" s="153" t="s">
        <v>118</v>
      </c>
      <c r="E6" s="75" t="s">
        <v>31</v>
      </c>
      <c r="F6" s="75" t="s">
        <v>933</v>
      </c>
      <c r="G6" s="153" t="s">
        <v>28</v>
      </c>
      <c r="H6" s="172"/>
      <c r="I6" s="172"/>
      <c r="J6" s="172"/>
      <c r="K6" s="172"/>
      <c r="L6" s="172"/>
      <c r="M6" s="172"/>
    </row>
    <row r="7" spans="1:13" ht="15.75">
      <c r="B7" s="86" t="s">
        <v>934</v>
      </c>
      <c r="C7" s="22" t="s">
        <v>54</v>
      </c>
      <c r="D7" s="21"/>
      <c r="E7" s="12">
        <f>IF(TRIM(B7)="","",IF(TRIM(C7)="",0,1))</f>
        <v>1</v>
      </c>
      <c r="F7" s="12">
        <f>IF(C7="Oui",1,0)</f>
        <v>0</v>
      </c>
      <c r="G7" s="164"/>
      <c r="H7" s="183"/>
      <c r="I7" s="171"/>
      <c r="J7" s="171"/>
      <c r="K7" s="172"/>
      <c r="L7" s="172"/>
      <c r="M7" s="172"/>
    </row>
    <row r="8" spans="1:13">
      <c r="B8" s="6" t="str">
        <f>IF(C7="Oui","COTS ou Développement interne? (Commercial Off-The-Shelf solution)",IF(C7="Non mais il est prévu","Vous prévoyez quel type de solution?: COTS ou Développement interne? (Commercial Off-The-Shelf solution)",""))</f>
        <v/>
      </c>
      <c r="C8" s="20" t="s">
        <v>867</v>
      </c>
      <c r="D8" s="21" t="s">
        <v>60</v>
      </c>
      <c r="E8" s="12" t="str">
        <f>IF(TRIM(B8)="","",IF(TRIM(C8)="",0,1))</f>
        <v/>
      </c>
      <c r="G8" s="164"/>
      <c r="H8" s="172"/>
      <c r="I8" s="171"/>
      <c r="J8" s="171"/>
      <c r="K8" s="172"/>
      <c r="L8" s="172"/>
      <c r="M8" s="172"/>
    </row>
    <row r="9" spans="1:13">
      <c r="B9" s="6" t="str">
        <f>IF(C8="COTS","Nom de l'éditeur et de la solution","")</f>
        <v/>
      </c>
      <c r="C9" s="20"/>
      <c r="D9" s="20"/>
      <c r="E9" s="12" t="str">
        <f t="shared" ref="E9:E28" si="0">IF(TRIM(B9)="","",IF(TRIM(C9)="",0,1))</f>
        <v/>
      </c>
      <c r="G9" s="164"/>
      <c r="H9" s="172"/>
      <c r="I9" s="171"/>
      <c r="J9" s="171"/>
      <c r="K9" s="172"/>
      <c r="L9" s="172"/>
      <c r="M9" s="172"/>
    </row>
    <row r="10" spans="1:13">
      <c r="B10" s="6" t="str">
        <f>IF(C8="COTS",IF(C7="Oui","L'application est-elle installée sur site ou utilisée sur le Cloud (SaaS) ?","La nouvelle solution sera-t-elle installée sur site ou utilisée sur le Cloud (SaaS) ?"),"")</f>
        <v/>
      </c>
      <c r="C10" s="20"/>
      <c r="D10" s="20"/>
      <c r="E10" s="12" t="str">
        <f>IF(TRIM(B10)="","",IF(TRIM(C10)="",0,1))</f>
        <v/>
      </c>
      <c r="G10" s="164"/>
      <c r="H10" s="172"/>
      <c r="I10" s="171"/>
      <c r="J10" s="171"/>
      <c r="K10" s="172"/>
      <c r="L10" s="172"/>
      <c r="M10" s="172"/>
    </row>
    <row r="11" spans="1:13">
      <c r="B11" s="6" t="str">
        <f>IF(C8="COTS",IF(C7="Oui","Quelle est la version/release de l'application ?","Quelle est la version/release qui sera implémentée ?"),"")</f>
        <v/>
      </c>
      <c r="C11" s="22"/>
      <c r="D11" s="20"/>
      <c r="E11" s="12" t="str">
        <f>IF(TRIM(B11)="","",IF(TRIM(C11)="",0,1))</f>
        <v/>
      </c>
      <c r="G11" s="164"/>
      <c r="H11" s="172"/>
      <c r="I11" s="171"/>
      <c r="J11" s="171"/>
      <c r="K11" s="172"/>
      <c r="L11" s="172"/>
      <c r="M11" s="172"/>
    </row>
    <row r="12" spans="1:13" s="9" customFormat="1">
      <c r="B12" s="7" t="str">
        <f>IF(C7="Oui","Quelle est la criticité de cette application ? combien de temps peut-on supporter son indisponibilité (colonne détail) ?","Quelle est la criticité de ce besoin ?")</f>
        <v>Quelle est la criticité de ce besoin ?</v>
      </c>
      <c r="C12" s="20" t="s">
        <v>619</v>
      </c>
      <c r="D12" s="21" t="s">
        <v>60</v>
      </c>
      <c r="E12" s="12">
        <f>IF(TRIM(B12)="","",IF(TRIM(C12)="",0,1))</f>
        <v>1</v>
      </c>
      <c r="G12" s="164" t="s">
        <v>54</v>
      </c>
      <c r="H12" s="172"/>
      <c r="I12" s="171"/>
      <c r="J12" s="171"/>
      <c r="K12" s="172"/>
      <c r="L12" s="172"/>
      <c r="M12" s="172"/>
    </row>
    <row r="13" spans="1:13">
      <c r="B13" s="6" t="str">
        <f>IF(C7="Oui","Quand l’application a-t-elle été implémentée ?",IF(C7="Non mais il est prévu","Quand l’application sera-t-elle implémentée ?",""))</f>
        <v/>
      </c>
      <c r="C13" s="20"/>
      <c r="D13" s="20"/>
      <c r="E13" s="12" t="str">
        <f t="shared" si="0"/>
        <v/>
      </c>
      <c r="G13" s="164"/>
      <c r="H13" s="172"/>
      <c r="I13" s="173"/>
      <c r="J13" s="173"/>
      <c r="K13" s="172"/>
      <c r="L13" s="172"/>
      <c r="M13" s="172"/>
    </row>
    <row r="14" spans="1:13">
      <c r="B14" s="6" t="str">
        <f>IF(AND(C7="Oui",C8="COTS"),"Quel est le niveau de personnalisation de l’Application ?",IF(AND(C7="Non mais il est prévu",C8="COTS"),"Quel est le niveau de personnalisation prévu de l’Application ?",""))</f>
        <v/>
      </c>
      <c r="C14" s="20"/>
      <c r="D14" s="20"/>
      <c r="E14" s="12" t="str">
        <f t="shared" si="0"/>
        <v/>
      </c>
      <c r="G14" s="164"/>
      <c r="H14" s="172"/>
      <c r="I14" s="171"/>
      <c r="J14" s="171"/>
      <c r="K14" s="172"/>
      <c r="L14" s="172"/>
      <c r="M14" s="172"/>
    </row>
    <row r="15" spans="1:13">
      <c r="B15" s="6" t="str">
        <f>IF(C7="Oui","Est-ce que cette solution dispose d'une interface Mobile ?",IF(C7="Non mais il est prévu","Est-ce que cette solution disposera d'une interface Mobile ?",""))</f>
        <v/>
      </c>
      <c r="C15" s="20"/>
      <c r="D15" s="20"/>
      <c r="E15" s="12" t="str">
        <f t="shared" si="0"/>
        <v/>
      </c>
      <c r="G15" s="164"/>
      <c r="H15" s="172"/>
      <c r="I15" s="171"/>
      <c r="J15" s="171"/>
      <c r="K15" s="172"/>
      <c r="L15" s="172"/>
      <c r="M15" s="172"/>
    </row>
    <row r="16" spans="1:13" ht="24.6" customHeight="1">
      <c r="B16" s="6" t="str">
        <f>IF(C7="Oui","Est-ce qu'il est prévu de remplacer cette solution par une autre ? Si oui, veuillez mettre le nom de la nouvelle solution et la période prévue dans la colonne détails","")</f>
        <v/>
      </c>
      <c r="C16" s="20"/>
      <c r="D16" s="20"/>
      <c r="E16" s="12" t="str">
        <f t="shared" si="0"/>
        <v/>
      </c>
      <c r="G16" s="164"/>
      <c r="H16" s="172"/>
      <c r="I16" s="171"/>
      <c r="J16" s="171"/>
      <c r="K16" s="172"/>
      <c r="L16" s="172"/>
      <c r="M16" s="172"/>
    </row>
    <row r="17" spans="2:13">
      <c r="B17" s="6" t="str">
        <f>IF(C7="Oui","Y a-t-il des utilisateurs du Groupe sur les activités de la filiale ?","")</f>
        <v/>
      </c>
      <c r="C17" s="20"/>
      <c r="D17" s="20"/>
      <c r="E17" s="12" t="str">
        <f t="shared" si="0"/>
        <v/>
      </c>
      <c r="G17" s="164"/>
      <c r="H17" s="172"/>
      <c r="I17" s="172"/>
      <c r="J17" s="172"/>
      <c r="K17" s="172"/>
      <c r="L17" s="172"/>
      <c r="M17" s="172"/>
    </row>
    <row r="18" spans="2:13">
      <c r="B18" s="6" t="str">
        <f>IF(C8="COTS",IF(C7="Oui","Quel est le nombre actuel de licences détenues par la filiale?",IF(C7="Non","","Combien de licences projettez-vous d'acquérir ?")),"")</f>
        <v/>
      </c>
      <c r="C18" s="20"/>
      <c r="D18" s="20"/>
      <c r="E18" s="12" t="str">
        <f t="shared" si="0"/>
        <v/>
      </c>
      <c r="G18" s="164"/>
      <c r="H18" s="172"/>
      <c r="I18" s="172"/>
      <c r="J18" s="172"/>
      <c r="K18" s="172"/>
      <c r="L18" s="172"/>
      <c r="M18" s="172"/>
    </row>
    <row r="19" spans="2:13">
      <c r="B19" s="6" t="str">
        <f>IF(C8="COTS","Quel type de licences (nominatives/partagées) ?","")</f>
        <v/>
      </c>
      <c r="C19" s="20"/>
      <c r="D19" s="20"/>
      <c r="E19" s="12" t="str">
        <f t="shared" si="0"/>
        <v/>
      </c>
      <c r="G19" s="164"/>
      <c r="H19" s="172"/>
      <c r="I19" s="172"/>
      <c r="J19" s="172"/>
      <c r="K19" s="172"/>
      <c r="L19" s="172"/>
      <c r="M19" s="172"/>
    </row>
    <row r="20" spans="2:13">
      <c r="B20" s="6" t="str">
        <f>IF(C8="COTS",IF(C7="Oui","Quel est le coût du support éditeur/partenaire ?",IF(C7&lt;&gt;"Non","Quel sera le coût du support éditeur/partenaire ?","")),"")</f>
        <v/>
      </c>
      <c r="C20" s="20"/>
      <c r="D20" s="20"/>
      <c r="E20" s="12" t="str">
        <f t="shared" si="0"/>
        <v/>
      </c>
      <c r="G20" s="164"/>
      <c r="H20" s="172"/>
      <c r="I20" s="172"/>
      <c r="J20" s="172"/>
      <c r="K20" s="172"/>
      <c r="L20" s="172"/>
      <c r="M20" s="172"/>
    </row>
    <row r="21" spans="2:13">
      <c r="B21" s="6" t="str">
        <f>IF(C8="COTS",IF(C7="Oui","Le contrat est-il global couvrant plusieurs filiales ou dédié à la filiale ?",IF(C7&lt;&gt;"Non","Projettez-vous une acquisition individuelle ou groupe ?","")),"")</f>
        <v/>
      </c>
      <c r="C21" s="20"/>
      <c r="D21" s="20"/>
      <c r="E21" s="12" t="str">
        <f t="shared" si="0"/>
        <v/>
      </c>
      <c r="G21" s="164"/>
      <c r="H21" s="172"/>
      <c r="I21" s="172"/>
      <c r="J21" s="172"/>
      <c r="K21" s="172"/>
      <c r="L21" s="172"/>
      <c r="M21" s="172"/>
    </row>
    <row r="22" spans="2:13" ht="15.95" customHeight="1">
      <c r="B22" s="6" t="str">
        <f>IF(AND(C8="COTS",C7="Oui"),"Le contrat comprend-il un SLA formel ? Cela inclut-il un engagement de performance ?","")</f>
        <v/>
      </c>
      <c r="C22" s="20"/>
      <c r="D22" s="20"/>
      <c r="E22" s="12" t="str">
        <f>IF(TRIM(B22)="","",IF(TRIM(C22)="",0,1))</f>
        <v/>
      </c>
      <c r="G22" s="164"/>
      <c r="H22" s="172"/>
      <c r="I22" s="173"/>
      <c r="J22" s="173"/>
      <c r="K22" s="171"/>
      <c r="L22" s="172"/>
      <c r="M22" s="172"/>
    </row>
    <row r="23" spans="2:13">
      <c r="B23" s="6" t="str">
        <f>IF(C7="Oui","Combien de ETP internes sont dédiés aux support (Niveaux 1, 2 et 3) de cette solution ?
Veuillez décrire dans la colonne détail la répartition des principales activités, les compétences et les rôles",IF(C7 = "Non mais il est prévu","Combien de ETP internes projettez-vous de dédier aux support (Niveaux 1, 2 et 3) de cette solution ?",""))</f>
        <v/>
      </c>
      <c r="C23" s="20"/>
      <c r="D23" s="21"/>
      <c r="E23" s="12" t="str">
        <f t="shared" ref="E23:E24" si="1">IF(TRIM(B23)="","",IF(TRIM(C23)="",0,IF(TRIM(D23)="",0.5,1)))</f>
        <v/>
      </c>
      <c r="G23" s="164"/>
      <c r="H23" s="172"/>
      <c r="I23" s="172"/>
      <c r="J23" s="172"/>
      <c r="K23" s="172"/>
      <c r="L23" s="172"/>
      <c r="M23" s="172"/>
    </row>
    <row r="24" spans="2:13">
      <c r="B24" s="6" t="str">
        <f>IF(C7="Oui","Combien de ETP internes sont dédiés aux changements opérés sur cette solution (incluant Dev, Config, Mise en prod) ?
Veuillez décrire dans la colonne détail la répartition des principales activités, les compétences et les rôles",IF(C7="Non mais il est prévu","Combien de ETP internes projettez-vous de dédier aux futurs changements sur cette solution (incluant Dev, Config, Mise en prod) ?",""))</f>
        <v/>
      </c>
      <c r="C24" s="20"/>
      <c r="D24" s="21"/>
      <c r="E24" s="12" t="str">
        <f t="shared" si="1"/>
        <v/>
      </c>
      <c r="G24" s="164"/>
      <c r="H24" s="172"/>
      <c r="I24" s="172"/>
      <c r="J24" s="172"/>
      <c r="K24" s="172"/>
      <c r="L24" s="172"/>
      <c r="M24" s="172"/>
    </row>
    <row r="25" spans="2:13">
      <c r="B25" s="6" t="str">
        <f>IF(C7="Oui","Est-ce qu'il y a un quelconque support sur l'application à partir de l'IT Groupe ?",IF(C7="Non mais il est prévu","Est-ce qu'il y aura un quelconque support sur l'application à partir de l'IT Groupe ?",""))</f>
        <v/>
      </c>
      <c r="C25" s="20"/>
      <c r="D25" s="20"/>
      <c r="E25" s="12" t="str">
        <f t="shared" si="0"/>
        <v/>
      </c>
      <c r="G25" s="164"/>
      <c r="H25" s="172"/>
      <c r="I25" s="171"/>
      <c r="J25" s="171"/>
      <c r="K25" s="172"/>
      <c r="L25" s="172"/>
      <c r="M25" s="172"/>
    </row>
    <row r="26" spans="2:13" ht="26.45" customHeight="1">
      <c r="B26" s="8" t="str">
        <f>IF(C25="Oui",IF(C7="Oui","Existe-t-il un SLA interne entre Group IT et la filiale ? S'il existe, pouvez-vous le partager",IF(C7&lt;&gt;"Non","Si oui, prévoyez-vous un SLA interne entre Group IT et la filiale ?","")),"")</f>
        <v/>
      </c>
      <c r="C26" s="22"/>
      <c r="D26" s="20"/>
      <c r="E26" s="12" t="str">
        <f t="shared" si="0"/>
        <v/>
      </c>
      <c r="G26" s="20"/>
      <c r="H26" s="172"/>
      <c r="I26" s="171"/>
      <c r="J26" s="171"/>
      <c r="K26" s="172"/>
      <c r="L26" s="172"/>
      <c r="M26" s="172"/>
    </row>
    <row r="27" spans="2:13">
      <c r="B27" s="6" t="str">
        <f>IF(C7="Oui","Sur quels systèmes (versions) cette application s'exécute-t-elle ?",IF(C7="Non mais il est prévu","Sur quels systèmes (versions) cette application sera-t-elle implémentée ?",""))</f>
        <v/>
      </c>
      <c r="C27" s="22"/>
      <c r="D27" s="20"/>
      <c r="E27" s="12" t="str">
        <f t="shared" si="0"/>
        <v/>
      </c>
      <c r="G27" s="164"/>
      <c r="H27" s="172"/>
      <c r="I27" s="172"/>
      <c r="J27" s="172"/>
      <c r="K27" s="172"/>
      <c r="L27" s="172"/>
      <c r="M27" s="172"/>
    </row>
    <row r="28" spans="2:13">
      <c r="B28" s="6" t="str">
        <f>IF(C7="Oui","Sur quelle base de données cette application tourne-t-elle ?",IF(C7="Non mais il est prévu","Sur quelle base de données cette application tournera-t-elle ?",""))</f>
        <v/>
      </c>
      <c r="C28" s="22"/>
      <c r="D28" s="20"/>
      <c r="E28" s="12" t="str">
        <f t="shared" si="0"/>
        <v/>
      </c>
      <c r="G28" s="164"/>
      <c r="H28" s="172"/>
      <c r="I28" s="172"/>
      <c r="J28" s="172"/>
      <c r="K28" s="172"/>
      <c r="L28" s="172"/>
      <c r="M28" s="172"/>
    </row>
    <row r="29" spans="2:13" ht="15" thickBot="1">
      <c r="B29" s="78" t="str">
        <f>IF(C7="Oui","Quelles sont les interfaces existantes de cette application ? Veuillez décrire et partager tout document d'architecture",IF(C7="Non mais il est prévu","Quelles sont les interfaces prévues ? Veuillez décrire et partager tout document d'architecture cible",""))</f>
        <v/>
      </c>
      <c r="C29" s="79"/>
      <c r="D29" s="80" t="s">
        <v>60</v>
      </c>
      <c r="E29" s="12" t="str">
        <f t="shared" ref="E29" si="2">IF(TRIM(B29)="","",IF(TRIM(C29)="",0,IF(TRIM(D29)="",0.5,1)))</f>
        <v/>
      </c>
      <c r="F29" s="94"/>
      <c r="G29" s="164"/>
      <c r="H29" s="172"/>
      <c r="I29" s="172"/>
      <c r="J29" s="172"/>
      <c r="K29" s="172"/>
      <c r="L29" s="172"/>
      <c r="M29" s="172"/>
    </row>
    <row r="30" spans="2:13" ht="15.75">
      <c r="B30" s="86" t="s">
        <v>935</v>
      </c>
      <c r="C30" s="76" t="s">
        <v>54</v>
      </c>
      <c r="D30" s="77"/>
      <c r="E30" s="12">
        <f>IF(TRIM(B30)="","",IF(TRIM(C30)="",0,1))</f>
        <v>1</v>
      </c>
      <c r="F30" s="12">
        <f>IF(C30="Oui",1,0)</f>
        <v>0</v>
      </c>
      <c r="G30" s="164"/>
      <c r="H30" s="183"/>
      <c r="I30" s="171"/>
      <c r="J30" s="171"/>
      <c r="K30" s="172"/>
      <c r="L30" s="172"/>
      <c r="M30" s="172"/>
    </row>
    <row r="31" spans="2:13">
      <c r="B31" s="6" t="str">
        <f>IF(C30="Oui","COTS ou Développement interne? (Commercial Off-The-Shelf solution)",IF(C30="Non mais il est prévu","Vous prévoyez quel type de solution?: COTS ou Développement interne? (Commercial Off-The-Shelf solution)",""))</f>
        <v/>
      </c>
      <c r="C31" s="20" t="s">
        <v>867</v>
      </c>
      <c r="D31" s="21"/>
      <c r="E31" s="12" t="str">
        <f>IF(TRIM(B31)="","",IF(TRIM(C31)="",0,1))</f>
        <v/>
      </c>
      <c r="G31" s="164" t="s">
        <v>54</v>
      </c>
      <c r="H31" s="172"/>
      <c r="I31" s="171"/>
      <c r="J31" s="171"/>
      <c r="K31" s="172"/>
      <c r="L31" s="172"/>
      <c r="M31" s="172"/>
    </row>
    <row r="32" spans="2:13">
      <c r="B32" s="6" t="str">
        <f>IF(C31="COTS","Nom de l'éditeur et de la solution","")</f>
        <v/>
      </c>
      <c r="C32" s="20"/>
      <c r="D32" s="20"/>
      <c r="E32" s="12" t="str">
        <f t="shared" ref="E32" si="3">IF(TRIM(B32)="","",IF(TRIM(C32)="",0,1))</f>
        <v/>
      </c>
      <c r="G32" s="164"/>
      <c r="H32" s="172"/>
      <c r="I32" s="171"/>
      <c r="J32" s="171"/>
      <c r="K32" s="172"/>
      <c r="L32" s="172"/>
      <c r="M32" s="172"/>
    </row>
    <row r="33" spans="2:13">
      <c r="B33" s="6" t="str">
        <f>IF(C31="COTS",IF(C30="Oui","L'application est-elle installée sur site ou utilisée sur le Cloud (SaaS) ?","La nouvelle solution sera-t-elle installée sur site ou utilisée sur le Cloud (SaaS) ?"),"")</f>
        <v/>
      </c>
      <c r="C33" s="20"/>
      <c r="D33" s="20"/>
      <c r="E33" s="12" t="str">
        <f>IF(TRIM(B33)="","",IF(TRIM(C33)="",0,1))</f>
        <v/>
      </c>
      <c r="G33" s="164"/>
      <c r="H33" s="172"/>
      <c r="I33" s="171"/>
      <c r="J33" s="171"/>
      <c r="K33" s="172"/>
      <c r="L33" s="172"/>
      <c r="M33" s="172"/>
    </row>
    <row r="34" spans="2:13">
      <c r="B34" s="6" t="str">
        <f>IF(C31="COTS",IF(C30="Oui","Quelle est la version/release de l'application ?","Quelle est la version/release qui sera implémentée ?"),"")</f>
        <v/>
      </c>
      <c r="C34" s="22"/>
      <c r="D34" s="20"/>
      <c r="E34" s="12" t="str">
        <f>IF(TRIM(B34)="","",IF(TRIM(C34)="",0,1))</f>
        <v/>
      </c>
      <c r="G34" s="164"/>
      <c r="H34" s="172"/>
      <c r="I34" s="171"/>
      <c r="J34" s="171"/>
      <c r="K34" s="172"/>
      <c r="L34" s="172"/>
      <c r="M34" s="172"/>
    </row>
    <row r="35" spans="2:13">
      <c r="B35" s="7" t="str">
        <f>IF(C30="Oui","Quelle est la criticité de cette application ? combien de temps peut-on supporter son indisponibilité (colonne détail) ?","Quelle est la criticité de ce besoin ?")</f>
        <v>Quelle est la criticité de ce besoin ?</v>
      </c>
      <c r="C35" s="20" t="s">
        <v>619</v>
      </c>
      <c r="D35" s="21"/>
      <c r="E35" s="12">
        <f>IF(TRIM(B35)="","",IF(TRIM(C35)="",0,1))</f>
        <v>1</v>
      </c>
      <c r="F35" s="9"/>
      <c r="G35" s="164" t="s">
        <v>54</v>
      </c>
      <c r="H35" s="172"/>
      <c r="I35" s="171"/>
      <c r="J35" s="171"/>
      <c r="K35" s="172"/>
      <c r="L35" s="172"/>
      <c r="M35" s="172"/>
    </row>
    <row r="36" spans="2:13">
      <c r="B36" s="6" t="str">
        <f>IF(C30="Oui","Quand l’application a-t-elle été implémentée ?",IF(C30="Non mais il est prévu","Quand l’application sera-t-elle implémentée ?",""))</f>
        <v/>
      </c>
      <c r="C36" s="20"/>
      <c r="D36" s="20"/>
      <c r="E36" s="12" t="str">
        <f t="shared" ref="E36:E44" si="4">IF(TRIM(B36)="","",IF(TRIM(C36)="",0,1))</f>
        <v/>
      </c>
      <c r="G36" s="164"/>
      <c r="H36" s="172"/>
      <c r="I36" s="173"/>
      <c r="J36" s="173"/>
      <c r="K36" s="172"/>
      <c r="L36" s="172"/>
      <c r="M36" s="172"/>
    </row>
    <row r="37" spans="2:13">
      <c r="B37" s="6" t="str">
        <f>IF(AND(C30="Oui",C31="COTS"),"Quel est le niveau de personnalisation de l’Application ?",IF(AND(C30="Non mais il est prévu",C31="COTS"),"Quel est le niveau de personnalisation prévu de l’Application ?",""))</f>
        <v/>
      </c>
      <c r="C37" s="20"/>
      <c r="D37" s="20"/>
      <c r="E37" s="12" t="str">
        <f t="shared" si="4"/>
        <v/>
      </c>
      <c r="G37" s="164"/>
      <c r="H37" s="172"/>
      <c r="I37" s="171"/>
      <c r="J37" s="171"/>
      <c r="K37" s="172"/>
      <c r="L37" s="172"/>
      <c r="M37" s="172"/>
    </row>
    <row r="38" spans="2:13">
      <c r="B38" s="6" t="str">
        <f>IF(C30="Oui","Est-ce que cette solution dispose d'une interface Mobile ?",IF(C30="Non mais il est prévu","Est-ce que cette solution disposera d'une interface Mobile ?",""))</f>
        <v/>
      </c>
      <c r="C38" s="20"/>
      <c r="D38" s="20"/>
      <c r="E38" s="12" t="str">
        <f t="shared" si="4"/>
        <v/>
      </c>
      <c r="G38" s="164"/>
      <c r="H38" s="172"/>
      <c r="I38" s="171"/>
      <c r="J38" s="171"/>
      <c r="K38" s="172"/>
      <c r="L38" s="172"/>
      <c r="M38" s="172"/>
    </row>
    <row r="39" spans="2:13">
      <c r="B39" s="6" t="str">
        <f>IF(C30="Oui","Est-ce qu'il est prévu de remplacer cette solution par une autre ? Si oui, veuillez mettre le nom de la nouvelle solution et la période prévue dans la colonne détails","")</f>
        <v/>
      </c>
      <c r="C39" s="20"/>
      <c r="D39" s="20"/>
      <c r="E39" s="12" t="str">
        <f t="shared" si="4"/>
        <v/>
      </c>
      <c r="G39" s="164"/>
      <c r="H39" s="172"/>
      <c r="I39" s="171"/>
      <c r="J39" s="171"/>
      <c r="K39" s="172"/>
      <c r="L39" s="172"/>
      <c r="M39" s="172"/>
    </row>
    <row r="40" spans="2:13">
      <c r="B40" s="6" t="str">
        <f>IF(C30="Oui","Y a-t-il des utilisateurs du Groupe sur les activités de la filiale ?","")</f>
        <v/>
      </c>
      <c r="C40" s="20"/>
      <c r="D40" s="20"/>
      <c r="E40" s="12" t="str">
        <f t="shared" si="4"/>
        <v/>
      </c>
      <c r="G40" s="164"/>
      <c r="H40" s="172"/>
      <c r="I40" s="172"/>
      <c r="J40" s="172"/>
      <c r="K40" s="172"/>
      <c r="L40" s="172"/>
      <c r="M40" s="172"/>
    </row>
    <row r="41" spans="2:13">
      <c r="B41" s="6" t="str">
        <f>IF(C31="COTS",IF(C30="Oui","Quel est le nombre actuel de licences détenues par la filiale?",IF(C30="Non","","Combien de licences projettez-vous d'acquérir ?")),"")</f>
        <v/>
      </c>
      <c r="C41" s="20"/>
      <c r="D41" s="20"/>
      <c r="E41" s="12" t="str">
        <f t="shared" si="4"/>
        <v/>
      </c>
      <c r="G41" s="164"/>
      <c r="H41" s="172"/>
      <c r="I41" s="172"/>
      <c r="J41" s="172"/>
      <c r="K41" s="172"/>
      <c r="L41" s="172"/>
      <c r="M41" s="172"/>
    </row>
    <row r="42" spans="2:13">
      <c r="B42" s="6" t="str">
        <f>IF(C31="COTS","Quel type de licences (nominatives/partagées) ?","")</f>
        <v/>
      </c>
      <c r="C42" s="20"/>
      <c r="D42" s="20"/>
      <c r="E42" s="12" t="str">
        <f t="shared" si="4"/>
        <v/>
      </c>
      <c r="G42" s="164"/>
      <c r="H42" s="172"/>
      <c r="I42" s="172"/>
      <c r="J42" s="172"/>
      <c r="K42" s="172"/>
      <c r="L42" s="172"/>
      <c r="M42" s="172"/>
    </row>
    <row r="43" spans="2:13">
      <c r="B43" s="6" t="str">
        <f>IF(C31="COTS",IF(C30="Oui","Quel est le coût du support éditeur/partenaire ?",IF(C30&lt;&gt;"Non","Quel sera le coût du support éditeur/partenaire ?","")),"")</f>
        <v/>
      </c>
      <c r="C43" s="20"/>
      <c r="D43" s="20"/>
      <c r="E43" s="12" t="str">
        <f t="shared" si="4"/>
        <v/>
      </c>
      <c r="G43" s="164"/>
      <c r="H43" s="172"/>
      <c r="I43" s="172"/>
      <c r="J43" s="172"/>
      <c r="K43" s="172"/>
      <c r="L43" s="172"/>
      <c r="M43" s="172"/>
    </row>
    <row r="44" spans="2:13">
      <c r="B44" s="6" t="str">
        <f>IF(C31="COTS",IF(C30="Oui","Le contrat est-il global couvrant plusieurs filiales ou dédié à la filiale ?",IF(C30&lt;&gt;"Non","Projettez-vous une acquisition individuelle ou groupe ?","")),"")</f>
        <v/>
      </c>
      <c r="C44" s="20"/>
      <c r="D44" s="20"/>
      <c r="E44" s="12" t="str">
        <f t="shared" si="4"/>
        <v/>
      </c>
      <c r="G44" s="164"/>
      <c r="H44" s="172"/>
      <c r="I44" s="172"/>
      <c r="J44" s="172"/>
      <c r="K44" s="172"/>
      <c r="L44" s="172"/>
      <c r="M44" s="172"/>
    </row>
    <row r="45" spans="2:13">
      <c r="B45" s="6" t="str">
        <f>IF(AND(C31="COTS",C30="Oui"),"Le contrat comprend-il un SLA formel ? Cela inclut-il un engagement de performance ?","")</f>
        <v/>
      </c>
      <c r="C45" s="20"/>
      <c r="D45" s="20"/>
      <c r="E45" s="12" t="str">
        <f>IF(TRIM(B45)="","",IF(TRIM(C45)="",0,1))</f>
        <v/>
      </c>
      <c r="G45" s="164"/>
      <c r="H45" s="172"/>
      <c r="I45" s="173"/>
      <c r="J45" s="173"/>
      <c r="K45" s="171"/>
      <c r="L45" s="172"/>
      <c r="M45" s="172"/>
    </row>
    <row r="46" spans="2:13">
      <c r="B46" s="6" t="str">
        <f>IF(C30="Oui","Combien de ETP internes sont dédiés aux support (Niveaux 1, 2 et 3) de cette solution ?
Veuillez décrire dans la colonne détail la répartition des principales activités, les compétences et les rôles",IF(C30 = "Non mais il est prévu","Combien de ETP internes projettez-vous de dédier aux support (Niveaux 1, 2 et 3) de cette solution ?",""))</f>
        <v/>
      </c>
      <c r="C46" s="20"/>
      <c r="D46" s="21"/>
      <c r="E46" s="12" t="str">
        <f t="shared" ref="E46:E47" si="5">IF(TRIM(B46)="","",IF(TRIM(C46)="",0,IF(TRIM(D46)="",0.5,1)))</f>
        <v/>
      </c>
      <c r="G46" s="164"/>
      <c r="H46" s="172"/>
      <c r="I46" s="172"/>
      <c r="J46" s="172"/>
      <c r="K46" s="172"/>
      <c r="L46" s="172"/>
      <c r="M46" s="172"/>
    </row>
    <row r="47" spans="2:13">
      <c r="B47" s="6" t="str">
        <f>IF(C30="Oui","Combien de ETP internes sont dédiés aux changements opérés sur cette solution (incluant Dev, Config, Mise en prod) ?
Veuillez décrire dans la colonne détail la répartition des principales activités, les compétences et les rôles",IF(C30="Non mais il est prévu","Combien de ETP internes projettez-vous de dédier aux futurs changements sur cette solution (incluant Dev, Config, Mise en prod) ?",""))</f>
        <v/>
      </c>
      <c r="C47" s="20"/>
      <c r="D47" s="21"/>
      <c r="E47" s="12" t="str">
        <f t="shared" si="5"/>
        <v/>
      </c>
      <c r="G47" s="164"/>
      <c r="H47" s="172"/>
      <c r="I47" s="172"/>
      <c r="J47" s="172"/>
      <c r="K47" s="172"/>
      <c r="L47" s="172"/>
      <c r="M47" s="172"/>
    </row>
    <row r="48" spans="2:13">
      <c r="B48" s="6" t="str">
        <f>IF(C30="Oui","Est-ce qu'il y a un quelconque support sur l'application à partir de l'IT Groupe ?",IF(C30="Non mais il est prévu","Est-ce qu'il y aura un quelconque support sur l'application à partir de l'IT Groupe ?",""))</f>
        <v/>
      </c>
      <c r="C48" s="20"/>
      <c r="D48" s="20"/>
      <c r="E48" s="12" t="str">
        <f t="shared" ref="E48:E51" si="6">IF(TRIM(B48)="","",IF(TRIM(C48)="",0,1))</f>
        <v/>
      </c>
      <c r="G48" s="164"/>
      <c r="H48" s="172"/>
      <c r="I48" s="171"/>
      <c r="J48" s="171"/>
      <c r="K48" s="172"/>
      <c r="L48" s="172"/>
      <c r="M48" s="172"/>
    </row>
    <row r="49" spans="2:13">
      <c r="B49" s="8" t="str">
        <f>IF(C48="Oui",IF(C30="Oui","Existe-t-il un SLA interne entre Group IT et la filiale ? S'il existe, pouvez-vous le partager",IF(C30&lt;&gt;"Non","Si oui, prévoyez-vous un SLA interne entre Group IT et la filiale ?","")),"")</f>
        <v/>
      </c>
      <c r="C49" s="22"/>
      <c r="D49" s="20"/>
      <c r="E49" s="12" t="str">
        <f t="shared" si="6"/>
        <v/>
      </c>
      <c r="G49" s="20"/>
      <c r="H49" s="172"/>
      <c r="I49" s="171"/>
      <c r="J49" s="171"/>
      <c r="K49" s="172"/>
      <c r="L49" s="172"/>
      <c r="M49" s="172"/>
    </row>
    <row r="50" spans="2:13">
      <c r="B50" s="6" t="str">
        <f>IF(C30="Oui","Sur quels systèmes (versions) cette application s'exécute-t-elle ?",IF(C30="Non mais il est prévu","Sur quels systèmes (versions) cette application sera-t-elle implémentée ?",""))</f>
        <v/>
      </c>
      <c r="C50" s="22"/>
      <c r="D50" s="20"/>
      <c r="E50" s="12" t="str">
        <f t="shared" si="6"/>
        <v/>
      </c>
      <c r="G50" s="164"/>
      <c r="H50" s="172"/>
      <c r="I50" s="172"/>
      <c r="J50" s="172"/>
      <c r="K50" s="172"/>
      <c r="L50" s="172"/>
      <c r="M50" s="172"/>
    </row>
    <row r="51" spans="2:13">
      <c r="B51" s="6" t="str">
        <f>IF(C30="Oui","Sur quelle base de données cette application tourne-t-elle ?",IF(C30="Non mais il est prévu","Sur quelle base de données cette application tournera-t-elle ?",""))</f>
        <v/>
      </c>
      <c r="C51" s="22"/>
      <c r="D51" s="20"/>
      <c r="E51" s="12" t="str">
        <f t="shared" si="6"/>
        <v/>
      </c>
      <c r="G51" s="164"/>
      <c r="H51" s="172"/>
      <c r="I51" s="172"/>
      <c r="J51" s="172"/>
      <c r="K51" s="172"/>
      <c r="L51" s="172"/>
      <c r="M51" s="172"/>
    </row>
    <row r="52" spans="2:13" ht="15" thickBot="1">
      <c r="B52" s="78" t="str">
        <f>IF(C30="Oui","Quelles sont les interfaces existantes de cette application ? Veuillez décrire et partager tout document d'architecture",IF(C30="Non mais il est prévu","Quelles sont les interfaces prévues ? Veuillez décrire et partager tout document d'architecture cible",""))</f>
        <v/>
      </c>
      <c r="C52" s="82"/>
      <c r="D52" s="83" t="s">
        <v>60</v>
      </c>
      <c r="E52" s="12" t="str">
        <f t="shared" ref="E52" si="7">IF(TRIM(B52)="","",IF(TRIM(C52)="",0,IF(TRIM(D52)="",0.5,1)))</f>
        <v/>
      </c>
      <c r="F52" s="94"/>
      <c r="G52" s="164"/>
      <c r="H52" s="172"/>
      <c r="I52" s="172"/>
      <c r="J52" s="172"/>
      <c r="K52" s="172"/>
      <c r="L52" s="172"/>
      <c r="M52" s="172"/>
    </row>
    <row r="53" spans="2:13" ht="15.75">
      <c r="B53" s="87" t="s">
        <v>936</v>
      </c>
      <c r="C53" s="84" t="s">
        <v>937</v>
      </c>
      <c r="D53" s="85"/>
      <c r="E53" s="12">
        <f>IF(TRIM(B53)="","",IF(TRIM(C53)="",0,1))</f>
        <v>1</v>
      </c>
      <c r="F53" s="12">
        <f>IF(C53="Oui",1,0)</f>
        <v>0</v>
      </c>
      <c r="G53" s="164" t="s">
        <v>39</v>
      </c>
      <c r="H53" s="183"/>
      <c r="I53" s="171"/>
      <c r="J53" s="171"/>
      <c r="K53" s="172"/>
      <c r="L53" s="172"/>
      <c r="M53" s="172"/>
    </row>
    <row r="54" spans="2:13">
      <c r="B54" s="6" t="str">
        <f>IF(C53="Oui, inclut dans ERP","",IF(C53="Oui","COTS ou Développement interne? (Commercial Off-The-Shelf solution)",IF(C53="Non mais il est prévu","Vous prévoyez quel type de solution?: COTS ou Développement interne? (Commercial Off-The-Shelf solution)","")))</f>
        <v>Vous prévoyez quel type de solution?: COTS ou Développement interne? (Commercial Off-The-Shelf solution)</v>
      </c>
      <c r="C54" s="20" t="s">
        <v>867</v>
      </c>
      <c r="D54" s="20"/>
      <c r="E54" s="12">
        <f>IF(TRIM(B54)="","",IF(TRIM(C54)="",0,1))</f>
        <v>1</v>
      </c>
      <c r="G54" s="164" t="s">
        <v>54</v>
      </c>
      <c r="H54" s="172"/>
      <c r="I54" s="171"/>
      <c r="J54" s="171"/>
      <c r="K54" s="172"/>
      <c r="L54" s="172"/>
      <c r="M54" s="172"/>
    </row>
    <row r="55" spans="2:13">
      <c r="B55" s="6" t="str">
        <f>IF(C53="Oui, inclut dans ERP","",IF(C54="COTS","Nom de l'éditeur et de la solution",""))</f>
        <v/>
      </c>
      <c r="C55" s="20"/>
      <c r="D55" s="20"/>
      <c r="E55" s="12" t="str">
        <f t="shared" ref="E55" si="8">IF(TRIM(B55)="","",IF(TRIM(C55)="",0,1))</f>
        <v/>
      </c>
      <c r="G55" s="20"/>
      <c r="H55" s="172"/>
      <c r="I55" s="171"/>
      <c r="J55" s="171"/>
      <c r="K55" s="172"/>
      <c r="L55" s="172"/>
      <c r="M55" s="172"/>
    </row>
    <row r="56" spans="2:13">
      <c r="B56" s="6" t="str">
        <f>IF(C53="Oui, inclut dans ERP","",IF(C54="COTS",IF(C53="Oui","L'application est-elle installée sur site ou utilisée sur le Cloud (SaaS) ?","La nouvelle solution sera-t-elle installée sur site ou utilisée sur le Cloud (SaaS) ?"),""))</f>
        <v/>
      </c>
      <c r="C56" s="20"/>
      <c r="D56" s="20"/>
      <c r="E56" s="12" t="str">
        <f>IF(TRIM(B56)="","",IF(TRIM(C56)="",0,1))</f>
        <v/>
      </c>
      <c r="G56" s="20"/>
      <c r="H56" s="172"/>
      <c r="I56" s="171"/>
      <c r="J56" s="171"/>
      <c r="K56" s="172"/>
      <c r="L56" s="172"/>
      <c r="M56" s="172"/>
    </row>
    <row r="57" spans="2:13">
      <c r="B57" s="6" t="str">
        <f>IF(C53="Oui, inclut dans ERP","",IF(C54="COTS",IF(C53="Oui","Quelle est la version/release de l'application ?","Quelle est la version/release qui sera implémentée ?"),""))</f>
        <v/>
      </c>
      <c r="C57" s="22"/>
      <c r="D57" s="20"/>
      <c r="E57" s="12" t="str">
        <f>IF(TRIM(B57)="","",IF(TRIM(C57)="",0,1))</f>
        <v/>
      </c>
      <c r="G57" s="20"/>
      <c r="H57" s="172"/>
      <c r="I57" s="171"/>
      <c r="J57" s="171"/>
      <c r="K57" s="172"/>
      <c r="L57" s="172"/>
      <c r="M57" s="172"/>
    </row>
    <row r="58" spans="2:13">
      <c r="B58" s="6" t="str">
        <f>IF(C53="Oui, inclut dans ERP","",IF(C53="Oui","Quelle est la criticité de cette application ? combien de temps peut-on supporter son indisponibilité (colonne détail) ?","Quelle est la criticité de ce besoin ?"))</f>
        <v>Quelle est la criticité de ce besoin ?</v>
      </c>
      <c r="C58" s="22" t="s">
        <v>619</v>
      </c>
      <c r="D58" s="20"/>
      <c r="E58" s="12">
        <f>IF(TRIM(B58)="","",IF(TRIM(C58)="",0,1))</f>
        <v>1</v>
      </c>
      <c r="F58" s="9"/>
      <c r="G58" s="164" t="s">
        <v>54</v>
      </c>
      <c r="H58" s="172"/>
      <c r="I58" s="171"/>
      <c r="J58" s="171"/>
      <c r="K58" s="172"/>
      <c r="L58" s="172"/>
      <c r="M58" s="172"/>
    </row>
    <row r="59" spans="2:13">
      <c r="B59" s="6" t="str">
        <f>IF(C53="Oui, inclut dans ERP","",IF(C53="Oui","Quand l’application a-t-elle été implémentée ?",IF(C53="Non mais il est prévu","Quand l’application sera-t-elle implémentée ?","")))</f>
        <v>Quand l’application sera-t-elle implémentée ?</v>
      </c>
      <c r="C59" s="20" t="s">
        <v>721</v>
      </c>
      <c r="D59" s="20"/>
      <c r="E59" s="12">
        <f t="shared" ref="E59:E67" si="9">IF(TRIM(B59)="","",IF(TRIM(C59)="",0,1))</f>
        <v>1</v>
      </c>
      <c r="G59" s="164" t="s">
        <v>938</v>
      </c>
      <c r="H59" s="172"/>
      <c r="I59" s="173"/>
      <c r="J59" s="173"/>
      <c r="K59" s="172"/>
      <c r="L59" s="172"/>
      <c r="M59" s="172"/>
    </row>
    <row r="60" spans="2:13">
      <c r="B60" s="6" t="str">
        <f>IF(C53="Oui, inclut dans ERP","",IF(AND(C53="Oui",C54="COTS"),"Quel est le niveau de personnalisation de l’Application ?",IF(AND(C53="Non mais il est prévu",C54="COTS"),"Quel est le niveau de personnalisation prévu de l’Application ?","")))</f>
        <v/>
      </c>
      <c r="C60" s="20"/>
      <c r="D60" s="20"/>
      <c r="E60" s="12" t="str">
        <f t="shared" si="9"/>
        <v/>
      </c>
      <c r="G60" s="164"/>
      <c r="H60" s="172"/>
      <c r="I60" s="171"/>
      <c r="J60" s="171"/>
      <c r="K60" s="172"/>
      <c r="L60" s="172"/>
      <c r="M60" s="172"/>
    </row>
    <row r="61" spans="2:13">
      <c r="B61" s="6" t="str">
        <f>IF(C53="Oui, inclut dans ERP","",IF(C53="Oui","Est-ce que cette solution dispose d'une interface Mobile ?",IF(C53="Non mais il est prévu","Est-ce que cette solution disposera d'une interface Mobile ?","")))</f>
        <v>Est-ce que cette solution disposera d'une interface Mobile ?</v>
      </c>
      <c r="C61" s="20" t="s">
        <v>54</v>
      </c>
      <c r="D61" s="20"/>
      <c r="E61" s="12">
        <f t="shared" si="9"/>
        <v>1</v>
      </c>
      <c r="G61" s="164"/>
      <c r="H61" s="172"/>
      <c r="I61" s="173"/>
      <c r="J61" s="173"/>
      <c r="K61" s="172"/>
      <c r="L61" s="172"/>
      <c r="M61" s="172"/>
    </row>
    <row r="62" spans="2:13">
      <c r="B62" s="6" t="str">
        <f>IF(C53="Oui, inclut dans ERP","",IF(C53="Oui","Est-ce qu'il est prévu de remplacer cette solution par une autre ? Si oui, veuillez mettre le nom de la nouvelle solution et la période prévue dans la colonne détails",""))</f>
        <v/>
      </c>
      <c r="C62" s="20"/>
      <c r="D62" s="20"/>
      <c r="E62" s="12" t="str">
        <f t="shared" si="9"/>
        <v/>
      </c>
      <c r="G62" s="164"/>
      <c r="H62" s="172"/>
      <c r="I62" s="171"/>
      <c r="J62" s="171"/>
      <c r="K62" s="172"/>
      <c r="L62" s="172"/>
      <c r="M62" s="172"/>
    </row>
    <row r="63" spans="2:13">
      <c r="B63" s="6" t="str">
        <f>IF(C53="Oui, inclut dans ERP","",IF(C53="Oui","Y a-t-il des utilisateurs du Groupe sur les activités de la filiale ?",""))</f>
        <v/>
      </c>
      <c r="C63" s="20"/>
      <c r="D63" s="20"/>
      <c r="E63" s="12" t="str">
        <f t="shared" si="9"/>
        <v/>
      </c>
      <c r="G63" s="164"/>
      <c r="H63" s="172"/>
      <c r="I63" s="172"/>
      <c r="J63" s="172"/>
      <c r="K63" s="172"/>
      <c r="L63" s="172"/>
      <c r="M63" s="172"/>
    </row>
    <row r="64" spans="2:13">
      <c r="B64" s="6" t="str">
        <f>IF(C53="Oui, inclut dans ERP","",IF(C54="COTS",IF(C53="Oui","Quel est le nombre actuel de licences détenues par la filiale?",IF(C53="Non","","Combien de licences projettez-vous d'acquérir ?")),""))</f>
        <v/>
      </c>
      <c r="C64" s="20"/>
      <c r="D64" s="20"/>
      <c r="E64" s="12" t="str">
        <f t="shared" si="9"/>
        <v/>
      </c>
      <c r="G64" s="164"/>
      <c r="H64" s="172"/>
      <c r="I64" s="172"/>
      <c r="J64" s="172"/>
      <c r="K64" s="172"/>
      <c r="L64" s="172"/>
      <c r="M64" s="172"/>
    </row>
    <row r="65" spans="2:13">
      <c r="B65" s="6" t="str">
        <f>IF(C53="Oui, inclut dans ERP","",IF(C54="COTS","Quel type de licences (nominatives/partagées) ?",""))</f>
        <v/>
      </c>
      <c r="C65" s="20"/>
      <c r="D65" s="20"/>
      <c r="E65" s="20"/>
      <c r="F65" s="20"/>
      <c r="G65" s="20"/>
      <c r="H65" s="172"/>
      <c r="I65" s="172"/>
      <c r="J65" s="172"/>
      <c r="K65" s="172"/>
      <c r="L65" s="172"/>
      <c r="M65" s="172"/>
    </row>
    <row r="66" spans="2:13">
      <c r="B66" s="6" t="str">
        <f>IF(C53="Oui, inclut dans ERP","",IF(C54="COTS",IF(C53="Oui","Quel est le coût du support éditeur/partenaire ?",IF(C53&lt;&gt;"Non","Quel sera le coût du support éditeur/partenaire ?","")),""))</f>
        <v/>
      </c>
      <c r="C66" s="20"/>
      <c r="D66" s="20"/>
      <c r="E66" s="12" t="str">
        <f t="shared" si="9"/>
        <v/>
      </c>
      <c r="G66" s="20"/>
      <c r="H66" s="172"/>
      <c r="I66" s="172"/>
      <c r="J66" s="172"/>
      <c r="K66" s="172"/>
      <c r="L66" s="172"/>
      <c r="M66" s="172"/>
    </row>
    <row r="67" spans="2:13">
      <c r="B67" s="6" t="str">
        <f>IF(C53="Oui, inclut dans ERP","",IF(C54="COTS",IF(C53="Oui","Le contrat est-il global couvrant plusieurs filiales ou dédié à la filiale ?",IF(C53&lt;&gt;"Non","Projettez-vous une acquisition individuelle ou groupe ?","")),""))</f>
        <v/>
      </c>
      <c r="C67" s="20"/>
      <c r="D67" s="20"/>
      <c r="E67" s="12" t="str">
        <f t="shared" si="9"/>
        <v/>
      </c>
      <c r="G67" s="20"/>
      <c r="H67" s="172"/>
      <c r="I67" s="172"/>
      <c r="J67" s="172"/>
      <c r="K67" s="172"/>
      <c r="L67" s="172"/>
      <c r="M67" s="172"/>
    </row>
    <row r="68" spans="2:13">
      <c r="B68" s="6" t="str">
        <f>IF(C53="Oui, inclut dans ERP","",IF(AND(C54="COTS",C53="Oui"),"Le contrat comprend-il un SLA formel ? Cela inclut-il un engagement de performance ?",""))</f>
        <v/>
      </c>
      <c r="C68" s="20"/>
      <c r="D68" s="20"/>
      <c r="E68" s="12" t="str">
        <f>IF(TRIM(B68)="","",IF(TRIM(C68)="",0,1))</f>
        <v/>
      </c>
      <c r="G68" s="164"/>
      <c r="H68" s="172"/>
      <c r="I68" s="173"/>
      <c r="J68" s="173"/>
      <c r="K68" s="172"/>
      <c r="L68" s="172"/>
      <c r="M68" s="172"/>
    </row>
    <row r="69" spans="2:13">
      <c r="B69" s="6" t="str">
        <f>IF(C53="Oui, inclut dans ERP","",IF(C53="Oui","Combien de ETP internes sont dédiés aux support (Niveaux 1, 2 et 3) de cette solution ?
Veuillez décrire dans la colonne détail la répartition des principales activités, les compétences et les rôles",IF(C53="Non mais il est prévu","Combien de ETP internes projettez-vous de dédier aux support (Niveaux 1, 2 et 3) de cette solution ?","")))</f>
        <v>Combien de ETP internes projettez-vous de dédier aux support (Niveaux 1, 2 et 3) de cette solution ?</v>
      </c>
      <c r="C69" s="20" t="s">
        <v>721</v>
      </c>
      <c r="D69" s="20" t="s">
        <v>721</v>
      </c>
      <c r="E69" s="12">
        <f t="shared" ref="E69:E70" si="10">IF(TRIM(B69)="","",IF(TRIM(C69)="",0,IF(TRIM(D69)="",0.5,1)))</f>
        <v>1</v>
      </c>
      <c r="G69" s="164" t="s">
        <v>54</v>
      </c>
      <c r="H69" s="172"/>
      <c r="I69" s="172"/>
      <c r="J69" s="172"/>
      <c r="K69" s="172"/>
      <c r="L69" s="172"/>
      <c r="M69" s="172"/>
    </row>
    <row r="70" spans="2:13" ht="25.5">
      <c r="B70" s="6" t="str">
        <f>IF(C53="Oui, inclut dans ERP","",IF(C53="Oui","Combien de ETP internes sont dédiés aux changements opérés sur cette solution (incluant Dev, Config, Mise en prod) ?
Veuillez décrire dans la colonne détail la répartition des principales activités, les compétences et les rôles",IF(C53="Non mais il est prévu","Combien de ETP internes projettez-vous de dédier aux futurs changements sur cette solution (incluant Dev, Config, Mise en prod) ?","")))</f>
        <v>Combien de ETP internes projettez-vous de dédier aux futurs changements sur cette solution (incluant Dev, Config, Mise en prod) ?</v>
      </c>
      <c r="C70" s="20" t="s">
        <v>721</v>
      </c>
      <c r="D70" s="20" t="s">
        <v>721</v>
      </c>
      <c r="E70" s="12">
        <f t="shared" si="10"/>
        <v>1</v>
      </c>
      <c r="G70" s="164" t="s">
        <v>54</v>
      </c>
      <c r="H70" s="172"/>
      <c r="I70" s="172"/>
      <c r="J70" s="172"/>
      <c r="K70" s="172"/>
      <c r="L70" s="172"/>
      <c r="M70" s="172"/>
    </row>
    <row r="71" spans="2:13">
      <c r="B71" s="6" t="str">
        <f>IF(C53="Oui, inclut dans ERP","",IF(C53="Oui","Est-ce qu'il y a un quelconque support sur l'application à partir de l'IT Groupe ?",IF(C53="Non mais il est prévu","Est-ce qu'il y aura un quelconque support sur l'application à partir de l'IT Groupe ?","")))</f>
        <v>Est-ce qu'il y aura un quelconque support sur l'application à partir de l'IT Groupe ?</v>
      </c>
      <c r="C71" s="20" t="s">
        <v>54</v>
      </c>
      <c r="D71" s="20" t="s">
        <v>721</v>
      </c>
      <c r="E71" s="12">
        <f t="shared" ref="E71:E74" si="11">IF(TRIM(B71)="","",IF(TRIM(C71)="",0,1))</f>
        <v>1</v>
      </c>
      <c r="G71" s="164" t="s">
        <v>54</v>
      </c>
      <c r="H71" s="172"/>
      <c r="I71" s="171"/>
      <c r="J71" s="171"/>
      <c r="K71" s="172"/>
      <c r="L71" s="172"/>
      <c r="M71" s="172"/>
    </row>
    <row r="72" spans="2:13">
      <c r="B72" s="8" t="str">
        <f>IF(C53="Oui, inclut dans ERP","",IF(C71="Oui",IF(C53="Oui","Existe-t-il un SLA interne entre Group IT et la filiale ? S'il existe, pouvez-vous le partager",IF(C53="Non mais il est prévu","Si oui, prévoyez-vous un SLA interne entre Group IT et la filiale ?","")),""))</f>
        <v/>
      </c>
      <c r="C72" s="22"/>
      <c r="D72" s="20"/>
      <c r="E72" s="12" t="str">
        <f t="shared" si="11"/>
        <v/>
      </c>
      <c r="G72" s="20"/>
      <c r="H72" s="172"/>
      <c r="I72" s="171"/>
      <c r="J72" s="171"/>
      <c r="K72" s="172"/>
      <c r="L72" s="172"/>
      <c r="M72" s="172"/>
    </row>
    <row r="73" spans="2:13">
      <c r="B73" s="6" t="str">
        <f>IF(C53="Oui, inclut dans ERP","",IF(C53="Oui","Sur quels systèmes (versions) cette application s'exécute-t-elle ?",IF(C53="Non mais il est prévu","Sur quels systèmes (versions) cette application sera-t-elle implémentée ?","")))</f>
        <v>Sur quels systèmes (versions) cette application sera-t-elle implémentée ?</v>
      </c>
      <c r="C73" s="20" t="s">
        <v>721</v>
      </c>
      <c r="D73" s="20"/>
      <c r="E73" s="12">
        <f t="shared" si="11"/>
        <v>1</v>
      </c>
      <c r="G73" s="164" t="s">
        <v>54</v>
      </c>
      <c r="H73" s="172"/>
      <c r="I73" s="172"/>
      <c r="J73" s="172"/>
      <c r="K73" s="172"/>
      <c r="L73" s="172"/>
      <c r="M73" s="172"/>
    </row>
    <row r="74" spans="2:13">
      <c r="B74" s="6" t="str">
        <f>IF(C53="Oui, inclut dans ERP","",IF(C53="Oui","Sur quelle base de données cette application tourne-t-elle ?",IF(C53="Non mais il est prévu","Sur quelle base de données cette application tournera-t-elle ?","")))</f>
        <v>Sur quelle base de données cette application tournera-t-elle ?</v>
      </c>
      <c r="C74" s="20" t="s">
        <v>721</v>
      </c>
      <c r="D74" s="20"/>
      <c r="E74" s="12">
        <f t="shared" si="11"/>
        <v>1</v>
      </c>
      <c r="G74" s="164" t="s">
        <v>54</v>
      </c>
      <c r="H74" s="172"/>
      <c r="I74" s="172"/>
      <c r="J74" s="172"/>
      <c r="K74" s="172"/>
      <c r="L74" s="172"/>
      <c r="M74" s="172"/>
    </row>
    <row r="75" spans="2:13" ht="15" thickBot="1">
      <c r="B75" s="6" t="str">
        <f>IF(C53="Oui, inclut dans ERP","",IF(C53="Oui","Quelles sont les interfaces existantes de cette application ? Veuillez décrire et partager tout document d'architecture",IF(C53="Non mais il est prévu","Quelles sont les interfaces prévues ? Veuillez décrire et partager tout document d'architecture cible","")))</f>
        <v>Quelles sont les interfaces prévues ? Veuillez décrire et partager tout document d'architecture cible</v>
      </c>
      <c r="C75" s="20" t="s">
        <v>721</v>
      </c>
      <c r="D75" s="20"/>
      <c r="E75" s="12">
        <f t="shared" ref="E75" si="12">IF(TRIM(B75)="","",IF(TRIM(C75)="",0,IF(TRIM(D75)="",0.5,1)))</f>
        <v>0.5</v>
      </c>
      <c r="F75" s="94"/>
      <c r="G75" s="164" t="s">
        <v>54</v>
      </c>
      <c r="H75" s="172"/>
      <c r="I75" s="172"/>
      <c r="J75" s="172"/>
      <c r="K75" s="172"/>
      <c r="L75" s="172"/>
      <c r="M75" s="172"/>
    </row>
    <row r="76" spans="2:13" ht="15.75">
      <c r="B76" s="87" t="s">
        <v>939</v>
      </c>
      <c r="C76" s="84" t="s">
        <v>39</v>
      </c>
      <c r="D76" s="85"/>
      <c r="E76" s="12">
        <f>IF(TRIM(B76)="","",IF(TRIM(C76)="",0,1))</f>
        <v>1</v>
      </c>
      <c r="F76" s="12">
        <f>IF(C76="Oui",1,0)</f>
        <v>1</v>
      </c>
      <c r="G76" s="164" t="s">
        <v>39</v>
      </c>
      <c r="H76" s="183"/>
      <c r="I76" s="171"/>
      <c r="J76" s="171"/>
      <c r="K76" s="172"/>
      <c r="L76" s="172"/>
      <c r="M76" s="172"/>
    </row>
    <row r="77" spans="2:13">
      <c r="B77" s="6" t="str">
        <f>IF(C76="Oui, inclut dans ERP HR","",IF(C76="Oui","COTS ou Développement interne? (Commercial Off-The-Shelf solution)",IF(C76="Non mais il est prévu","Vous prévoyez quel type de solution?: COTS ou Développement interne? (Commercial Off-The-Shelf solution)","")))</f>
        <v>COTS ou Développement interne? (Commercial Off-The-Shelf solution)</v>
      </c>
      <c r="C77" s="20" t="s">
        <v>867</v>
      </c>
      <c r="D77" s="20"/>
      <c r="E77" s="12">
        <f>IF(TRIM(B77)="","",IF(TRIM(C77)="",0,1))</f>
        <v>1</v>
      </c>
      <c r="G77" s="164" t="s">
        <v>54</v>
      </c>
      <c r="H77" s="172"/>
      <c r="I77" s="171"/>
      <c r="J77" s="171"/>
      <c r="K77" s="172"/>
      <c r="L77" s="172"/>
      <c r="M77" s="172"/>
    </row>
    <row r="78" spans="2:13">
      <c r="B78" s="6" t="str">
        <f>IF(C76="Oui, inclut dans ERP HR","",IF(C77="COTS","Nom de l'éditeur et de la solution",""))</f>
        <v/>
      </c>
      <c r="C78" s="20"/>
      <c r="D78" s="20"/>
      <c r="E78" s="12" t="str">
        <f t="shared" ref="E78" si="13">IF(TRIM(B78)="","",IF(TRIM(C78)="",0,1))</f>
        <v/>
      </c>
      <c r="G78" s="20"/>
      <c r="H78" s="172"/>
      <c r="I78" s="171"/>
      <c r="J78" s="171"/>
      <c r="K78" s="172"/>
      <c r="L78" s="172"/>
      <c r="M78" s="172"/>
    </row>
    <row r="79" spans="2:13">
      <c r="B79" s="6" t="str">
        <f>IF(C76="Oui, inclut dans ERP HR","",IF(C77="COTS",IF(C76="Oui","L'application est-elle installée sur site ou utilisée sur le Cloud (SaaS) ?","La nouvelle solution sera-t-elle installée sur site ou utilisée sur le Cloud (SaaS) ?"),""))</f>
        <v/>
      </c>
      <c r="C79" s="20"/>
      <c r="D79" s="20"/>
      <c r="E79" s="12" t="str">
        <f>IF(TRIM(B79)="","",IF(TRIM(C79)="",0,1))</f>
        <v/>
      </c>
      <c r="G79" s="20"/>
      <c r="H79" s="172"/>
      <c r="I79" s="171"/>
      <c r="J79" s="171"/>
      <c r="K79" s="172"/>
      <c r="L79" s="172"/>
      <c r="M79" s="172"/>
    </row>
    <row r="80" spans="2:13">
      <c r="B80" s="6" t="str">
        <f>IF(C76="Oui, inclut dans ERP HR","",IF(C77="COTS",IF(C76="Oui","Quelle est la version/release de l'application ?","Quelle est la version/release qui sera implémentée ?"),""))</f>
        <v/>
      </c>
      <c r="C80" s="22"/>
      <c r="D80" s="20"/>
      <c r="E80" s="12" t="str">
        <f>IF(TRIM(B80)="","",IF(TRIM(C80)="",0,1))</f>
        <v/>
      </c>
      <c r="G80" s="20"/>
      <c r="H80" s="172"/>
      <c r="I80" s="171"/>
      <c r="J80" s="171"/>
      <c r="K80" s="172"/>
      <c r="L80" s="172"/>
      <c r="M80" s="172"/>
    </row>
    <row r="81" spans="2:13">
      <c r="B81" s="6" t="str">
        <f>IF(C76="Oui, inclut dans ERP HR","",IF(C76="Oui","Quelle est la criticité de cette application ? combien de temps peut-on supporter son indisponibilité (colonne détail) ?","Quelle est la criticité de ce besoin ?"))</f>
        <v>Quelle est la criticité de cette application ? combien de temps peut-on supporter son indisponibilité (colonne détail) ?</v>
      </c>
      <c r="C81" s="22" t="s">
        <v>619</v>
      </c>
      <c r="D81" s="20"/>
      <c r="E81" s="12">
        <f>IF(TRIM(B81)="","",IF(TRIM(C81)="",0,1))</f>
        <v>1</v>
      </c>
      <c r="F81" s="9"/>
      <c r="G81" s="164" t="s">
        <v>54</v>
      </c>
      <c r="H81" s="172"/>
      <c r="I81" s="171"/>
      <c r="J81" s="171"/>
      <c r="K81" s="172"/>
      <c r="L81" s="172"/>
      <c r="M81" s="172"/>
    </row>
    <row r="82" spans="2:13">
      <c r="B82" s="208" t="str">
        <f>IF(C76="Oui, inclut dans ERP HR","",IF(C76="Oui","Quand l’application a-t-elle été implémentée ?",IF(C76="Non mais il est prévu","Quand l’application sera-t-elle implémentée ?","")))</f>
        <v>Quand l’application a-t-elle été implémentée ?</v>
      </c>
      <c r="C82" s="190">
        <v>2023</v>
      </c>
      <c r="D82" s="20"/>
      <c r="E82" s="12">
        <f t="shared" ref="E82:E90" si="14">IF(TRIM(B82)="","",IF(TRIM(C82)="",0,1))</f>
        <v>1</v>
      </c>
      <c r="G82" s="20" t="s">
        <v>940</v>
      </c>
      <c r="H82" s="172"/>
      <c r="I82" s="173"/>
      <c r="J82" s="173"/>
      <c r="K82" s="172"/>
      <c r="L82" s="172"/>
      <c r="M82" s="172"/>
    </row>
    <row r="83" spans="2:13">
      <c r="B83" s="6" t="str">
        <f>IF(C76="Oui, inclut dans ERP HR","",IF(AND(C76="Oui",C77="COTS"),"Quel est le niveau de personnalisation de l’Application ?",IF(AND(C76="Non mais il est prévu",C77="COTS"),"Quel est le niveau de personnalisation prévu de l’Application ?","")))</f>
        <v/>
      </c>
      <c r="C83" s="20"/>
      <c r="D83" s="20"/>
      <c r="E83" s="12" t="str">
        <f t="shared" si="14"/>
        <v/>
      </c>
      <c r="G83" s="164"/>
      <c r="H83" s="172"/>
      <c r="I83" s="171"/>
      <c r="J83" s="171"/>
      <c r="K83" s="172"/>
      <c r="L83" s="172"/>
      <c r="M83" s="172"/>
    </row>
    <row r="84" spans="2:13">
      <c r="B84" s="6" t="str">
        <f>IF(C76="Oui, inclut dans ERP HR","",IF(C76="Oui","Est-ce que cette solution dispose d'une interface Mobile ?",IF(C76="Non mais il est prévu","Est-ce que cette solution disposera d'une interface Mobile ?","")))</f>
        <v>Est-ce que cette solution dispose d'une interface Mobile ?</v>
      </c>
      <c r="C84" s="20" t="s">
        <v>54</v>
      </c>
      <c r="D84" s="20" t="s">
        <v>941</v>
      </c>
      <c r="E84" s="12">
        <f t="shared" si="14"/>
        <v>1</v>
      </c>
      <c r="G84" s="164" t="s">
        <v>63</v>
      </c>
      <c r="H84" s="172"/>
      <c r="I84" s="173"/>
      <c r="J84" s="173"/>
      <c r="K84" s="172"/>
      <c r="L84" s="172"/>
      <c r="M84" s="172"/>
    </row>
    <row r="85" spans="2:13" ht="25.5" customHeight="1">
      <c r="B85" s="6" t="str">
        <f>IF(C76="Oui, inclut dans ERP HR","",IF(C76="Oui","Est-ce qu'il est prévu de remplacer cette solution par une autre ? Si oui, veuillez mettre le nom de la nouvelle solution et la période prévue dans la colonne détails",""))</f>
        <v>Est-ce qu'il est prévu de remplacer cette solution par une autre ? Si oui, veuillez mettre le nom de la nouvelle solution et la période prévue dans la colonne détails</v>
      </c>
      <c r="C85" s="20" t="s">
        <v>54</v>
      </c>
      <c r="D85" s="20"/>
      <c r="E85" s="12">
        <f t="shared" si="14"/>
        <v>1</v>
      </c>
      <c r="G85" s="164" t="s">
        <v>54</v>
      </c>
      <c r="H85" s="172"/>
      <c r="I85" s="171"/>
      <c r="J85" s="171"/>
      <c r="K85" s="172"/>
      <c r="L85" s="172"/>
      <c r="M85" s="172"/>
    </row>
    <row r="86" spans="2:13">
      <c r="B86" s="6" t="str">
        <f>IF(C76="Oui, inclut dans ERP HR","",IF(C76="Oui","Y a-t-il des utilisateurs du Groupe sur les activités de la filiale ?",""))</f>
        <v>Y a-t-il des utilisateurs du Groupe sur les activités de la filiale ?</v>
      </c>
      <c r="C86" s="20" t="s">
        <v>39</v>
      </c>
      <c r="D86" s="20"/>
      <c r="E86" s="12">
        <f t="shared" si="14"/>
        <v>1</v>
      </c>
      <c r="G86" s="164" t="s">
        <v>54</v>
      </c>
      <c r="H86" s="172"/>
      <c r="I86" s="172"/>
      <c r="J86" s="172"/>
      <c r="K86" s="172"/>
      <c r="L86" s="172"/>
      <c r="M86" s="172"/>
    </row>
    <row r="87" spans="2:13">
      <c r="B87" s="6" t="str">
        <f>IF(C76="Oui, inclut dans ERP HR","",IF(C77="COTS",IF(C76="Oui","Quel est le nombre actuel de licences détenues par la filiale?",IF(C76="Non","","Combien de licences projettez-vous d'acquérir ?")),""))</f>
        <v/>
      </c>
      <c r="C87" s="20"/>
      <c r="D87" s="20"/>
      <c r="E87" s="12" t="str">
        <f t="shared" si="14"/>
        <v/>
      </c>
      <c r="G87" s="20"/>
      <c r="H87" s="172"/>
      <c r="I87" s="172"/>
      <c r="J87" s="172"/>
      <c r="K87" s="172"/>
      <c r="L87" s="172"/>
      <c r="M87" s="172"/>
    </row>
    <row r="88" spans="2:13">
      <c r="B88" s="6" t="str">
        <f>IF(C76="Oui, inclut dans ERP HR","",IF(C77="COTS","Quel type de licences (nominatives/partagées) ?",""))</f>
        <v/>
      </c>
      <c r="C88" s="20"/>
      <c r="D88" s="20"/>
      <c r="E88" s="12" t="str">
        <f t="shared" si="14"/>
        <v/>
      </c>
      <c r="G88" s="20"/>
      <c r="H88" s="172"/>
      <c r="I88" s="172"/>
      <c r="J88" s="172"/>
      <c r="K88" s="172"/>
      <c r="L88" s="172"/>
      <c r="M88" s="172"/>
    </row>
    <row r="89" spans="2:13">
      <c r="B89" s="6" t="str">
        <f>IF(C76="Oui, inclut dans ERP HR","",IF(C77="COTS",IF(C76="Oui","Quel est le coût du support éditeur/partenaire ?",IF(C76&lt;&gt;"Non","Quel sera le coût du support éditeur/partenaire ?","")),""))</f>
        <v/>
      </c>
      <c r="C89" s="20"/>
      <c r="D89" s="20"/>
      <c r="E89" s="12" t="str">
        <f t="shared" si="14"/>
        <v/>
      </c>
      <c r="G89" s="20"/>
      <c r="H89" s="172"/>
      <c r="I89" s="172"/>
      <c r="J89" s="172"/>
      <c r="K89" s="172"/>
      <c r="L89" s="172"/>
      <c r="M89" s="172"/>
    </row>
    <row r="90" spans="2:13">
      <c r="B90" s="6" t="str">
        <f>IF(C76="Oui, inclut dans ERP HR","",IF(C77="COTS",IF(C76="Oui","Le contrat est-il global couvrant plusieurs filiales ou dédié à la filiale ?",IF(C76&lt;&gt;"Non","Projettez-vous une acquisition individuelle ou groupe ?","")),""))</f>
        <v/>
      </c>
      <c r="C90" s="20"/>
      <c r="D90" s="20"/>
      <c r="E90" s="12" t="str">
        <f t="shared" si="14"/>
        <v/>
      </c>
      <c r="G90" s="20"/>
      <c r="H90" s="172"/>
      <c r="I90" s="172"/>
      <c r="J90" s="172"/>
      <c r="K90" s="172"/>
      <c r="L90" s="172"/>
      <c r="M90" s="172"/>
    </row>
    <row r="91" spans="2:13">
      <c r="B91" s="6" t="str">
        <f>IF(C76="Oui, inclut dans ERP HR","",IF(AND(C77="COTS",C76="Oui"),"Le contrat comprend-il un SLA formel ? Cela inclut-il un engagement de performance ?",""))</f>
        <v/>
      </c>
      <c r="C91" s="20"/>
      <c r="D91" s="20"/>
      <c r="E91" s="12" t="str">
        <f>IF(TRIM(B91)="","",IF(TRIM(C91)="",0,1))</f>
        <v/>
      </c>
      <c r="G91" s="20"/>
      <c r="H91" s="172"/>
      <c r="I91" s="173"/>
      <c r="J91" s="173"/>
      <c r="K91" s="172"/>
      <c r="L91" s="172"/>
      <c r="M91" s="172"/>
    </row>
    <row r="92" spans="2:13" ht="114.75">
      <c r="B92" s="6" t="str">
        <f>IF(C76="Oui, inclut dans ERP HR","",IF(C76="Oui","Combien de ETP internes sont dédiés aux support (Niveaux 1, 2 et 3) de cette solution ?
Veuillez décrire dans la colonne détail la répartition des principales activités, les compétences et les rôles",IF(C76="Non mais il est prévu","Combien de ETP internes projettez-vous de dédier aux support (Niveaux 1, 2 et 3) de cette solution ?","")))</f>
        <v>Combien de ETP internes sont dédiés aux support (Niveaux 1, 2 et 3) de cette solution ?
Veuillez décrire dans la colonne détail la répartition des principales activités, les compétences et les rôles</v>
      </c>
      <c r="C92" s="222" t="s">
        <v>877</v>
      </c>
      <c r="D92" s="222" t="s">
        <v>877</v>
      </c>
      <c r="E92" s="12">
        <f t="shared" ref="E92:E93" si="15">IF(TRIM(B92)="","",IF(TRIM(C92)="",0,IF(TRIM(D92)="",0.5,1)))</f>
        <v>1</v>
      </c>
      <c r="G92" s="20" t="s">
        <v>942</v>
      </c>
      <c r="H92" s="172"/>
      <c r="I92" s="172"/>
      <c r="J92" s="172"/>
      <c r="K92" s="172"/>
      <c r="L92" s="172"/>
      <c r="M92" s="172"/>
    </row>
    <row r="93" spans="2:13" ht="38.25">
      <c r="B93" s="6" t="str">
        <f>IF(C76="Oui, inclut dans ERP HR","",IF(C76="Oui","Combien de ETP internes sont dédiés aux changements opérés sur cette solution (incluant Dev, Config, Mise en prod) ?
Veuillez décrire dans la colonne détail la répartition des principales activités, les compétences et les rôles",IF(C76="Non mais il est prévu","Combien de ETP internes projettez-vous de dédier aux futurs changements sur cette solution (incluant Dev, Config, Mise en prod) ?","")))</f>
        <v>Combien de ETP internes sont dédiés aux changements opérés sur cette solution (incluant Dev, Config, Mise en prod) ?
Veuillez décrire dans la colonne détail la répartition des principales activités, les compétences et les rôles</v>
      </c>
      <c r="C93" s="21" t="s">
        <v>879</v>
      </c>
      <c r="D93" s="21" t="s">
        <v>879</v>
      </c>
      <c r="E93" s="12">
        <f t="shared" si="15"/>
        <v>1</v>
      </c>
      <c r="G93" s="20" t="s">
        <v>942</v>
      </c>
      <c r="H93" s="172"/>
      <c r="I93" s="172"/>
      <c r="J93" s="172"/>
      <c r="K93" s="172"/>
      <c r="L93" s="172"/>
      <c r="M93" s="172"/>
    </row>
    <row r="94" spans="2:13">
      <c r="B94" s="6" t="str">
        <f>IF(C76="Oui, inclut dans ERP HR","",IF(C76="Oui","Est-ce qu'il y a un quelconque support sur l'application à partir de l'IT Groupe ?",IF(C76="Non mais il est prévu","Est-ce qu'il y aura un quelconque support sur l'application à partir de l'IT Groupe ?","")))</f>
        <v>Est-ce qu'il y a un quelconque support sur l'application à partir de l'IT Groupe ?</v>
      </c>
      <c r="C94" s="20" t="s">
        <v>54</v>
      </c>
      <c r="D94" s="20"/>
      <c r="E94" s="12">
        <f t="shared" ref="E94:E97" si="16">IF(TRIM(B94)="","",IF(TRIM(C94)="",0,1))</f>
        <v>1</v>
      </c>
      <c r="G94" s="164" t="s">
        <v>54</v>
      </c>
      <c r="H94" s="172"/>
      <c r="I94" s="171"/>
      <c r="J94" s="171"/>
      <c r="K94" s="172"/>
      <c r="L94" s="172"/>
      <c r="M94" s="172"/>
    </row>
    <row r="95" spans="2:13">
      <c r="B95" s="8" t="str">
        <f>IF(C76="Oui, inclut dans ERP HR","",IF(C94="Oui",IF(C76="Oui","Existe-t-il un SLA interne entre Group IT et la filiale ? S'il existe, pouvez-vous le partager",IF(C76="Non mais il est prévu","Si oui, prévoyez-vous un SLA interne entre Group IT et la filiale ?","")),""))</f>
        <v/>
      </c>
      <c r="C95" s="22" t="s">
        <v>54</v>
      </c>
      <c r="D95" s="20"/>
      <c r="E95" s="12" t="str">
        <f t="shared" si="16"/>
        <v/>
      </c>
      <c r="G95" s="164" t="s">
        <v>54</v>
      </c>
      <c r="H95" s="172"/>
      <c r="I95" s="171"/>
      <c r="J95" s="171"/>
      <c r="K95" s="172"/>
      <c r="L95" s="172"/>
      <c r="M95" s="172"/>
    </row>
    <row r="96" spans="2:13">
      <c r="B96" s="6" t="str">
        <f>IF(C76="Oui, inclut dans ERP HR","",IF(C76="Oui","Sur quels systèmes (versions) cette application s'exécute-t-elle ?",IF(C76="Non mais il est prévu","Sur quels systèmes (versions) cette application sera-t-elle implémentée ?","")))</f>
        <v>Sur quels systèmes (versions) cette application s'exécute-t-elle ?</v>
      </c>
      <c r="C96" s="177" t="s">
        <v>943</v>
      </c>
      <c r="D96" s="20"/>
      <c r="E96" s="12">
        <f t="shared" si="16"/>
        <v>1</v>
      </c>
      <c r="G96" s="164" t="s">
        <v>54</v>
      </c>
      <c r="H96" s="172"/>
      <c r="I96" s="172"/>
      <c r="J96" s="172"/>
      <c r="K96" s="172"/>
      <c r="L96" s="172"/>
      <c r="M96" s="172"/>
    </row>
    <row r="97" spans="2:13">
      <c r="B97" s="6" t="str">
        <f>IF(C76="Oui, inclut dans ERP HR","",IF(C76="Oui","Sur quelle base de données cette application tourne-t-elle ?",IF(C76="Non mais il est prévu","Sur quelle base de données cette application tournera-t-elle ?","")))</f>
        <v>Sur quelle base de données cette application tourne-t-elle ?</v>
      </c>
      <c r="C97" s="177" t="s">
        <v>944</v>
      </c>
      <c r="D97" s="20"/>
      <c r="E97" s="12">
        <f t="shared" si="16"/>
        <v>1</v>
      </c>
      <c r="G97" s="164" t="s">
        <v>54</v>
      </c>
      <c r="H97" s="172"/>
      <c r="I97" s="172"/>
      <c r="J97" s="172"/>
      <c r="K97" s="172"/>
      <c r="L97" s="172"/>
      <c r="M97" s="172"/>
    </row>
    <row r="98" spans="2:13" ht="23.25" customHeight="1" thickBot="1">
      <c r="B98" s="6" t="str">
        <f>IF(C76="Oui, inclut dans ERP HR","",IF(C76="Oui","Quelles sont les interfaces existantes de cette application ? Veuillez décrire et partager tout document d'architecture",IF(C76="Non mais il est prévu","Quelles sont les interfaces prévues ? Veuillez décrire et partager tout document d'architecture cible","")))</f>
        <v>Quelles sont les interfaces existantes de cette application ? Veuillez décrire et partager tout document d'architecture</v>
      </c>
      <c r="C98" s="22" t="s">
        <v>60</v>
      </c>
      <c r="D98" s="20"/>
      <c r="E98" s="12">
        <f t="shared" ref="E98" si="17">IF(TRIM(B98)="","",IF(TRIM(C98)="",0,IF(TRIM(D98)="",0.5,1)))</f>
        <v>0.5</v>
      </c>
      <c r="F98" s="94"/>
      <c r="G98" s="164" t="s">
        <v>54</v>
      </c>
      <c r="H98" s="172"/>
      <c r="I98" s="172"/>
      <c r="J98" s="172"/>
      <c r="K98" s="172"/>
      <c r="L98" s="172"/>
      <c r="M98" s="172"/>
    </row>
    <row r="99" spans="2:13" ht="15.75">
      <c r="B99" s="87" t="s">
        <v>945</v>
      </c>
      <c r="C99" s="84" t="s">
        <v>54</v>
      </c>
      <c r="D99" s="85"/>
      <c r="E99" s="12">
        <f>IF(TRIM(B99)="","",IF(TRIM(C99)="",0,1))</f>
        <v>1</v>
      </c>
      <c r="F99" s="12">
        <f>IF(C99="Oui",1,0)</f>
        <v>0</v>
      </c>
      <c r="G99" s="164"/>
      <c r="H99" s="183"/>
      <c r="I99" s="171"/>
      <c r="J99" s="171"/>
      <c r="K99" s="172"/>
      <c r="L99" s="172"/>
      <c r="M99" s="172"/>
    </row>
    <row r="100" spans="2:13">
      <c r="B100" s="6" t="str">
        <f>IF(C99="Oui, inclut dans ERP HR","",IF(C99="Oui","COTS ou Développement interne? (Commercial Off-The-Shelf solution)",IF(C99="Non mais il est prévu","Vous prévoyez quel type de solution?: COTS ou Développement interne? (Commercial Off-The-Shelf solution)","")))</f>
        <v/>
      </c>
      <c r="C100" s="20"/>
      <c r="D100" s="20"/>
      <c r="E100" s="12" t="str">
        <f>IF(TRIM(B100)="","",IF(TRIM(C100)="",0,1))</f>
        <v/>
      </c>
      <c r="G100" s="164"/>
      <c r="H100" s="172"/>
      <c r="I100" s="171"/>
      <c r="J100" s="171"/>
      <c r="K100" s="172"/>
      <c r="L100" s="172"/>
      <c r="M100" s="172"/>
    </row>
    <row r="101" spans="2:13">
      <c r="B101" s="6" t="str">
        <f>IF(C99="Oui, inclut dans ERP HR","",IF(C100="COTS","Nom de l'éditeur et de la solution",""))</f>
        <v/>
      </c>
      <c r="C101" s="20"/>
      <c r="D101" s="20"/>
      <c r="E101" s="12" t="str">
        <f t="shared" ref="E101" si="18">IF(TRIM(B101)="","",IF(TRIM(C101)="",0,1))</f>
        <v/>
      </c>
      <c r="G101" s="20"/>
      <c r="H101" s="172"/>
      <c r="I101" s="171"/>
      <c r="J101" s="171"/>
      <c r="K101" s="172"/>
      <c r="L101" s="172"/>
      <c r="M101" s="172"/>
    </row>
    <row r="102" spans="2:13">
      <c r="B102" s="6" t="str">
        <f>IF(C99="Oui, inclut dans ERP HR","",IF(C100="COTS",IF(C99="Oui","L'application est-elle installée sur site ou utilisée sur le Cloud (SaaS) ?","La nouvelle solution sera-t-elle installée sur site ou utilisée sur le Cloud (SaaS) ?"),""))</f>
        <v/>
      </c>
      <c r="C102" s="20"/>
      <c r="D102" s="20"/>
      <c r="E102" s="12" t="str">
        <f>IF(TRIM(B102)="","",IF(TRIM(C102)="",0,1))</f>
        <v/>
      </c>
      <c r="G102" s="20"/>
      <c r="H102" s="172"/>
      <c r="I102" s="171"/>
      <c r="J102" s="171"/>
      <c r="K102" s="172"/>
      <c r="L102" s="172"/>
      <c r="M102" s="172"/>
    </row>
    <row r="103" spans="2:13">
      <c r="B103" s="6" t="str">
        <f>IF(C99="Oui, inclut dans ERP HR","",IF(C100="COTS",IF(C99="Oui","Quelle est la version/release de l'application ?","Quelle est la version/release qui sera implémentée ?"),""))</f>
        <v/>
      </c>
      <c r="C103" s="22"/>
      <c r="D103" s="20"/>
      <c r="E103" s="12" t="str">
        <f>IF(TRIM(B103)="","",IF(TRIM(C103)="",0,1))</f>
        <v/>
      </c>
      <c r="G103" s="20"/>
      <c r="H103" s="172"/>
      <c r="I103" s="171"/>
      <c r="J103" s="171"/>
      <c r="K103" s="172"/>
      <c r="L103" s="172"/>
      <c r="M103" s="172"/>
    </row>
    <row r="104" spans="2:13">
      <c r="B104" s="6" t="str">
        <f>IF(C99="Oui, inclut dans ERP HR","",IF(C99="Oui","Quelle est la criticité de cette application ? combien de temps peut-on supporter son indisponibilité (colonne détail) ?","Quelle est la criticité de ce besoin ?"))</f>
        <v>Quelle est la criticité de ce besoin ?</v>
      </c>
      <c r="C104" s="22" t="s">
        <v>781</v>
      </c>
      <c r="D104" s="20"/>
      <c r="E104" s="12">
        <f>IF(TRIM(B104)="","",IF(TRIM(C104)="",0,1))</f>
        <v>1</v>
      </c>
      <c r="F104" s="9"/>
      <c r="G104" s="164"/>
      <c r="H104" s="172"/>
      <c r="I104" s="171"/>
      <c r="J104" s="171"/>
      <c r="K104" s="172"/>
      <c r="L104" s="172"/>
      <c r="M104" s="172"/>
    </row>
    <row r="105" spans="2:13">
      <c r="B105" s="6" t="str">
        <f>IF(C99="Oui, inclut dans ERP HR","",IF(C99="Oui","Quand l’application a-t-elle été implémentée ?",IF(C99="Non mais il est prévu","Quand l’application sera-t-elle implémentée ?","")))</f>
        <v/>
      </c>
      <c r="C105" s="20"/>
      <c r="D105" s="20"/>
      <c r="E105" s="12" t="str">
        <f t="shared" ref="E105:E113" si="19">IF(TRIM(B105)="","",IF(TRIM(C105)="",0,1))</f>
        <v/>
      </c>
      <c r="G105" s="164"/>
      <c r="H105" s="172"/>
      <c r="I105" s="173"/>
      <c r="J105" s="173"/>
      <c r="K105" s="172"/>
      <c r="L105" s="172"/>
      <c r="M105" s="172"/>
    </row>
    <row r="106" spans="2:13">
      <c r="B106" s="6" t="str">
        <f>IF(C99="Oui, inclut dans ERP HR","",IF(AND(C99="Oui",C100="COTS"),"Quel est le niveau de personnalisation de l’Application ?",IF(AND(C99="Non mais il est prévu",C100="COTS"),"Quel est le niveau de personnalisation prévu de l’Application ?","")))</f>
        <v/>
      </c>
      <c r="C106" s="20"/>
      <c r="D106" s="20"/>
      <c r="E106" s="12" t="str">
        <f t="shared" si="19"/>
        <v/>
      </c>
      <c r="G106" s="164"/>
      <c r="H106" s="172"/>
      <c r="I106" s="171"/>
      <c r="J106" s="171"/>
      <c r="K106" s="172"/>
      <c r="L106" s="172"/>
      <c r="M106" s="172"/>
    </row>
    <row r="107" spans="2:13">
      <c r="B107" s="6" t="str">
        <f>IF(C99="Oui, inclut dans ERP HR","",IF(C99="Oui","Est-ce que cette solution dispose d'une interface Mobile ?",IF(C99="Non mais il est prévu","Est-ce que cette solution disposera d'une interface Mobile ?","")))</f>
        <v/>
      </c>
      <c r="C107" s="20"/>
      <c r="D107" s="20"/>
      <c r="E107" s="12" t="str">
        <f t="shared" si="19"/>
        <v/>
      </c>
      <c r="G107" s="164"/>
      <c r="H107" s="172"/>
      <c r="I107" s="173"/>
      <c r="J107" s="173"/>
      <c r="K107" s="172"/>
      <c r="L107" s="172"/>
      <c r="M107" s="172"/>
    </row>
    <row r="108" spans="2:13">
      <c r="B108" s="6" t="str">
        <f>IF(C99="Oui, inclut dans ERP HR","",IF(C99="Oui","Est-ce qu'il est prévu de remplacer cette solution par une autre ? Si oui, veuillez mettre le nom de la nouvelle solution et la période prévue dans la colonne détails",""))</f>
        <v/>
      </c>
      <c r="C108" s="20"/>
      <c r="D108" s="20"/>
      <c r="E108" s="12" t="str">
        <f t="shared" si="19"/>
        <v/>
      </c>
      <c r="G108" s="164"/>
      <c r="H108" s="172"/>
      <c r="I108" s="171"/>
      <c r="J108" s="171"/>
      <c r="K108" s="172"/>
      <c r="L108" s="172"/>
      <c r="M108" s="172"/>
    </row>
    <row r="109" spans="2:13">
      <c r="B109" s="6" t="str">
        <f>IF(C99="Oui, inclut dans ERP HR","",IF(C99="Oui","Y a-t-il des utilisateurs du Groupe sur les activités de la filiale ?",""))</f>
        <v/>
      </c>
      <c r="C109" s="20"/>
      <c r="D109" s="20"/>
      <c r="E109" s="12" t="str">
        <f t="shared" si="19"/>
        <v/>
      </c>
      <c r="G109" s="164"/>
      <c r="H109" s="172"/>
      <c r="I109" s="172"/>
      <c r="J109" s="172"/>
      <c r="K109" s="172"/>
      <c r="L109" s="172"/>
      <c r="M109" s="172"/>
    </row>
    <row r="110" spans="2:13">
      <c r="B110" s="6" t="str">
        <f>IF(C99="Oui, inclut dans ERP HR","",IF(C100="COTS",IF(C99="Oui","Quel est le nombre actuel de licences détenues par la filiale?",IF(C99="Non","","Combien de licences projettez-vous d'acquérir ?")),""))</f>
        <v/>
      </c>
      <c r="C110" s="20"/>
      <c r="D110" s="20"/>
      <c r="E110" s="12" t="str">
        <f t="shared" si="19"/>
        <v/>
      </c>
      <c r="G110" s="20"/>
      <c r="H110" s="172"/>
      <c r="I110" s="172"/>
      <c r="J110" s="172"/>
      <c r="K110" s="172"/>
      <c r="L110" s="172"/>
      <c r="M110" s="172"/>
    </row>
    <row r="111" spans="2:13">
      <c r="B111" s="6" t="str">
        <f>IF(C99="Oui, inclut dans ERP HR","",IF(C100="COTS","Quel type de licences (nominatives/partagées) ?",""))</f>
        <v/>
      </c>
      <c r="C111" s="20"/>
      <c r="D111" s="20"/>
      <c r="E111" s="12" t="str">
        <f t="shared" si="19"/>
        <v/>
      </c>
      <c r="G111" s="20"/>
      <c r="H111" s="172"/>
      <c r="I111" s="172"/>
      <c r="J111" s="172"/>
      <c r="K111" s="172"/>
      <c r="L111" s="172"/>
      <c r="M111" s="172"/>
    </row>
    <row r="112" spans="2:13">
      <c r="B112" s="6" t="str">
        <f>IF(C99="Oui, inclut dans ERP HR","",IF(C100="COTS",IF(C99="Oui","Quel est le coût du support éditeur/partenaire ?",IF(C99&lt;&gt;"Non","Quel sera le coût du support éditeur/partenaire ?","")),""))</f>
        <v/>
      </c>
      <c r="C112" s="20"/>
      <c r="D112" s="20"/>
      <c r="E112" s="12" t="str">
        <f t="shared" si="19"/>
        <v/>
      </c>
      <c r="G112" s="20"/>
      <c r="H112" s="172"/>
      <c r="I112" s="172"/>
      <c r="J112" s="172"/>
      <c r="K112" s="172"/>
      <c r="L112" s="172"/>
      <c r="M112" s="172"/>
    </row>
    <row r="113" spans="2:13">
      <c r="B113" s="6" t="str">
        <f>IF(C99="Oui, inclut dans ERP HR","",IF(C100="COTS",IF(C99="Oui","Le contrat est-il global couvrant plusieurs filiales ou dédié à la filiale ?",IF(C99&lt;&gt;"Non","Projettez-vous une acquisition individuelle ou groupe ?","")),""))</f>
        <v/>
      </c>
      <c r="C113" s="20"/>
      <c r="D113" s="20"/>
      <c r="E113" s="12" t="str">
        <f t="shared" si="19"/>
        <v/>
      </c>
      <c r="G113" s="20"/>
      <c r="H113" s="172"/>
      <c r="I113" s="172"/>
      <c r="J113" s="172"/>
      <c r="K113" s="172"/>
      <c r="L113" s="172"/>
      <c r="M113" s="172"/>
    </row>
    <row r="114" spans="2:13">
      <c r="B114" s="6" t="str">
        <f>IF(C99="Oui, inclut dans ERP HR","",IF(AND(C100="COTS",C99="Oui"),"Le contrat comprend-il un SLA formel ? Cela inclut-il un engagement de performance ?",""))</f>
        <v/>
      </c>
      <c r="C114" s="20"/>
      <c r="D114" s="20"/>
      <c r="E114" s="12" t="str">
        <f>IF(TRIM(B114)="","",IF(TRIM(C114)="",0,1))</f>
        <v/>
      </c>
      <c r="G114" s="20"/>
      <c r="H114" s="172"/>
      <c r="I114" s="173"/>
      <c r="J114" s="173"/>
      <c r="K114" s="172"/>
      <c r="L114" s="172"/>
      <c r="M114" s="172"/>
    </row>
    <row r="115" spans="2:13">
      <c r="B115" s="6" t="str">
        <f>IF(C99="Oui, inclut dans ERP HR","",IF(C99="Oui","Combien de ETP internes sont dédiés aux support (Niveaux 1, 2 et 3) de cette solution ?
Veuillez décrire dans la colonne détail la répartition des principales activités, les compétences et les rôles",IF(C99="Non mais il est prévu","Combien de ETP internes projettez-vous de dédier aux support (Niveaux 1, 2 et 3) de cette solution ?","")))</f>
        <v/>
      </c>
      <c r="C115" s="20"/>
      <c r="D115" s="21"/>
      <c r="E115" s="12" t="str">
        <f t="shared" ref="E115:E116" si="20">IF(TRIM(B115)="","",IF(TRIM(C115)="",0,IF(TRIM(D115)="",0.5,1)))</f>
        <v/>
      </c>
      <c r="G115" s="20"/>
      <c r="H115" s="172"/>
      <c r="I115" s="172"/>
      <c r="J115" s="172"/>
      <c r="K115" s="172"/>
      <c r="L115" s="172"/>
      <c r="M115" s="172"/>
    </row>
    <row r="116" spans="2:13">
      <c r="B116" s="6" t="str">
        <f>IF(C99="Oui, inclut dans ERP HR","",IF(C99="Oui","Combien de ETP internes sont dédiés aux changements opérés sur cette solution (incluant Dev, Config, Mise en prod) ?
Veuillez décrire dans la colonne détail la répartition des principales activités, les compétences et les rôles",IF(C99="Non mais il est prévu","Combien de ETP internes projettez-vous de dédier aux futurs changements sur cette solution (incluant Dev, Config, Mise en prod) ?","")))</f>
        <v/>
      </c>
      <c r="C116" s="20"/>
      <c r="D116" s="21"/>
      <c r="E116" s="12" t="str">
        <f t="shared" si="20"/>
        <v/>
      </c>
      <c r="G116" s="20"/>
      <c r="H116" s="172"/>
      <c r="I116" s="172"/>
      <c r="J116" s="172"/>
      <c r="K116" s="172"/>
      <c r="L116" s="172"/>
      <c r="M116" s="172"/>
    </row>
    <row r="117" spans="2:13">
      <c r="B117" s="6" t="str">
        <f>IF(C99="Oui, inclut dans ERP HR","",IF(C99="Oui","Est-ce qu'il y a un quelconque support sur l'application à partir de l'IT Groupe ?",IF(C99="Non mais il est prévu","Est-ce qu'il y aura un quelconque support sur l'application à partir de l'IT Groupe ?","")))</f>
        <v/>
      </c>
      <c r="C117" s="20"/>
      <c r="D117" s="20"/>
      <c r="E117" s="12" t="str">
        <f t="shared" ref="E117:E120" si="21">IF(TRIM(B117)="","",IF(TRIM(C117)="",0,1))</f>
        <v/>
      </c>
      <c r="G117" s="20"/>
      <c r="H117" s="172"/>
      <c r="I117" s="171"/>
      <c r="J117" s="171"/>
      <c r="K117" s="172"/>
      <c r="L117" s="172"/>
      <c r="M117" s="172"/>
    </row>
    <row r="118" spans="2:13">
      <c r="B118" s="8" t="str">
        <f>IF(C99="Oui, inclut dans ERP HR","",IF(C117="Oui",IF(C99="Oui","Existe-t-il un SLA interne entre Group IT et la filiale ? S'il existe, pouvez-vous le partager",IF(C99="Non mais il est prévu","Si oui, prévoyez-vous un SLA interne entre Group IT et la filiale ?","")),""))</f>
        <v/>
      </c>
      <c r="C118" s="22"/>
      <c r="D118" s="20"/>
      <c r="E118" s="12" t="str">
        <f t="shared" si="21"/>
        <v/>
      </c>
      <c r="G118" s="164"/>
      <c r="H118" s="172"/>
      <c r="I118" s="171"/>
      <c r="J118" s="171"/>
      <c r="K118" s="172"/>
      <c r="L118" s="172"/>
      <c r="M118" s="172"/>
    </row>
    <row r="119" spans="2:13">
      <c r="B119" s="6" t="str">
        <f>IF(C99="Oui, inclut dans ERP HR","",IF(C99="Oui","Sur quels systèmes (versions) cette application s'exécute-t-elle ?",IF(C99="Non mais il est prévu","Sur quels systèmes (versions) cette application sera-t-elle implémentée ?","")))</f>
        <v/>
      </c>
      <c r="C119" s="22"/>
      <c r="D119" s="20"/>
      <c r="E119" s="12" t="str">
        <f t="shared" si="21"/>
        <v/>
      </c>
      <c r="G119" s="164"/>
      <c r="H119" s="172"/>
      <c r="I119" s="172"/>
      <c r="J119" s="172"/>
      <c r="K119" s="172"/>
      <c r="L119" s="172"/>
      <c r="M119" s="172"/>
    </row>
    <row r="120" spans="2:13">
      <c r="B120" s="6" t="str">
        <f>IF(C99="Oui, inclut dans ERP HR","",IF(C99="Oui","Sur quelle base de données cette application tourne-t-elle ?",IF(C99="Non mais il est prévu","Sur quelle base de données cette application tournera-t-elle ?","")))</f>
        <v/>
      </c>
      <c r="C120" s="22"/>
      <c r="D120" s="20"/>
      <c r="E120" s="12" t="str">
        <f t="shared" si="21"/>
        <v/>
      </c>
      <c r="G120" s="164"/>
      <c r="H120" s="172"/>
      <c r="I120" s="172"/>
      <c r="J120" s="172"/>
      <c r="K120" s="172"/>
      <c r="L120" s="172"/>
      <c r="M120" s="172"/>
    </row>
    <row r="121" spans="2:13" ht="15" thickBot="1">
      <c r="B121" s="6" t="str">
        <f>IF(C99="Oui, inclut dans ERP HR","",IF(C99="Oui","Quelles sont les interfaces existantes de cette application ? Veuillez décrire et partager tout document d'architecture",IF(C99="Non mais il est prévu","Quelles sont les interfaces prévues ? Veuillez décrire et partager tout document d'architecture cible","")))</f>
        <v/>
      </c>
      <c r="C121" s="22"/>
      <c r="D121" s="20"/>
      <c r="E121" s="12" t="str">
        <f t="shared" ref="E121" si="22">IF(TRIM(B121)="","",IF(TRIM(C121)="",0,IF(TRIM(D121)="",0.5,1)))</f>
        <v/>
      </c>
      <c r="F121" s="94"/>
      <c r="G121" s="164"/>
      <c r="H121" s="172"/>
      <c r="I121" s="172"/>
      <c r="J121" s="172"/>
      <c r="K121" s="172"/>
      <c r="L121" s="172"/>
      <c r="M121" s="172"/>
    </row>
    <row r="122" spans="2:13" ht="15.75">
      <c r="B122" s="87" t="s">
        <v>946</v>
      </c>
      <c r="C122" s="84" t="s">
        <v>54</v>
      </c>
      <c r="D122" s="85"/>
      <c r="E122" s="12">
        <f>IF(TRIM(B122)="","",IF(TRIM(C122)="",0,1))</f>
        <v>1</v>
      </c>
      <c r="F122" s="12">
        <f>IF(C122="Oui",1,0)</f>
        <v>0</v>
      </c>
      <c r="G122" s="164"/>
      <c r="H122" s="183"/>
      <c r="I122" s="171"/>
      <c r="J122" s="171"/>
      <c r="K122" s="172"/>
      <c r="L122" s="172"/>
      <c r="M122" s="172"/>
    </row>
    <row r="123" spans="2:13">
      <c r="B123" s="6" t="str">
        <f>IF(C122="Oui","COTS ou Développement interne? (Commercial Off-The-Shelf solution)",IF(C122="Non mais il est prévu","Vous prévoyez quel type de solution?: COTS ou Développement interne? (Commercial Off-The-Shelf solution)",""))</f>
        <v/>
      </c>
      <c r="C123" s="20" t="s">
        <v>867</v>
      </c>
      <c r="D123" s="21"/>
      <c r="E123" s="12" t="str">
        <f>IF(TRIM(B123)="","",IF(TRIM(C123)="",0,1))</f>
        <v/>
      </c>
      <c r="G123" s="164" t="s">
        <v>54</v>
      </c>
      <c r="H123" s="172"/>
      <c r="I123" s="171"/>
      <c r="J123" s="171"/>
      <c r="K123" s="172"/>
      <c r="L123" s="172"/>
      <c r="M123" s="172"/>
    </row>
    <row r="124" spans="2:13">
      <c r="B124" s="6" t="str">
        <f>IF(C123="COTS","Nom de l'éditeur et de la solution","")</f>
        <v/>
      </c>
      <c r="C124" s="20"/>
      <c r="D124" s="20"/>
      <c r="E124" s="12" t="str">
        <f t="shared" ref="E124" si="23">IF(TRIM(B124)="","",IF(TRIM(C124)="",0,1))</f>
        <v/>
      </c>
      <c r="G124" s="20"/>
      <c r="H124" s="172"/>
      <c r="I124" s="171"/>
      <c r="J124" s="171"/>
      <c r="K124" s="172"/>
      <c r="L124" s="172"/>
      <c r="M124" s="172"/>
    </row>
    <row r="125" spans="2:13">
      <c r="B125" s="6" t="str">
        <f>IF(C123="COTS",IF(C122="Oui","L'application est-elle installée sur site ou utilisée sur le Cloud (SaaS) ?","La nouvelle solution sera-t-elle installée sur site ou utilisée sur le Cloud (SaaS) ?"),"")</f>
        <v/>
      </c>
      <c r="C125" s="20"/>
      <c r="D125" s="20"/>
      <c r="E125" s="12" t="str">
        <f>IF(TRIM(B125)="","",IF(TRIM(C125)="",0,1))</f>
        <v/>
      </c>
      <c r="G125" s="20"/>
      <c r="H125" s="172"/>
      <c r="I125" s="171"/>
      <c r="J125" s="171"/>
      <c r="K125" s="172"/>
      <c r="L125" s="172"/>
      <c r="M125" s="172"/>
    </row>
    <row r="126" spans="2:13">
      <c r="B126" s="6" t="str">
        <f>IF(C123="COTS",IF(C122="Oui","Quelle est la version/release de l'application ?","Quelle est la version/release qui sera implémentée ?"),"")</f>
        <v/>
      </c>
      <c r="C126" s="22"/>
      <c r="D126" s="20"/>
      <c r="E126" s="12" t="str">
        <f>IF(TRIM(B126)="","",IF(TRIM(C126)="",0,1))</f>
        <v/>
      </c>
      <c r="G126" s="20"/>
      <c r="H126" s="172"/>
      <c r="I126" s="171"/>
      <c r="J126" s="171"/>
      <c r="K126" s="172"/>
      <c r="L126" s="172"/>
      <c r="M126" s="172"/>
    </row>
    <row r="127" spans="2:13">
      <c r="B127" s="7" t="str">
        <f>IF(C122="Oui","Quelle est la criticité de cette application ? combien de temps peut-on supporter son indisponibilité (colonne détail) ?","Quelle est la criticité de ce besoin ?")</f>
        <v>Quelle est la criticité de ce besoin ?</v>
      </c>
      <c r="C127" s="20" t="s">
        <v>781</v>
      </c>
      <c r="D127" s="21"/>
      <c r="E127" s="12">
        <f>IF(TRIM(B127)="","",IF(TRIM(C127)="",0,1))</f>
        <v>1</v>
      </c>
      <c r="F127" s="9"/>
      <c r="G127" s="164" t="s">
        <v>54</v>
      </c>
      <c r="H127" s="172"/>
      <c r="I127" s="171"/>
      <c r="J127" s="171"/>
      <c r="K127" s="172"/>
      <c r="L127" s="172"/>
      <c r="M127" s="172"/>
    </row>
    <row r="128" spans="2:13">
      <c r="B128" s="6" t="str">
        <f>IF(C122="Oui","Quand l’application a-t-elle été implémentée ?",IF(C122="Non mais il est prévu","Quand l’application sera-t-elle implémentée ?",""))</f>
        <v/>
      </c>
      <c r="C128" s="20"/>
      <c r="D128" s="20"/>
      <c r="E128" s="12" t="str">
        <f t="shared" ref="E128:E136" si="24">IF(TRIM(B128)="","",IF(TRIM(C128)="",0,1))</f>
        <v/>
      </c>
      <c r="G128" s="20"/>
      <c r="H128" s="172"/>
      <c r="I128" s="173"/>
      <c r="J128" s="173"/>
      <c r="K128" s="172"/>
      <c r="L128" s="172"/>
      <c r="M128" s="172"/>
    </row>
    <row r="129" spans="2:13">
      <c r="B129" s="6" t="str">
        <f>IF(AND(C122="Oui",C123="COTS"),"Quel est le niveau de personnalisation de l’Application ?",IF(AND(C122="Non mais il est prévu",C123="COTS"),"Quel est le niveau de personnalisation prévu de l’Application ?",""))</f>
        <v/>
      </c>
      <c r="C129" s="20"/>
      <c r="D129" s="20"/>
      <c r="E129" s="12" t="str">
        <f t="shared" si="24"/>
        <v/>
      </c>
      <c r="G129" s="164"/>
      <c r="H129" s="172"/>
      <c r="I129" s="171"/>
      <c r="J129" s="171"/>
      <c r="K129" s="172"/>
      <c r="L129" s="172"/>
      <c r="M129" s="172"/>
    </row>
    <row r="130" spans="2:13">
      <c r="B130" s="6" t="str">
        <f>IF(C122="Oui","Est-ce que cette solution dispose d'une interface Mobile ?",IF(C122="Non mais il est prévu","Est-ce que cette solution disposera d'une interface Mobile ?",""))</f>
        <v/>
      </c>
      <c r="C130" s="20"/>
      <c r="D130" s="20"/>
      <c r="E130" s="12" t="str">
        <f t="shared" si="24"/>
        <v/>
      </c>
      <c r="G130" s="164"/>
      <c r="H130" s="172"/>
      <c r="I130" s="171"/>
      <c r="J130" s="171"/>
      <c r="K130" s="172"/>
      <c r="L130" s="172"/>
      <c r="M130" s="172"/>
    </row>
    <row r="131" spans="2:13">
      <c r="B131" s="6" t="str">
        <f>IF(C122="Oui","Est-ce qu'il est prévu de remplacer cette solution par une autre ? Si oui, veuillez mettre le nom de la nouvelle solution et la période prévue dans la colonne détails","")</f>
        <v/>
      </c>
      <c r="C131" s="20"/>
      <c r="D131" s="20"/>
      <c r="E131" s="12" t="str">
        <f t="shared" si="24"/>
        <v/>
      </c>
      <c r="G131" s="164"/>
      <c r="H131" s="172"/>
      <c r="I131" s="171"/>
      <c r="J131" s="171"/>
      <c r="K131" s="172"/>
      <c r="L131" s="172"/>
      <c r="M131" s="172"/>
    </row>
    <row r="132" spans="2:13">
      <c r="B132" s="6" t="str">
        <f>IF(C122="Oui","Y a-t-il des utilisateurs du Groupe sur les activités de la filiale ?","")</f>
        <v/>
      </c>
      <c r="C132" s="20"/>
      <c r="D132" s="20"/>
      <c r="E132" s="12" t="str">
        <f t="shared" si="24"/>
        <v/>
      </c>
      <c r="G132" s="164"/>
      <c r="H132" s="172"/>
      <c r="I132" s="172"/>
      <c r="J132" s="172"/>
      <c r="K132" s="172"/>
      <c r="L132" s="172"/>
      <c r="M132" s="172"/>
    </row>
    <row r="133" spans="2:13">
      <c r="B133" s="6" t="str">
        <f>IF(C123="COTS",IF(C122="Oui","Quel est le nombre actuel de licences détenues par la filiale?",IF(C122="Non","","Combien de licences projettez-vous d'acquérir ?")),"")</f>
        <v/>
      </c>
      <c r="C133" s="20"/>
      <c r="D133" s="20"/>
      <c r="E133" s="12" t="str">
        <f t="shared" si="24"/>
        <v/>
      </c>
      <c r="G133" s="20"/>
      <c r="H133" s="172"/>
      <c r="I133" s="172"/>
      <c r="J133" s="172"/>
      <c r="K133" s="172"/>
      <c r="L133" s="172"/>
      <c r="M133" s="172"/>
    </row>
    <row r="134" spans="2:13">
      <c r="B134" s="6" t="str">
        <f>IF(C123="COTS","Quel type de licences (nominatives/partagées) ?","")</f>
        <v/>
      </c>
      <c r="C134" s="20"/>
      <c r="D134" s="20"/>
      <c r="E134" s="12" t="str">
        <f t="shared" si="24"/>
        <v/>
      </c>
      <c r="G134" s="20"/>
      <c r="H134" s="172"/>
      <c r="I134" s="172"/>
      <c r="J134" s="172"/>
      <c r="K134" s="172"/>
      <c r="L134" s="172"/>
      <c r="M134" s="172"/>
    </row>
    <row r="135" spans="2:13">
      <c r="B135" s="6" t="str">
        <f>IF(C123="COTS",IF(C122="Oui","Quel est le coût du support éditeur/partenaire ?",IF(C122&lt;&gt;"Non","Quel sera le coût du support éditeur/partenaire ?","")),"")</f>
        <v/>
      </c>
      <c r="C135" s="20"/>
      <c r="D135" s="20"/>
      <c r="E135" s="12" t="str">
        <f t="shared" si="24"/>
        <v/>
      </c>
      <c r="G135" s="20"/>
      <c r="H135" s="172"/>
      <c r="I135" s="172"/>
      <c r="J135" s="172"/>
      <c r="K135" s="172"/>
      <c r="L135" s="172"/>
      <c r="M135" s="172"/>
    </row>
    <row r="136" spans="2:13">
      <c r="B136" s="6" t="str">
        <f>IF(C123="COTS",IF(C122="Oui","Le contrat est-il global couvrant plusieurs filiales ou dédié à la filiale ?",IF(C122&lt;&gt;"Non","Projettez-vous une acquisition individuelle ou groupe ?","")),"")</f>
        <v/>
      </c>
      <c r="C136" s="20"/>
      <c r="D136" s="20"/>
      <c r="E136" s="12" t="str">
        <f t="shared" si="24"/>
        <v/>
      </c>
      <c r="G136" s="20"/>
      <c r="H136" s="172"/>
      <c r="I136" s="172"/>
      <c r="J136" s="172"/>
      <c r="K136" s="172"/>
      <c r="L136" s="172"/>
      <c r="M136" s="172"/>
    </row>
    <row r="137" spans="2:13">
      <c r="B137" s="6" t="str">
        <f>IF(AND(C123="COTS",C122="Oui"),"Le contrat comprend-il un SLA formel ? Cela inclut-il un engagement de performance ?","")</f>
        <v/>
      </c>
      <c r="C137" s="20"/>
      <c r="D137" s="20"/>
      <c r="E137" s="12" t="str">
        <f>IF(TRIM(B137)="","",IF(TRIM(C137)="",0,1))</f>
        <v/>
      </c>
      <c r="G137" s="20"/>
      <c r="H137" s="172"/>
      <c r="I137" s="173"/>
      <c r="J137" s="173"/>
      <c r="K137" s="171"/>
      <c r="L137" s="172"/>
      <c r="M137" s="172"/>
    </row>
    <row r="138" spans="2:13">
      <c r="B138" s="6" t="str">
        <f>IF(C122="Oui","Combien de ETP internes sont dédiés aux support (Niveaux 1, 2 et 3) de cette solution ?
Veuillez décrire dans la colonne détail la répartition des principales activités, les compétences et les rôles",IF(C122 = "Non mais il est prévu","Combien de ETP internes projettez-vous de dédier aux support (Niveaux 1, 2 et 3) de cette solution ?",""))</f>
        <v/>
      </c>
      <c r="C138" s="20"/>
      <c r="D138" s="21"/>
      <c r="E138" s="12" t="str">
        <f t="shared" ref="E138:E139" si="25">IF(TRIM(B138)="","",IF(TRIM(C138)="",0,IF(TRIM(D138)="",0.5,1)))</f>
        <v/>
      </c>
      <c r="G138" s="164"/>
      <c r="H138" s="172"/>
      <c r="I138" s="172"/>
      <c r="J138" s="172"/>
      <c r="K138" s="172"/>
      <c r="L138" s="172"/>
      <c r="M138" s="172"/>
    </row>
    <row r="139" spans="2:13">
      <c r="B139" s="6" t="str">
        <f>IF(C122="Oui","Combien de ETP internes sont dédiés aux changements opérés sur cette solution (incluant Dev, Config, Mise en prod) ?
Veuillez décrire dans la colonne détail la répartition des principales activités, les compétences et les rôles",IF(C122="Non mais il est prévu","Combien de ETP internes projettez-vous de dédier aux futurs changements sur cette solution (incluant Dev, Config, Mise en prod) ?",""))</f>
        <v/>
      </c>
      <c r="C139" s="20"/>
      <c r="D139" s="21"/>
      <c r="E139" s="12" t="str">
        <f t="shared" si="25"/>
        <v/>
      </c>
      <c r="G139" s="164"/>
      <c r="H139" s="172"/>
      <c r="I139" s="172"/>
      <c r="J139" s="172"/>
      <c r="K139" s="172"/>
      <c r="L139" s="172"/>
      <c r="M139" s="172"/>
    </row>
    <row r="140" spans="2:13">
      <c r="B140" s="6" t="str">
        <f>IF(C122="Oui","Est-ce qu'il y a un quelconque support sur l'application à partir de l'IT Groupe ?",IF(C122="Non mais il est prévu","Est-ce qu'il y aura un quelconque support sur l'application à partir de l'IT Groupe ?",""))</f>
        <v/>
      </c>
      <c r="C140" s="20"/>
      <c r="D140" s="20"/>
      <c r="E140" s="12" t="str">
        <f t="shared" ref="E140:E143" si="26">IF(TRIM(B140)="","",IF(TRIM(C140)="",0,1))</f>
        <v/>
      </c>
      <c r="G140" s="20"/>
      <c r="H140" s="172"/>
      <c r="I140" s="171"/>
      <c r="J140" s="171"/>
      <c r="K140" s="172"/>
      <c r="L140" s="172"/>
      <c r="M140" s="172"/>
    </row>
    <row r="141" spans="2:13">
      <c r="B141" s="8" t="str">
        <f>IF(C140="Oui",IF(C122="Oui","Existe-t-il un SLA interne entre Group IT et la filiale ? S'il existe, pouvez-vous le partager",IF(C122&lt;&gt;"Non","Si oui, prévoyez-vous un SLA interne entre Group IT et la filiale ?","")),"")</f>
        <v/>
      </c>
      <c r="C141" s="22"/>
      <c r="D141" s="20"/>
      <c r="E141" s="12" t="str">
        <f t="shared" si="26"/>
        <v/>
      </c>
      <c r="G141" s="164"/>
      <c r="H141" s="172"/>
      <c r="I141" s="171"/>
      <c r="J141" s="171"/>
      <c r="K141" s="172"/>
      <c r="L141" s="172"/>
      <c r="M141" s="172"/>
    </row>
    <row r="142" spans="2:13">
      <c r="B142" s="6" t="str">
        <f>IF(C122="Oui","Sur quels systèmes (versions) cette application s'exécute-t-elle ?",IF(C122="Non mais il est prévu","Sur quels systèmes (versions) cette application sera-t-elle implémentée ?",""))</f>
        <v/>
      </c>
      <c r="C142" s="22"/>
      <c r="D142" s="20"/>
      <c r="E142" s="12" t="str">
        <f t="shared" si="26"/>
        <v/>
      </c>
      <c r="G142" s="164"/>
      <c r="H142" s="172"/>
      <c r="I142" s="172"/>
      <c r="J142" s="172"/>
      <c r="K142" s="172"/>
      <c r="L142" s="172"/>
      <c r="M142" s="172"/>
    </row>
    <row r="143" spans="2:13">
      <c r="B143" s="6" t="str">
        <f>IF(C122="Oui","Sur quelle base de données cette application tourne-t-elle ?",IF(C122="Non mais il est prévu","Sur quelle base de données cette application tournera-t-elle ?",""))</f>
        <v/>
      </c>
      <c r="C143" s="22"/>
      <c r="D143" s="20"/>
      <c r="E143" s="12" t="str">
        <f t="shared" si="26"/>
        <v/>
      </c>
      <c r="G143" s="164"/>
      <c r="H143" s="172"/>
      <c r="I143" s="172"/>
      <c r="J143" s="172"/>
      <c r="K143" s="172"/>
      <c r="L143" s="172"/>
      <c r="M143" s="172"/>
    </row>
    <row r="144" spans="2:13" ht="15" thickBot="1">
      <c r="B144" s="78" t="str">
        <f>IF(C122="Oui","Quelles sont les interfaces existantes de cette application ? Veuillez décrire et partager tout document d'architecture",IF(C122="Non mais il est prévu","Quelles sont les interfaces prévues ? Veuillez décrire et partager tout document d'architecture cible",""))</f>
        <v/>
      </c>
      <c r="C144" s="82"/>
      <c r="D144" s="83" t="s">
        <v>60</v>
      </c>
      <c r="E144" s="12" t="str">
        <f t="shared" ref="E144" si="27">IF(TRIM(B144)="","",IF(TRIM(C144)="",0,IF(TRIM(D144)="",0.5,1)))</f>
        <v/>
      </c>
      <c r="F144" s="94"/>
      <c r="G144" s="164"/>
      <c r="H144" s="172"/>
      <c r="I144" s="172"/>
      <c r="J144" s="172"/>
      <c r="K144" s="172"/>
      <c r="L144" s="172"/>
      <c r="M144" s="172"/>
    </row>
    <row r="145" spans="2:13" ht="15.75">
      <c r="B145" s="87" t="s">
        <v>947</v>
      </c>
      <c r="C145" s="84" t="s">
        <v>54</v>
      </c>
      <c r="D145" s="85" t="s">
        <v>60</v>
      </c>
      <c r="E145" s="12">
        <f>IF(TRIM(B145)="","",IF(TRIM(C145)="",0,1))</f>
        <v>1</v>
      </c>
      <c r="F145" s="12">
        <f>IF(C145="Oui",1,0)</f>
        <v>0</v>
      </c>
      <c r="G145" s="164"/>
      <c r="H145" s="183"/>
      <c r="I145" s="171"/>
      <c r="J145" s="171"/>
      <c r="K145" s="172"/>
      <c r="L145" s="172"/>
      <c r="M145" s="172"/>
    </row>
    <row r="146" spans="2:13">
      <c r="B146" s="6" t="str">
        <f>IF(C145="Oui","COTS ou Développement interne? (Commercial Off-The-Shelf solution)",IF(C145="Non mais il est prévu","Vous prévoyez quel type de solution?: COTS ou Développement interne? (Commercial Off-The-Shelf solution)",""))</f>
        <v/>
      </c>
      <c r="C146" s="20" t="s">
        <v>867</v>
      </c>
      <c r="D146" s="21"/>
      <c r="E146" s="12" t="str">
        <f>IF(TRIM(B146)="","",IF(TRIM(C146)="",0,1))</f>
        <v/>
      </c>
      <c r="G146" s="164" t="s">
        <v>54</v>
      </c>
      <c r="H146" s="172"/>
      <c r="I146" s="171"/>
      <c r="J146" s="171"/>
      <c r="K146" s="172"/>
      <c r="L146" s="172"/>
      <c r="M146" s="172"/>
    </row>
    <row r="147" spans="2:13">
      <c r="B147" s="6" t="str">
        <f>IF(C146="COTS","Nom de l'éditeur et de la solution","")</f>
        <v/>
      </c>
      <c r="C147" s="20"/>
      <c r="D147" s="20"/>
      <c r="E147" s="12" t="str">
        <f t="shared" ref="E147" si="28">IF(TRIM(B147)="","",IF(TRIM(C147)="",0,1))</f>
        <v/>
      </c>
      <c r="G147" s="164"/>
      <c r="H147" s="172"/>
      <c r="I147" s="171"/>
      <c r="J147" s="171"/>
      <c r="K147" s="172"/>
      <c r="L147" s="172"/>
      <c r="M147" s="172"/>
    </row>
    <row r="148" spans="2:13">
      <c r="B148" s="6" t="str">
        <f>IF(C146="COTS",IF(C145="Oui","L'application est-elle installée sur site ou utilisée sur le Cloud (SaaS) ?","La nouvelle solution sera-t-elle installée sur site ou utilisée sur le Cloud (SaaS) ?"),"")</f>
        <v/>
      </c>
      <c r="C148" s="20"/>
      <c r="D148" s="20"/>
      <c r="E148" s="12" t="str">
        <f>IF(TRIM(B148)="","",IF(TRIM(C148)="",0,1))</f>
        <v/>
      </c>
      <c r="G148" s="164"/>
      <c r="H148" s="172"/>
      <c r="I148" s="171"/>
      <c r="J148" s="171"/>
      <c r="K148" s="172"/>
      <c r="L148" s="172"/>
      <c r="M148" s="172"/>
    </row>
    <row r="149" spans="2:13">
      <c r="B149" s="6" t="str">
        <f>IF(C146="COTS",IF(C145="Oui","Quelle est la version/release de l'application ?","Quelle est la version/release qui sera implémentée ?"),"")</f>
        <v/>
      </c>
      <c r="C149" s="22"/>
      <c r="D149" s="20"/>
      <c r="E149" s="12" t="str">
        <f>IF(TRIM(B149)="","",IF(TRIM(C149)="",0,1))</f>
        <v/>
      </c>
      <c r="G149" s="164"/>
      <c r="H149" s="172"/>
      <c r="I149" s="171"/>
      <c r="J149" s="171"/>
      <c r="K149" s="172"/>
      <c r="L149" s="172"/>
      <c r="M149" s="172"/>
    </row>
    <row r="150" spans="2:13">
      <c r="B150" s="7" t="str">
        <f>IF(C145="Oui","Quelle est la criticité de cette application ? combien de temps peut-on supporter son indisponibilité (colonne détail) ?","Quelle est la criticité de ce besoin ?")</f>
        <v>Quelle est la criticité de ce besoin ?</v>
      </c>
      <c r="C150" s="20" t="s">
        <v>619</v>
      </c>
      <c r="D150" s="21"/>
      <c r="E150" s="12">
        <f>IF(TRIM(B150)="","",IF(TRIM(C150)="",0,1))</f>
        <v>1</v>
      </c>
      <c r="F150" s="9"/>
      <c r="G150" s="164" t="s">
        <v>54</v>
      </c>
      <c r="H150" s="172"/>
      <c r="I150" s="171"/>
      <c r="J150" s="171"/>
      <c r="K150" s="172"/>
      <c r="L150" s="172"/>
      <c r="M150" s="172"/>
    </row>
    <row r="151" spans="2:13">
      <c r="B151" s="6" t="str">
        <f>IF(C145="Oui","Quand l’application a-t-elle été implémentée ?",IF(C145="Non mais il est prévu","Quand l’application sera-t-elle implémentée ?",""))</f>
        <v/>
      </c>
      <c r="C151" s="20"/>
      <c r="D151" s="20"/>
      <c r="E151" s="12" t="str">
        <f t="shared" ref="E151:E159" si="29">IF(TRIM(B151)="","",IF(TRIM(C151)="",0,1))</f>
        <v/>
      </c>
      <c r="G151" s="164"/>
      <c r="H151" s="172"/>
      <c r="I151" s="171"/>
      <c r="J151" s="171"/>
      <c r="K151" s="172"/>
      <c r="L151" s="172"/>
      <c r="M151" s="172"/>
    </row>
    <row r="152" spans="2:13">
      <c r="B152" s="6" t="str">
        <f>IF(AND(C145="Oui",C146="COTS"),"Quel est le niveau de personnalisation de l’Application ?",IF(AND(C145="Non mais il est prévu",C146="COTS"),"Quel est le niveau de personnalisation prévu de l’Application ?",""))</f>
        <v/>
      </c>
      <c r="C152" s="20"/>
      <c r="D152" s="20"/>
      <c r="E152" s="12" t="str">
        <f t="shared" si="29"/>
        <v/>
      </c>
      <c r="G152" s="164"/>
      <c r="H152" s="172"/>
      <c r="I152" s="171"/>
      <c r="J152" s="171"/>
      <c r="K152" s="172"/>
      <c r="L152" s="172"/>
      <c r="M152" s="172"/>
    </row>
    <row r="153" spans="2:13">
      <c r="B153" s="6" t="str">
        <f>IF(C145="Oui","Est-ce que cette solution dispose d'une interface Mobile ?",IF(C145="Non mais il est prévu","Est-ce que cette solution disposera d'une interface Mobile ?",""))</f>
        <v/>
      </c>
      <c r="C153" s="20"/>
      <c r="D153" s="20"/>
      <c r="E153" s="12" t="str">
        <f t="shared" si="29"/>
        <v/>
      </c>
      <c r="G153" s="164"/>
      <c r="H153" s="172"/>
      <c r="I153" s="171"/>
      <c r="J153" s="171"/>
      <c r="K153" s="172"/>
      <c r="L153" s="172"/>
      <c r="M153" s="172"/>
    </row>
    <row r="154" spans="2:13">
      <c r="B154" s="6" t="str">
        <f>IF(C145="Oui","Est-ce qu'il est prévu de remplacer cette solution par une autre ? Si oui, veuillez mettre le nom de la nouvelle solution et la période prévue dans la colonne détails","")</f>
        <v/>
      </c>
      <c r="C154" s="20"/>
      <c r="D154" s="20"/>
      <c r="E154" s="12" t="str">
        <f t="shared" si="29"/>
        <v/>
      </c>
      <c r="G154" s="164"/>
      <c r="H154" s="172"/>
      <c r="I154" s="171"/>
      <c r="J154" s="171"/>
      <c r="K154" s="172"/>
      <c r="L154" s="172"/>
      <c r="M154" s="172"/>
    </row>
    <row r="155" spans="2:13">
      <c r="B155" s="6" t="str">
        <f>IF(C145="Oui","Y a-t-il des utilisateurs du Groupe sur les activités de la filiale ?","")</f>
        <v/>
      </c>
      <c r="C155" s="20"/>
      <c r="D155" s="20"/>
      <c r="E155" s="12" t="str">
        <f t="shared" si="29"/>
        <v/>
      </c>
      <c r="G155" s="164"/>
      <c r="H155" s="172"/>
      <c r="I155" s="172"/>
      <c r="J155" s="172"/>
      <c r="K155" s="172"/>
      <c r="L155" s="172"/>
      <c r="M155" s="172"/>
    </row>
    <row r="156" spans="2:13">
      <c r="B156" s="6" t="str">
        <f>IF(C146="COTS",IF(C145="Oui","Quel est le nombre actuel de licences détenues par la filiale?",IF(C145="Non","","Combien de licences projettez-vous d'acquérir ?")),"")</f>
        <v/>
      </c>
      <c r="C156" s="20"/>
      <c r="D156" s="20"/>
      <c r="E156" s="12" t="str">
        <f t="shared" si="29"/>
        <v/>
      </c>
      <c r="G156" s="164"/>
      <c r="H156" s="172"/>
      <c r="I156" s="172"/>
      <c r="J156" s="172"/>
      <c r="K156" s="172"/>
      <c r="L156" s="172"/>
      <c r="M156" s="172"/>
    </row>
    <row r="157" spans="2:13">
      <c r="B157" s="6" t="str">
        <f>IF(C146="COTS","Quel type de licences (nominatives/partagées) ?","")</f>
        <v/>
      </c>
      <c r="C157" s="20"/>
      <c r="D157" s="20"/>
      <c r="E157" s="12" t="str">
        <f t="shared" si="29"/>
        <v/>
      </c>
      <c r="G157" s="164"/>
      <c r="H157" s="172"/>
      <c r="I157" s="172"/>
      <c r="J157" s="172"/>
      <c r="K157" s="172"/>
      <c r="L157" s="172"/>
      <c r="M157" s="172"/>
    </row>
    <row r="158" spans="2:13">
      <c r="B158" s="6" t="str">
        <f>IF(C146="COTS",IF(C145="Oui","Quel est le coût du support éditeur/partenaire ?",IF(C145&lt;&gt;"Non","Quel sera le coût du support éditeur/partenaire ?","")),"")</f>
        <v/>
      </c>
      <c r="C158" s="20"/>
      <c r="D158" s="20"/>
      <c r="E158" s="12" t="str">
        <f t="shared" si="29"/>
        <v/>
      </c>
      <c r="G158" s="164"/>
      <c r="H158" s="172"/>
      <c r="I158" s="172"/>
      <c r="J158" s="172"/>
      <c r="K158" s="172"/>
      <c r="L158" s="172"/>
      <c r="M158" s="172"/>
    </row>
    <row r="159" spans="2:13">
      <c r="B159" s="6" t="str">
        <f>IF(C146="COTS",IF(C145="Oui","Le contrat est-il global couvrant plusieurs filiales ou dédié à la filiale ?",IF(C145&lt;&gt;"Non","Projettez-vous une acquisition individuelle ou groupe ?","")),"")</f>
        <v/>
      </c>
      <c r="C159" s="20"/>
      <c r="D159" s="20"/>
      <c r="E159" s="12" t="str">
        <f t="shared" si="29"/>
        <v/>
      </c>
      <c r="G159" s="164"/>
      <c r="H159" s="172"/>
      <c r="I159" s="172"/>
      <c r="J159" s="172"/>
      <c r="K159" s="172"/>
      <c r="L159" s="172"/>
      <c r="M159" s="172"/>
    </row>
    <row r="160" spans="2:13">
      <c r="B160" s="6" t="str">
        <f>IF(AND(C146="COTS",C145="Oui"),"Le contrat comprend-il un SLA formel ? Cela inclut-il un engagement de performance ?","")</f>
        <v/>
      </c>
      <c r="C160" s="20"/>
      <c r="D160" s="20"/>
      <c r="E160" s="12" t="str">
        <f>IF(TRIM(B160)="","",IF(TRIM(C160)="",0,1))</f>
        <v/>
      </c>
      <c r="G160" s="164"/>
      <c r="H160" s="172"/>
      <c r="I160" s="172"/>
      <c r="J160" s="172"/>
      <c r="K160" s="172"/>
      <c r="L160" s="172"/>
      <c r="M160" s="172"/>
    </row>
    <row r="161" spans="2:13">
      <c r="B161" s="6" t="str">
        <f>IF(C145="Oui","Combien de ETP internes sont dédiés aux support (Niveaux 1, 2 et 3) de cette solution ?
Veuillez décrire dans la colonne détail la répartition des principales activités, les compétences et les rôles",IF(C145 = "Non mais il est prévu","Combien de ETP internes projettez-vous de dédier aux support (Niveaux 1, 2 et 3) de cette solution ?",""))</f>
        <v/>
      </c>
      <c r="C161" s="20"/>
      <c r="D161" s="21"/>
      <c r="E161" s="12" t="str">
        <f t="shared" ref="E161:E162" si="30">IF(TRIM(B161)="","",IF(TRIM(C161)="",0,IF(TRIM(D161)="",0.5,1)))</f>
        <v/>
      </c>
      <c r="G161" s="164"/>
      <c r="H161" s="172"/>
      <c r="I161" s="172"/>
      <c r="J161" s="172"/>
      <c r="K161" s="172"/>
      <c r="L161" s="172"/>
      <c r="M161" s="172"/>
    </row>
    <row r="162" spans="2:13">
      <c r="B162" s="6" t="str">
        <f>IF(C145="Oui","Combien de ETP internes sont dédiés aux changements opérés sur cette solution (incluant Dev, Config, Mise en prod) ?
Veuillez décrire dans la colonne détail la répartition des principales activités, les compétences et les rôles",IF(C145="Non mais il est prévu","Combien de ETP internes projettez-vous de dédier aux futurs changements sur cette solution (incluant Dev, Config, Mise en prod) ?",""))</f>
        <v/>
      </c>
      <c r="C162" s="20"/>
      <c r="D162" s="21"/>
      <c r="E162" s="12" t="str">
        <f t="shared" si="30"/>
        <v/>
      </c>
      <c r="G162" s="164"/>
      <c r="H162" s="172"/>
      <c r="I162" s="172"/>
      <c r="J162" s="172"/>
      <c r="K162" s="172"/>
      <c r="L162" s="172"/>
      <c r="M162" s="172"/>
    </row>
    <row r="163" spans="2:13">
      <c r="B163" s="6" t="str">
        <f>IF(C145="Oui","Est-ce qu'il y a un quelconque support sur l'application à partir de l'IT Groupe ?",IF(C145="Non mais il est prévu","Est-ce qu'il y aura un quelconque support sur l'application à partir de l'IT Groupe ?",""))</f>
        <v/>
      </c>
      <c r="C163" s="20"/>
      <c r="D163" s="20"/>
      <c r="E163" s="12" t="str">
        <f t="shared" ref="E163:E166" si="31">IF(TRIM(B163)="","",IF(TRIM(C163)="",0,1))</f>
        <v/>
      </c>
      <c r="G163" s="164"/>
      <c r="H163" s="172"/>
      <c r="I163" s="171"/>
      <c r="J163" s="171"/>
      <c r="K163" s="172"/>
      <c r="L163" s="172"/>
      <c r="M163" s="172"/>
    </row>
    <row r="164" spans="2:13">
      <c r="B164" s="8" t="str">
        <f>IF(C163="Oui",IF(C145="Oui","Existe-t-il un SLA interne entre Group IT et la filiale ? S'il existe, pouvez-vous le partager",IF(C145&lt;&gt;"Non","Si oui, prévoyez-vous un SLA interne entre Group IT et la filiale ?","")),"")</f>
        <v/>
      </c>
      <c r="C164" s="22"/>
      <c r="D164" s="20"/>
      <c r="E164" s="12" t="str">
        <f t="shared" si="31"/>
        <v/>
      </c>
      <c r="G164" s="20"/>
      <c r="H164" s="172"/>
      <c r="I164" s="171"/>
      <c r="J164" s="171"/>
      <c r="K164" s="172"/>
      <c r="L164" s="172"/>
      <c r="M164" s="172"/>
    </row>
    <row r="165" spans="2:13">
      <c r="B165" s="6" t="str">
        <f>IF(C145="Oui","Sur quels systèmes (versions) cette application s'exécute-t-elle ?",IF(C145="Non mais il est prévu","Sur quels systèmes (versions) cette application sera-t-elle implémentée ?",""))</f>
        <v/>
      </c>
      <c r="C165" s="22"/>
      <c r="D165" s="20"/>
      <c r="E165" s="12" t="str">
        <f t="shared" si="31"/>
        <v/>
      </c>
      <c r="G165" s="164"/>
      <c r="H165" s="172"/>
      <c r="I165" s="172"/>
      <c r="J165" s="172"/>
      <c r="K165" s="172"/>
      <c r="L165" s="172"/>
      <c r="M165" s="172"/>
    </row>
    <row r="166" spans="2:13">
      <c r="B166" s="6" t="str">
        <f>IF(C145="Oui","Sur quelle base de données cette application tourne-t-elle ?",IF(C145="Non mais il est prévu","Sur quelle base de données cette application tournera-t-elle ?",""))</f>
        <v/>
      </c>
      <c r="C166" s="22"/>
      <c r="D166" s="20"/>
      <c r="E166" s="12" t="str">
        <f t="shared" si="31"/>
        <v/>
      </c>
      <c r="G166" s="164"/>
      <c r="H166" s="172"/>
      <c r="I166" s="172"/>
      <c r="J166" s="172"/>
      <c r="K166" s="172"/>
      <c r="L166" s="172"/>
      <c r="M166" s="172"/>
    </row>
    <row r="167" spans="2:13" ht="15" thickBot="1">
      <c r="B167" s="6" t="str">
        <f>IF(C145="Oui","Quelles sont les interfaces existantes de cette application ? Veuillez décrire et partager tout document d'architecture",IF(C145="Non mais il est prévu","Quelles sont les interfaces prévues ? Veuillez décrire et partager tout document d'architecture cible",""))</f>
        <v/>
      </c>
      <c r="C167" s="20"/>
      <c r="D167" s="20" t="s">
        <v>60</v>
      </c>
      <c r="E167" s="12" t="str">
        <f t="shared" ref="E167" si="32">IF(TRIM(B167)="","",IF(TRIM(C167)="",0,IF(TRIM(D167)="",0.5,1)))</f>
        <v/>
      </c>
      <c r="F167" s="94"/>
      <c r="G167" s="164"/>
      <c r="H167" s="172"/>
      <c r="I167" s="172"/>
      <c r="J167" s="172"/>
      <c r="K167" s="172"/>
      <c r="L167" s="172"/>
      <c r="M167" s="172"/>
    </row>
    <row r="168" spans="2:13" ht="65.25" customHeight="1">
      <c r="B168" s="147" t="s">
        <v>948</v>
      </c>
      <c r="C168" s="148" t="s">
        <v>949</v>
      </c>
      <c r="D168" s="77" t="s">
        <v>950</v>
      </c>
      <c r="E168" s="12">
        <f>IF(TRIM(B168)="","",IF(TRIM(C168)="",0,1))</f>
        <v>1</v>
      </c>
      <c r="F168" s="12">
        <f>IF(C168="Oui",1,0)</f>
        <v>0</v>
      </c>
      <c r="G168" s="20" t="s">
        <v>118</v>
      </c>
      <c r="H168" s="183"/>
      <c r="I168" s="172"/>
      <c r="J168" s="172"/>
      <c r="K168" s="172"/>
      <c r="L168" s="172"/>
      <c r="M168" s="172"/>
    </row>
    <row r="169" spans="2:13" ht="45.6" customHeight="1">
      <c r="B169" s="6" t="str">
        <f>IF(C168="Oui","Est-ce que cette solution dispose d'une interface Mobile ?",IF(C168="Non mais il est prévu","Est-ce que cette solution disposera d'une interface Mobile ?",""))</f>
        <v/>
      </c>
      <c r="C169" s="20"/>
      <c r="D169" s="20"/>
      <c r="E169" s="12" t="str">
        <f t="shared" ref="E169:E171" si="33">IF(TRIM(B169)="","",IF(TRIM(C169)="",0,1))</f>
        <v/>
      </c>
      <c r="G169" s="164"/>
      <c r="H169" s="172"/>
      <c r="I169" s="172"/>
      <c r="J169" s="172"/>
      <c r="K169" s="172"/>
      <c r="L169" s="172"/>
      <c r="M169" s="172"/>
    </row>
    <row r="170" spans="2:13" ht="45.6" customHeight="1">
      <c r="B170" s="6" t="str">
        <f>IF(C168="Oui","Est-ce qu'il est prévu de remplacer cette solution par une autre ? Si oui, veuillez mettre le nom de la nouvelle solution et la période prévue dans la colonne détails","")</f>
        <v/>
      </c>
      <c r="C170" s="20"/>
      <c r="D170" s="20"/>
      <c r="E170" s="12" t="str">
        <f t="shared" si="33"/>
        <v/>
      </c>
      <c r="G170" s="164"/>
      <c r="H170" s="172"/>
      <c r="I170" s="172"/>
      <c r="J170" s="172"/>
      <c r="K170" s="172"/>
      <c r="L170" s="172"/>
      <c r="M170" s="172"/>
    </row>
    <row r="171" spans="2:13" ht="45.6" customHeight="1">
      <c r="B171" s="6" t="str">
        <f>IF(C168="Oui","Y a-t-il des utilisateurs du Groupe sur les activités de la filiale ?","")</f>
        <v/>
      </c>
      <c r="C171" s="20"/>
      <c r="D171" s="20"/>
      <c r="E171" s="12" t="str">
        <f t="shared" si="33"/>
        <v/>
      </c>
      <c r="G171" s="164"/>
      <c r="H171" s="172"/>
      <c r="I171" s="172"/>
      <c r="J171" s="172"/>
      <c r="K171" s="172"/>
      <c r="L171" s="172"/>
      <c r="M171" s="172"/>
    </row>
    <row r="172" spans="2:13" ht="45.6" customHeight="1">
      <c r="B172" s="6" t="str">
        <f>IF(C168="Oui","Est-ce qu'il y a un quelconque support sur l'application à partir de l'IT Groupe ?",IF(C168="Non mais il est prévu","Est-ce qu'il y aura un quelconque support sur l'application à partir de l'IT Groupe ?",""))</f>
        <v/>
      </c>
      <c r="C172" s="20"/>
      <c r="D172" s="20"/>
      <c r="E172" s="12" t="str">
        <f t="shared" ref="E172:E175" si="34">IF(TRIM(B172)="","",IF(TRIM(C172)="",0,1))</f>
        <v/>
      </c>
      <c r="G172" s="164"/>
      <c r="H172" s="172"/>
      <c r="I172" s="172"/>
      <c r="J172" s="172"/>
      <c r="K172" s="172"/>
      <c r="L172" s="172"/>
      <c r="M172" s="172"/>
    </row>
    <row r="173" spans="2:13" ht="45.6" customHeight="1">
      <c r="B173" s="8" t="str">
        <f>IF(C172="Oui",IF(C168="Oui","Existe-t-il un SLA interne entre Group IT et la filiale ? S'il existe, pouvez-vous le partager",IF(C168&lt;&gt;"Non","Si oui, prévoyez-vous un SLA interne entre Group IT et la filiale ?","")),"")</f>
        <v/>
      </c>
      <c r="C173" s="22"/>
      <c r="D173" s="20"/>
      <c r="E173" s="12" t="str">
        <f t="shared" si="34"/>
        <v/>
      </c>
      <c r="G173" s="164"/>
      <c r="H173" s="172"/>
      <c r="I173" s="172"/>
      <c r="J173" s="172"/>
      <c r="K173" s="172"/>
      <c r="L173" s="172"/>
      <c r="M173" s="172"/>
    </row>
    <row r="174" spans="2:13" ht="45.6" customHeight="1">
      <c r="B174" s="6" t="str">
        <f>IF(C168="Oui","Sur quels systèmes (versions) cette application s'exécute-t-elle ?",IF(C168="Non mais il est prévu","Sur quels systèmes (versions) cette application sera-t-elle implémentée ?",""))</f>
        <v/>
      </c>
      <c r="C174" s="22"/>
      <c r="D174" s="20"/>
      <c r="E174" s="12" t="str">
        <f t="shared" si="34"/>
        <v/>
      </c>
      <c r="G174" s="164"/>
      <c r="H174" s="172"/>
      <c r="I174" s="172"/>
      <c r="J174" s="172"/>
      <c r="K174" s="172"/>
      <c r="L174" s="172"/>
      <c r="M174" s="172"/>
    </row>
    <row r="175" spans="2:13" ht="45.6" customHeight="1">
      <c r="B175" s="6" t="str">
        <f>IF(C168="Oui","Sur quelle base de données cette application tourne-t-elle ?",IF(C168="Non mais il est prévu","Sur quelle base de données cette application tournera-t-elle ?",""))</f>
        <v/>
      </c>
      <c r="C175" s="22"/>
      <c r="D175" s="20"/>
      <c r="E175" s="12" t="str">
        <f t="shared" si="34"/>
        <v/>
      </c>
      <c r="G175" s="164"/>
      <c r="H175" s="172"/>
      <c r="I175" s="172"/>
      <c r="J175" s="172"/>
      <c r="K175" s="172"/>
      <c r="L175" s="172"/>
      <c r="M175" s="172"/>
    </row>
    <row r="176" spans="2:13" ht="45.6" customHeight="1" thickBot="1">
      <c r="B176" s="149" t="str">
        <f>IF(C168="Oui","Quelles sont les interfaces existantes de cette application ? Veuillez décrire et partager tout document d'architecture",IF(C168="Non mais il est prévu","Quelles sont les interfaces prévues ? Veuillez décrire et partager tout document d'architecture cible",""))</f>
        <v/>
      </c>
      <c r="C176" s="150"/>
      <c r="D176" s="150"/>
      <c r="E176" s="12" t="str">
        <f t="shared" ref="E176" si="35">IF(TRIM(B176)="","",IF(TRIM(C176)="",0,IF(TRIM(D176)="",0.5,1)))</f>
        <v/>
      </c>
      <c r="F176" s="94"/>
      <c r="G176" s="164"/>
      <c r="H176" s="172"/>
      <c r="I176" s="172"/>
      <c r="J176" s="172"/>
      <c r="K176" s="172"/>
      <c r="L176" s="172"/>
      <c r="M176" s="172"/>
    </row>
    <row r="177" spans="5:13" ht="15" thickTop="1">
      <c r="E177" s="95">
        <f>SUM(E8:E167)/COUNT(E8:E167)</f>
        <v>0.96969696969696972</v>
      </c>
      <c r="F177" s="12">
        <f>SUM(F7:F176)</f>
        <v>1</v>
      </c>
      <c r="H177" s="172"/>
      <c r="I177" s="172"/>
      <c r="J177" s="172"/>
      <c r="K177" s="172"/>
      <c r="L177" s="172"/>
      <c r="M177" s="172"/>
    </row>
  </sheetData>
  <sheetProtection formatRows="0"/>
  <mergeCells count="1">
    <mergeCell ref="A1:B1"/>
  </mergeCells>
  <conditionalFormatting sqref="B9:B11 B13:B29 B169:B176">
    <cfRule type="containsBlanks" dxfId="222" priority="247">
      <formula>LEN(TRIM(B9))=0</formula>
    </cfRule>
  </conditionalFormatting>
  <conditionalFormatting sqref="B32:B34">
    <cfRule type="containsBlanks" dxfId="221" priority="219">
      <formula>LEN(TRIM(B32))=0</formula>
    </cfRule>
  </conditionalFormatting>
  <conditionalFormatting sqref="B36:B52">
    <cfRule type="containsBlanks" dxfId="220" priority="125">
      <formula>LEN(TRIM(B36))=0</formula>
    </cfRule>
  </conditionalFormatting>
  <conditionalFormatting sqref="B54:B75">
    <cfRule type="containsBlanks" dxfId="219" priority="183">
      <formula>LEN(TRIM(B54))=0</formula>
    </cfRule>
  </conditionalFormatting>
  <conditionalFormatting sqref="B77:B98 B100:B121">
    <cfRule type="containsBlanks" dxfId="218" priority="195">
      <formula>LEN(TRIM(B77))=0</formula>
    </cfRule>
  </conditionalFormatting>
  <conditionalFormatting sqref="B124:B126">
    <cfRule type="containsBlanks" dxfId="217" priority="171">
      <formula>LEN(TRIM(B124))=0</formula>
    </cfRule>
  </conditionalFormatting>
  <conditionalFormatting sqref="B128:B144">
    <cfRule type="containsBlanks" dxfId="216" priority="124">
      <formula>LEN(TRIM(B128))=0</formula>
    </cfRule>
  </conditionalFormatting>
  <conditionalFormatting sqref="B147:B149">
    <cfRule type="containsBlanks" dxfId="215" priority="118">
      <formula>LEN(TRIM(B147))=0</formula>
    </cfRule>
  </conditionalFormatting>
  <conditionalFormatting sqref="B151:B167">
    <cfRule type="containsBlanks" dxfId="214" priority="111">
      <formula>LEN(TRIM(B151))=0</formula>
    </cfRule>
  </conditionalFormatting>
  <conditionalFormatting sqref="C7">
    <cfRule type="expression" dxfId="213" priority="225">
      <formula>AND($B7&lt;&gt;"",$C7="")</formula>
    </cfRule>
    <cfRule type="expression" dxfId="212" priority="226">
      <formula>$B7=""</formula>
    </cfRule>
  </conditionalFormatting>
  <conditionalFormatting sqref="C8">
    <cfRule type="containsBlanks" dxfId="211" priority="248">
      <formula>LEN(TRIM(C8))=0</formula>
    </cfRule>
  </conditionalFormatting>
  <conditionalFormatting sqref="C9:C11 C168:C176">
    <cfRule type="expression" dxfId="210" priority="251">
      <formula>AND($B9&lt;&gt;"",$C9="")</formula>
    </cfRule>
  </conditionalFormatting>
  <conditionalFormatting sqref="C12">
    <cfRule type="containsBlanks" dxfId="209" priority="253">
      <formula>LEN(TRIM(C12))=0</formula>
    </cfRule>
  </conditionalFormatting>
  <conditionalFormatting sqref="C13:C29">
    <cfRule type="expression" dxfId="208" priority="237">
      <formula>AND($B13&lt;&gt;"",$C13="")</formula>
    </cfRule>
  </conditionalFormatting>
  <conditionalFormatting sqref="C30">
    <cfRule type="expression" dxfId="207" priority="213">
      <formula>AND($B30&lt;&gt;"",$C30="")</formula>
    </cfRule>
    <cfRule type="expression" dxfId="206" priority="214">
      <formula>$B30=""</formula>
    </cfRule>
  </conditionalFormatting>
  <conditionalFormatting sqref="C31">
    <cfRule type="containsBlanks" dxfId="205" priority="220">
      <formula>LEN(TRIM(C31))=0</formula>
    </cfRule>
  </conditionalFormatting>
  <conditionalFormatting sqref="C32:C34">
    <cfRule type="expression" dxfId="204" priority="222">
      <formula>AND($B32&lt;&gt;"",$C32="")</formula>
    </cfRule>
  </conditionalFormatting>
  <conditionalFormatting sqref="C35">
    <cfRule type="containsBlanks" dxfId="203" priority="223">
      <formula>LEN(TRIM(C35))=0</formula>
    </cfRule>
  </conditionalFormatting>
  <conditionalFormatting sqref="C36:C52">
    <cfRule type="expression" dxfId="202" priority="218">
      <formula>AND($B36&lt;&gt;"",$C36="")</formula>
    </cfRule>
  </conditionalFormatting>
  <conditionalFormatting sqref="C53">
    <cfRule type="expression" dxfId="201" priority="176">
      <formula>AND($B53&lt;&gt;"",$C53="")</formula>
    </cfRule>
    <cfRule type="expression" dxfId="200" priority="177">
      <formula>$B53=""</formula>
    </cfRule>
  </conditionalFormatting>
  <conditionalFormatting sqref="C54:C76">
    <cfRule type="expression" dxfId="199" priority="182">
      <formula>AND($B54&lt;&gt;"",$C54="")</formula>
    </cfRule>
  </conditionalFormatting>
  <conditionalFormatting sqref="C76 G168:G171 C169:D176">
    <cfRule type="expression" dxfId="198" priority="190">
      <formula>$B76=""</formula>
    </cfRule>
  </conditionalFormatting>
  <conditionalFormatting sqref="C77:C91 C94:C95">
    <cfRule type="expression" dxfId="197" priority="194">
      <formula>AND($B77&lt;&gt;"",$C77="")</formula>
    </cfRule>
  </conditionalFormatting>
  <conditionalFormatting sqref="C82">
    <cfRule type="expression" dxfId="196" priority="13">
      <formula>$B82=""</formula>
    </cfRule>
  </conditionalFormatting>
  <conditionalFormatting sqref="C96:C97">
    <cfRule type="containsBlanks" dxfId="195" priority="14">
      <formula>LEN(TRIM(C96))=0</formula>
    </cfRule>
  </conditionalFormatting>
  <conditionalFormatting sqref="C98:C99">
    <cfRule type="expression" dxfId="194" priority="126">
      <formula>AND($B98&lt;&gt;"",$C98="")</formula>
    </cfRule>
  </conditionalFormatting>
  <conditionalFormatting sqref="C99">
    <cfRule type="expression" dxfId="193" priority="129">
      <formula>$B99=""</formula>
    </cfRule>
  </conditionalFormatting>
  <conditionalFormatting sqref="C100:C122">
    <cfRule type="expression" dxfId="192" priority="163">
      <formula>AND($B100&lt;&gt;"",$C100="")</formula>
    </cfRule>
  </conditionalFormatting>
  <conditionalFormatting sqref="C122">
    <cfRule type="expression" dxfId="191" priority="164">
      <formula>$B122=""</formula>
    </cfRule>
  </conditionalFormatting>
  <conditionalFormatting sqref="C123">
    <cfRule type="containsBlanks" dxfId="190" priority="172">
      <formula>LEN(TRIM(C123))=0</formula>
    </cfRule>
  </conditionalFormatting>
  <conditionalFormatting sqref="C124:C126">
    <cfRule type="expression" dxfId="189" priority="173">
      <formula>AND($B124&lt;&gt;"",$C124="")</formula>
    </cfRule>
  </conditionalFormatting>
  <conditionalFormatting sqref="C127">
    <cfRule type="containsBlanks" dxfId="188" priority="174">
      <formula>LEN(TRIM(C127))=0</formula>
    </cfRule>
  </conditionalFormatting>
  <conditionalFormatting sqref="C128:C144">
    <cfRule type="expression" dxfId="187" priority="170">
      <formula>AND($B128&lt;&gt;"",$C128="")</formula>
    </cfRule>
  </conditionalFormatting>
  <conditionalFormatting sqref="C145">
    <cfRule type="expression" dxfId="186" priority="112">
      <formula>AND($B145&lt;&gt;"",$C145="")</formula>
    </cfRule>
    <cfRule type="expression" dxfId="185" priority="113">
      <formula>$B145=""</formula>
    </cfRule>
  </conditionalFormatting>
  <conditionalFormatting sqref="C146">
    <cfRule type="containsBlanks" dxfId="184" priority="119">
      <formula>LEN(TRIM(C146))=0</formula>
    </cfRule>
  </conditionalFormatting>
  <conditionalFormatting sqref="C147:C149">
    <cfRule type="expression" dxfId="183" priority="120">
      <formula>AND($B147&lt;&gt;"",$C147="")</formula>
    </cfRule>
  </conditionalFormatting>
  <conditionalFormatting sqref="C150">
    <cfRule type="containsBlanks" dxfId="182" priority="121">
      <formula>LEN(TRIM(C150))=0</formula>
    </cfRule>
  </conditionalFormatting>
  <conditionalFormatting sqref="C151:C167">
    <cfRule type="expression" dxfId="181" priority="117">
      <formula>AND($B151&lt;&gt;"",$C151="")</formula>
    </cfRule>
  </conditionalFormatting>
  <conditionalFormatting sqref="C168">
    <cfRule type="expression" dxfId="180" priority="110">
      <formula>$B168=""</formula>
    </cfRule>
  </conditionalFormatting>
  <conditionalFormatting sqref="C9:D11 C13:D22 C27:D29">
    <cfRule type="expression" dxfId="179" priority="254">
      <formula>$B9=""</formula>
    </cfRule>
  </conditionalFormatting>
  <conditionalFormatting sqref="C23:D26">
    <cfRule type="expression" dxfId="178" priority="235">
      <formula>$B23=""</formula>
    </cfRule>
  </conditionalFormatting>
  <conditionalFormatting sqref="C32:D34 C36:D45 C50:D52">
    <cfRule type="expression" dxfId="177" priority="224">
      <formula>$B32=""</formula>
    </cfRule>
  </conditionalFormatting>
  <conditionalFormatting sqref="C46:D49">
    <cfRule type="expression" dxfId="176" priority="216">
      <formula>$B46=""</formula>
    </cfRule>
  </conditionalFormatting>
  <conditionalFormatting sqref="C54:D54">
    <cfRule type="expression" dxfId="175" priority="179">
      <formula>$B54=""</formula>
    </cfRule>
  </conditionalFormatting>
  <conditionalFormatting sqref="C55:D57 C59:D68 E65:G65 G66:G67 C73:D75">
    <cfRule type="expression" dxfId="174" priority="186">
      <formula>$B55=""</formula>
    </cfRule>
  </conditionalFormatting>
  <conditionalFormatting sqref="C58:D58">
    <cfRule type="expression" dxfId="173" priority="178">
      <formula>$B58=""</formula>
    </cfRule>
  </conditionalFormatting>
  <conditionalFormatting sqref="C72:D72 C69:C71">
    <cfRule type="expression" dxfId="172" priority="180">
      <formula>$B69=""</formula>
    </cfRule>
  </conditionalFormatting>
  <conditionalFormatting sqref="C77:D77">
    <cfRule type="expression" dxfId="171" priority="188">
      <formula>$B77=""</formula>
    </cfRule>
  </conditionalFormatting>
  <conditionalFormatting sqref="C78:D80 C82:D91 C101:D103 C105:D114 C119:D121 C98:D98 D96:D97">
    <cfRule type="expression" dxfId="170" priority="200">
      <formula>$B78=""</formula>
    </cfRule>
  </conditionalFormatting>
  <conditionalFormatting sqref="C81:D81">
    <cfRule type="expression" dxfId="169" priority="187">
      <formula>$B81=""</formula>
    </cfRule>
  </conditionalFormatting>
  <conditionalFormatting sqref="C94:D95">
    <cfRule type="expression" dxfId="168" priority="192">
      <formula>$B94=""</formula>
    </cfRule>
  </conditionalFormatting>
  <conditionalFormatting sqref="C100:D100">
    <cfRule type="expression" dxfId="167" priority="128">
      <formula>$B100=""</formula>
    </cfRule>
  </conditionalFormatting>
  <conditionalFormatting sqref="C104:D104">
    <cfRule type="expression" dxfId="166" priority="127">
      <formula>$B104=""</formula>
    </cfRule>
  </conditionalFormatting>
  <conditionalFormatting sqref="C115:D118">
    <cfRule type="expression" dxfId="165" priority="130">
      <formula>$B115=""</formula>
    </cfRule>
  </conditionalFormatting>
  <conditionalFormatting sqref="C124:D126 C128:D137 C142:D144">
    <cfRule type="expression" dxfId="164" priority="175">
      <formula>$B124=""</formula>
    </cfRule>
  </conditionalFormatting>
  <conditionalFormatting sqref="C138:D141">
    <cfRule type="expression" dxfId="163" priority="168">
      <formula>$B138=""</formula>
    </cfRule>
  </conditionalFormatting>
  <conditionalFormatting sqref="C147:D149 C151:D160 C165:D167">
    <cfRule type="expression" dxfId="162" priority="122">
      <formula>$B147=""</formula>
    </cfRule>
  </conditionalFormatting>
  <conditionalFormatting sqref="C161:D164">
    <cfRule type="expression" dxfId="161" priority="115">
      <formula>$B161=""</formula>
    </cfRule>
  </conditionalFormatting>
  <conditionalFormatting sqref="D23:D24">
    <cfRule type="containsBlanks" dxfId="160" priority="236">
      <formula>LEN(TRIM(D23))=0</formula>
    </cfRule>
  </conditionalFormatting>
  <conditionalFormatting sqref="D29">
    <cfRule type="containsBlanks" dxfId="159" priority="232">
      <formula>LEN(TRIM(D29))=0</formula>
    </cfRule>
  </conditionalFormatting>
  <conditionalFormatting sqref="D46:D47">
    <cfRule type="containsBlanks" dxfId="158" priority="217">
      <formula>LEN(TRIM(D46))=0</formula>
    </cfRule>
  </conditionalFormatting>
  <conditionalFormatting sqref="D52">
    <cfRule type="containsBlanks" dxfId="157" priority="215">
      <formula>LEN(TRIM(D52))=0</formula>
    </cfRule>
  </conditionalFormatting>
  <conditionalFormatting sqref="D115:D116">
    <cfRule type="containsBlanks" dxfId="156" priority="131">
      <formula>LEN(TRIM(D115))=0</formula>
    </cfRule>
  </conditionalFormatting>
  <conditionalFormatting sqref="D138:D139">
    <cfRule type="containsBlanks" dxfId="155" priority="169">
      <formula>LEN(TRIM(D138))=0</formula>
    </cfRule>
  </conditionalFormatting>
  <conditionalFormatting sqref="D144">
    <cfRule type="containsBlanks" dxfId="154" priority="167">
      <formula>LEN(TRIM(D144))=0</formula>
    </cfRule>
  </conditionalFormatting>
  <conditionalFormatting sqref="D161:D162">
    <cfRule type="containsBlanks" dxfId="153" priority="116">
      <formula>LEN(TRIM(D161))=0</formula>
    </cfRule>
  </conditionalFormatting>
  <conditionalFormatting sqref="D167">
    <cfRule type="containsBlanks" dxfId="152" priority="114">
      <formula>LEN(TRIM(D167))=0</formula>
    </cfRule>
  </conditionalFormatting>
  <conditionalFormatting sqref="G7 G9:G15">
    <cfRule type="expression" dxfId="151" priority="104">
      <formula>$B7=""</formula>
    </cfRule>
    <cfRule type="expression" dxfId="150" priority="105">
      <formula>AND($B7&lt;&gt;"",#REF!="")</formula>
    </cfRule>
  </conditionalFormatting>
  <conditionalFormatting sqref="G8">
    <cfRule type="expression" dxfId="149" priority="92">
      <formula>$B12=""</formula>
    </cfRule>
    <cfRule type="expression" dxfId="148" priority="93">
      <formula>AND($B12&lt;&gt;"",#REF!="")</formula>
    </cfRule>
  </conditionalFormatting>
  <conditionalFormatting sqref="G16 G18:G19">
    <cfRule type="expression" dxfId="147" priority="103">
      <formula>AND($B20&lt;&gt;"",#REF!="")</formula>
    </cfRule>
  </conditionalFormatting>
  <conditionalFormatting sqref="G16">
    <cfRule type="expression" dxfId="146" priority="102">
      <formula>$B20=""</formula>
    </cfRule>
  </conditionalFormatting>
  <conditionalFormatting sqref="G17">
    <cfRule type="expression" dxfId="145" priority="98">
      <formula>$B17=""</formula>
    </cfRule>
    <cfRule type="expression" dxfId="144" priority="99">
      <formula>AND($B17&lt;&gt;"",#REF!="")</formula>
    </cfRule>
  </conditionalFormatting>
  <conditionalFormatting sqref="G18:G25">
    <cfRule type="expression" dxfId="143" priority="96">
      <formula>$B22=""</formula>
    </cfRule>
  </conditionalFormatting>
  <conditionalFormatting sqref="G20:G21">
    <cfRule type="expression" dxfId="142" priority="101">
      <formula>AND($B24&lt;&gt;"",#REF!="")</formula>
    </cfRule>
  </conditionalFormatting>
  <conditionalFormatting sqref="G22">
    <cfRule type="expression" dxfId="141" priority="97">
      <formula>AND($B26&lt;&gt;"",#REF!="")</formula>
    </cfRule>
  </conditionalFormatting>
  <conditionalFormatting sqref="G23:G25">
    <cfRule type="expression" dxfId="140" priority="100">
      <formula>AND($B27&lt;&gt;"",#REF!="")</formula>
    </cfRule>
  </conditionalFormatting>
  <conditionalFormatting sqref="G26">
    <cfRule type="expression" dxfId="139" priority="87">
      <formula>$B26=""</formula>
    </cfRule>
  </conditionalFormatting>
  <conditionalFormatting sqref="G27:G29 G172:G176">
    <cfRule type="expression" dxfId="138" priority="94">
      <formula>$B31=""</formula>
    </cfRule>
    <cfRule type="expression" dxfId="137" priority="95">
      <formula>AND($B31&lt;&gt;"",#REF!="")</formula>
    </cfRule>
  </conditionalFormatting>
  <conditionalFormatting sqref="G30">
    <cfRule type="expression" dxfId="136" priority="90">
      <formula>$B30=""</formula>
    </cfRule>
    <cfRule type="expression" dxfId="135" priority="91">
      <formula>AND($B30&lt;&gt;"",#REF!="")</formula>
    </cfRule>
  </conditionalFormatting>
  <conditionalFormatting sqref="G31:G34">
    <cfRule type="expression" dxfId="134" priority="88">
      <formula>$B35=""</formula>
    </cfRule>
    <cfRule type="expression" dxfId="133" priority="89">
      <formula>AND($B35&lt;&gt;"",#REF!="")</formula>
    </cfRule>
  </conditionalFormatting>
  <conditionalFormatting sqref="G36:G38">
    <cfRule type="expression" dxfId="132" priority="85">
      <formula>$B36=""</formula>
    </cfRule>
    <cfRule type="expression" dxfId="131" priority="86">
      <formula>AND($B36&lt;&gt;"",#REF!="")</formula>
    </cfRule>
  </conditionalFormatting>
  <conditionalFormatting sqref="G39">
    <cfRule type="expression" dxfId="130" priority="83">
      <formula>$B43=""</formula>
    </cfRule>
    <cfRule type="expression" dxfId="129" priority="84">
      <formula>AND($B43&lt;&gt;"",#REF!="")</formula>
    </cfRule>
  </conditionalFormatting>
  <conditionalFormatting sqref="G40">
    <cfRule type="expression" dxfId="128" priority="81">
      <formula>$B40=""</formula>
    </cfRule>
    <cfRule type="expression" dxfId="127" priority="82">
      <formula>AND($B40&lt;&gt;"",#REF!="")</formula>
    </cfRule>
  </conditionalFormatting>
  <conditionalFormatting sqref="G41:G48">
    <cfRule type="expression" dxfId="126" priority="79">
      <formula>$B45=""</formula>
    </cfRule>
    <cfRule type="expression" dxfId="125" priority="80">
      <formula>AND($B45&lt;&gt;"",#REF!="")</formula>
    </cfRule>
  </conditionalFormatting>
  <conditionalFormatting sqref="G49">
    <cfRule type="expression" dxfId="124" priority="76">
      <formula>$B49=""</formula>
    </cfRule>
  </conditionalFormatting>
  <conditionalFormatting sqref="G50:G52">
    <cfRule type="expression" dxfId="123" priority="77">
      <formula>$B54=""</formula>
    </cfRule>
    <cfRule type="expression" dxfId="122" priority="78">
      <formula>AND($B54&lt;&gt;"",#REF!="")</formula>
    </cfRule>
  </conditionalFormatting>
  <conditionalFormatting sqref="G53">
    <cfRule type="expression" dxfId="121" priority="74">
      <formula>$B53=""</formula>
    </cfRule>
    <cfRule type="expression" dxfId="120" priority="75">
      <formula>AND($B53&lt;&gt;"",#REF!="")</formula>
    </cfRule>
  </conditionalFormatting>
  <conditionalFormatting sqref="G54">
    <cfRule type="expression" dxfId="119" priority="72">
      <formula>$B58=""</formula>
    </cfRule>
    <cfRule type="expression" dxfId="118" priority="73">
      <formula>AND($B58&lt;&gt;"",#REF!="")</formula>
    </cfRule>
  </conditionalFormatting>
  <conditionalFormatting sqref="G55:G57">
    <cfRule type="expression" dxfId="117" priority="21">
      <formula>$B55=""</formula>
    </cfRule>
  </conditionalFormatting>
  <conditionalFormatting sqref="G59:G61">
    <cfRule type="expression" dxfId="116" priority="70">
      <formula>$B59=""</formula>
    </cfRule>
    <cfRule type="expression" dxfId="115" priority="71">
      <formula>AND($B59&lt;&gt;"",#REF!="")</formula>
    </cfRule>
  </conditionalFormatting>
  <conditionalFormatting sqref="G62">
    <cfRule type="expression" dxfId="114" priority="68">
      <formula>$B66=""</formula>
    </cfRule>
    <cfRule type="expression" dxfId="113" priority="69">
      <formula>AND($B66&lt;&gt;"",#REF!="")</formula>
    </cfRule>
  </conditionalFormatting>
  <conditionalFormatting sqref="G63">
    <cfRule type="expression" dxfId="112" priority="66">
      <formula>$B63=""</formula>
    </cfRule>
    <cfRule type="expression" dxfId="111" priority="67">
      <formula>AND($B63&lt;&gt;"",#REF!="")</formula>
    </cfRule>
  </conditionalFormatting>
  <conditionalFormatting sqref="G64 G68">
    <cfRule type="expression" dxfId="110" priority="64">
      <formula>$B68=""</formula>
    </cfRule>
    <cfRule type="expression" dxfId="109" priority="65">
      <formula>AND($B68&lt;&gt;"",#REF!="")</formula>
    </cfRule>
  </conditionalFormatting>
  <conditionalFormatting sqref="G72 G76">
    <cfRule type="expression" dxfId="108" priority="17">
      <formula>$B72=""</formula>
    </cfRule>
  </conditionalFormatting>
  <conditionalFormatting sqref="G76">
    <cfRule type="expression" dxfId="107" priority="18">
      <formula>AND($B76&lt;&gt;"",#REF!="")</formula>
    </cfRule>
  </conditionalFormatting>
  <conditionalFormatting sqref="G77">
    <cfRule type="expression" dxfId="106" priority="57">
      <formula>$B81=""</formula>
    </cfRule>
    <cfRule type="expression" dxfId="105" priority="58">
      <formula>AND($B81&lt;&gt;"",#REF!="")</formula>
    </cfRule>
  </conditionalFormatting>
  <conditionalFormatting sqref="G78:G99">
    <cfRule type="expression" dxfId="104" priority="53">
      <formula>$B78=""</formula>
    </cfRule>
  </conditionalFormatting>
  <conditionalFormatting sqref="G81:G86">
    <cfRule type="expression" dxfId="103" priority="56">
      <formula>AND($B81&lt;&gt;"",#REF!="")</formula>
    </cfRule>
  </conditionalFormatting>
  <conditionalFormatting sqref="G82 G169:G171">
    <cfRule type="expression" dxfId="102" priority="15">
      <formula>AND($B82&lt;&gt;"",#REF!="")</formula>
    </cfRule>
  </conditionalFormatting>
  <conditionalFormatting sqref="G92:G99">
    <cfRule type="expression" dxfId="101" priority="54">
      <formula>AND($B92&lt;&gt;"",#REF!="")</formula>
    </cfRule>
  </conditionalFormatting>
  <conditionalFormatting sqref="G93">
    <cfRule type="expression" dxfId="100" priority="28">
      <formula>AND($B93&lt;&gt;"",#REF!="")</formula>
    </cfRule>
  </conditionalFormatting>
  <conditionalFormatting sqref="G100">
    <cfRule type="expression" dxfId="99" priority="51">
      <formula>$B104=""</formula>
    </cfRule>
    <cfRule type="expression" dxfId="98" priority="52">
      <formula>AND($B104&lt;&gt;"",#REF!="")</formula>
    </cfRule>
  </conditionalFormatting>
  <conditionalFormatting sqref="G101:G122">
    <cfRule type="expression" dxfId="97" priority="24">
      <formula>$B101=""</formula>
    </cfRule>
  </conditionalFormatting>
  <conditionalFormatting sqref="G104:G109">
    <cfRule type="expression" dxfId="96" priority="27">
      <formula>AND($B104&lt;&gt;"",#REF!="")</formula>
    </cfRule>
  </conditionalFormatting>
  <conditionalFormatting sqref="G115:G116">
    <cfRule type="expression" dxfId="95" priority="26">
      <formula>AND($B115&lt;&gt;"",#REF!="")</formula>
    </cfRule>
  </conditionalFormatting>
  <conditionalFormatting sqref="G116">
    <cfRule type="expression" dxfId="94" priority="23">
      <formula>AND($B116&lt;&gt;"",#REF!="")</formula>
    </cfRule>
  </conditionalFormatting>
  <conditionalFormatting sqref="G118:G122">
    <cfRule type="expression" dxfId="93" priority="25">
      <formula>AND($B118&lt;&gt;"",#REF!="")</formula>
    </cfRule>
  </conditionalFormatting>
  <conditionalFormatting sqref="G123">
    <cfRule type="expression" dxfId="92" priority="49">
      <formula>$B127=""</formula>
    </cfRule>
    <cfRule type="expression" dxfId="91" priority="50">
      <formula>AND($B127&lt;&gt;"",#REF!="")</formula>
    </cfRule>
  </conditionalFormatting>
  <conditionalFormatting sqref="G124:G126">
    <cfRule type="expression" dxfId="90" priority="47">
      <formula>$B124=""</formula>
    </cfRule>
  </conditionalFormatting>
  <conditionalFormatting sqref="G128:G145 G147:G153">
    <cfRule type="expression" dxfId="89" priority="44">
      <formula>$B128=""</formula>
    </cfRule>
  </conditionalFormatting>
  <conditionalFormatting sqref="G129:G132">
    <cfRule type="expression" dxfId="88" priority="48">
      <formula>AND($B129&lt;&gt;"",#REF!="")</formula>
    </cfRule>
  </conditionalFormatting>
  <conditionalFormatting sqref="G138:G139">
    <cfRule type="expression" dxfId="87" priority="46">
      <formula>AND($B138&lt;&gt;"",#REF!="")</formula>
    </cfRule>
  </conditionalFormatting>
  <conditionalFormatting sqref="G141:G145 G147:G153">
    <cfRule type="expression" dxfId="86" priority="45">
      <formula>AND($B141&lt;&gt;"",#REF!="")</formula>
    </cfRule>
  </conditionalFormatting>
  <conditionalFormatting sqref="G146">
    <cfRule type="expression" dxfId="85" priority="34">
      <formula>$B150=""</formula>
    </cfRule>
    <cfRule type="expression" dxfId="84" priority="35">
      <formula>AND($B150&lt;&gt;"",#REF!="")</formula>
    </cfRule>
  </conditionalFormatting>
  <conditionalFormatting sqref="G154">
    <cfRule type="expression" dxfId="83" priority="42">
      <formula>$B158=""</formula>
    </cfRule>
    <cfRule type="expression" dxfId="82" priority="43">
      <formula>AND($B158&lt;&gt;"",#REF!="")</formula>
    </cfRule>
  </conditionalFormatting>
  <conditionalFormatting sqref="G155">
    <cfRule type="expression" dxfId="81" priority="40">
      <formula>$B155=""</formula>
    </cfRule>
    <cfRule type="expression" dxfId="80" priority="41">
      <formula>AND($B155&lt;&gt;"",#REF!="")</formula>
    </cfRule>
  </conditionalFormatting>
  <conditionalFormatting sqref="G156:G163">
    <cfRule type="expression" dxfId="79" priority="38">
      <formula>$B160=""</formula>
    </cfRule>
    <cfRule type="expression" dxfId="78" priority="39">
      <formula>AND($B160&lt;&gt;"",#REF!="")</formula>
    </cfRule>
  </conditionalFormatting>
  <conditionalFormatting sqref="G164">
    <cfRule type="expression" dxfId="77" priority="33">
      <formula>$B164=""</formula>
    </cfRule>
  </conditionalFormatting>
  <conditionalFormatting sqref="C69">
    <cfRule type="expression" dxfId="76" priority="12">
      <formula>$B69=""</formula>
    </cfRule>
  </conditionalFormatting>
  <conditionalFormatting sqref="C70">
    <cfRule type="expression" dxfId="75" priority="11">
      <formula>$B70=""</formula>
    </cfRule>
  </conditionalFormatting>
  <conditionalFormatting sqref="D69">
    <cfRule type="expression" dxfId="74" priority="9">
      <formula>AND($B69&lt;&gt;"",$C69="")</formula>
    </cfRule>
  </conditionalFormatting>
  <conditionalFormatting sqref="D69">
    <cfRule type="expression" dxfId="73" priority="10">
      <formula>$B69=""</formula>
    </cfRule>
  </conditionalFormatting>
  <conditionalFormatting sqref="D70">
    <cfRule type="expression" dxfId="72" priority="7">
      <formula>AND($B70&lt;&gt;"",$C70="")</formula>
    </cfRule>
  </conditionalFormatting>
  <conditionalFormatting sqref="D70">
    <cfRule type="expression" dxfId="71" priority="8">
      <formula>$B70=""</formula>
    </cfRule>
  </conditionalFormatting>
  <conditionalFormatting sqref="D71">
    <cfRule type="expression" dxfId="70" priority="5">
      <formula>AND($B71&lt;&gt;"",$C71="")</formula>
    </cfRule>
  </conditionalFormatting>
  <conditionalFormatting sqref="D71">
    <cfRule type="expression" dxfId="69" priority="6">
      <formula>$B71=""</formula>
    </cfRule>
  </conditionalFormatting>
  <conditionalFormatting sqref="D92:D93">
    <cfRule type="expression" dxfId="68" priority="1">
      <formula>$B92=""</formula>
    </cfRule>
  </conditionalFormatting>
  <conditionalFormatting sqref="C92:C93">
    <cfRule type="expression" dxfId="67" priority="3">
      <formula>$B92=""</formula>
    </cfRule>
  </conditionalFormatting>
  <conditionalFormatting sqref="C92:C93">
    <cfRule type="containsBlanks" dxfId="66" priority="4">
      <formula>LEN(TRIM(C92))=0</formula>
    </cfRule>
  </conditionalFormatting>
  <conditionalFormatting sqref="D92:D93">
    <cfRule type="containsBlanks" dxfId="65" priority="2">
      <formula>LEN(TRIM(D92))=0</formula>
    </cfRule>
  </conditionalFormatting>
  <conditionalFormatting sqref="G165">
    <cfRule type="expression" dxfId="64" priority="258">
      <formula>#REF!=""</formula>
    </cfRule>
    <cfRule type="expression" dxfId="63" priority="259">
      <formula>AND(#REF!&lt;&gt;"",#REF!="")</formula>
    </cfRule>
  </conditionalFormatting>
  <conditionalFormatting sqref="G166:G167">
    <cfRule type="expression" dxfId="62" priority="268">
      <formula>#REF!=""</formula>
    </cfRule>
    <cfRule type="expression" dxfId="61" priority="269">
      <formula>AND(#REF!&lt;&gt;"",#REF!="")</formula>
    </cfRule>
  </conditionalFormatting>
  <dataValidations count="13">
    <dataValidation type="list" allowBlank="1" showInputMessage="1" showErrorMessage="1" sqref="C22 C45 C91 C68 C137 C160 C114" xr:uid="{00000000-0002-0000-1800-000000000000}">
      <formula1>"Oui et oui,Oui et non,Non pour les 2"</formula1>
    </dataValidation>
    <dataValidation type="list" allowBlank="1" showInputMessage="1" showErrorMessage="1" sqref="C10 C33 C79 C56 C125 C148 C102" xr:uid="{00000000-0002-0000-1800-000001000000}">
      <formula1>"On-site,Cloud"</formula1>
    </dataValidation>
    <dataValidation type="list" allowBlank="1" showInputMessage="1" showErrorMessage="1" sqref="C21:C22 C44:C45 C90:C91 C67:C68 C136:C137 C113:C114 C159:C160" xr:uid="{00000000-0002-0000-1800-000002000000}">
      <formula1>"Global,Dédié"</formula1>
    </dataValidation>
    <dataValidation type="list" allowBlank="1" showInputMessage="1" showErrorMessage="1" sqref="C19 C42 C88 C65 C134 C111 C157" xr:uid="{00000000-0002-0000-1800-000003000000}">
      <formula1>"Nominatives,Partagées,NA"</formula1>
    </dataValidation>
    <dataValidation type="list" allowBlank="1" showInputMessage="1" showErrorMessage="1" sqref="C15:C17 C25:C26 C38:C40 C48:C49 C84:C86 C94:C95 C61:C63 C71:C72 C130:C132 C140:C141 C169:C171 C172:C173 C107:C109 C117:C118 C153:C155 C163:C164" xr:uid="{00000000-0002-0000-1800-000004000000}">
      <formula1>"Oui,Non"</formula1>
    </dataValidation>
    <dataValidation type="list" allowBlank="1" showInputMessage="1" showErrorMessage="1" sqref="C12 C35 C81 C58 C127 C104 C150" xr:uid="{00000000-0002-0000-1800-000005000000}">
      <formula1>"Primoridal,Critique,Moyen,Faible"</formula1>
    </dataValidation>
    <dataValidation type="list" allowBlank="1" showInputMessage="1" showErrorMessage="1" sqref="C14 C37 C83 C60 C129 C106 C152" xr:uid="{00000000-0002-0000-1800-000006000000}">
      <formula1>"Très haut,Haut,Moyen,Faible, Inexistant"</formula1>
    </dataValidation>
    <dataValidation type="list" allowBlank="1" showInputMessage="1" showErrorMessage="1" sqref="C8 C31 C77 C54 C123 C146 C100" xr:uid="{00000000-0002-0000-1800-000007000000}">
      <formula1>"COTS,Développement interne"</formula1>
    </dataValidation>
    <dataValidation type="list" allowBlank="1" showInputMessage="1" showErrorMessage="1" sqref="C7 C30 C122 C145" xr:uid="{00000000-0002-0000-1800-000008000000}">
      <formula1>"Oui,Non,Non mais il est prévu"</formula1>
    </dataValidation>
    <dataValidation type="list" allowBlank="1" showInputMessage="1" showErrorMessage="1" sqref="C76 C99" xr:uid="{00000000-0002-0000-1800-000009000000}">
      <formula1>"Oui,Oui, inclut dans ERP HR,Non,Non mais il est prévu"</formula1>
    </dataValidation>
    <dataValidation type="list" allowBlank="1" showInputMessage="1" showErrorMessage="1" sqref="C53" xr:uid="{00000000-0002-0000-1800-00000A000000}">
      <formula1>"Oui,Oui, inclut dans ERP,Non,Non mais il est prévu"</formula1>
    </dataValidation>
    <dataValidation type="list" allowBlank="1" showInputMessage="1" showErrorMessage="1" sqref="G35:G48 G33 G29:G31 G7:G25 G68:G71 G127 G73:G77 G129:G132 G118:G123 G104:G109 G141:G163 G138:G139 G167 G58 G60:G64 G52:G54 G81 G83:G86 G94:G100 G169:G176" xr:uid="{00000000-0002-0000-1800-00000B000000}">
      <formula1>"Oui,Non,Pourquoi?"</formula1>
    </dataValidation>
    <dataValidation type="list" allowBlank="1" showInputMessage="1" showErrorMessage="1" sqref="G32 G34" xr:uid="{00000000-0002-0000-1800-00000C000000}">
      <formula1>"Oui,Non,Détails"</formula1>
    </dataValidation>
  </dataValidations>
  <hyperlinks>
    <hyperlink ref="A1" location="Sommaire!A1" display="Retour à la page d'accueil" xr:uid="{00000000-0004-0000-1800-000000000000}"/>
    <hyperlink ref="A1:B1" location="Accueil!A1" display="Retour à la page d'accueil" xr:uid="{00000000-0004-0000-1800-000001000000}"/>
  </hyperlinks>
  <pageMargins left="0.7" right="0.7" top="0.75" bottom="0.75" header="0.3" footer="0.3"/>
  <pageSetup paperSize="9" orientation="portrait" horizontalDpi="4294967293"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2" tint="-0.249977111117893"/>
  </sheetPr>
  <dimension ref="A1:L123"/>
  <sheetViews>
    <sheetView showGridLines="0" workbookViewId="0">
      <pane ySplit="6" topLeftCell="A46" activePane="bottomLeft" state="frozen"/>
      <selection pane="bottomLeft" activeCell="B17" sqref="B17"/>
    </sheetView>
  </sheetViews>
  <sheetFormatPr defaultColWidth="11.42578125" defaultRowHeight="14.25"/>
  <cols>
    <col min="1" max="1" width="2.28515625" customWidth="1"/>
    <col min="2" max="2" width="87.85546875" style="10" customWidth="1"/>
    <col min="3" max="3" width="34.140625" style="15" bestFit="1" customWidth="1"/>
    <col min="4" max="4" width="18.140625" customWidth="1"/>
    <col min="5" max="5" width="7.28515625" hidden="1" customWidth="1"/>
    <col min="6" max="6" width="7.85546875" hidden="1" customWidth="1"/>
    <col min="7" max="7" width="36.85546875" customWidth="1"/>
    <col min="8" max="8" width="4.7109375" customWidth="1"/>
    <col min="9" max="10" width="6.42578125" customWidth="1"/>
    <col min="11" max="11" width="18.5703125" customWidth="1"/>
    <col min="12" max="12" width="5.7109375" customWidth="1"/>
  </cols>
  <sheetData>
    <row r="1" spans="1:12">
      <c r="A1" s="302" t="s">
        <v>26</v>
      </c>
      <c r="B1" s="302"/>
      <c r="C1" s="177" t="s">
        <v>576</v>
      </c>
    </row>
    <row r="2" spans="1:12" s="49" customFormat="1" ht="18">
      <c r="B2" s="88" t="s">
        <v>951</v>
      </c>
    </row>
    <row r="3" spans="1:12">
      <c r="B3" s="13" t="s">
        <v>578</v>
      </c>
    </row>
    <row r="4" spans="1:12">
      <c r="B4" s="13" t="s">
        <v>579</v>
      </c>
    </row>
    <row r="5" spans="1:12" ht="6" customHeight="1"/>
    <row r="6" spans="1:12" ht="16.5" thickBot="1">
      <c r="B6" s="89" t="s">
        <v>580</v>
      </c>
      <c r="C6" s="90" t="s">
        <v>581</v>
      </c>
      <c r="D6" s="90" t="s">
        <v>118</v>
      </c>
      <c r="E6" s="97" t="s">
        <v>31</v>
      </c>
      <c r="F6" s="97" t="s">
        <v>933</v>
      </c>
      <c r="G6" s="90" t="s">
        <v>28</v>
      </c>
    </row>
    <row r="7" spans="1:12" ht="25.5">
      <c r="B7" s="91" t="s">
        <v>952</v>
      </c>
      <c r="C7" s="84" t="s">
        <v>953</v>
      </c>
      <c r="D7" s="85"/>
      <c r="E7" s="93">
        <f>IF(TRIM(B7)="","",IF(TRIM(C7)="",0,1))</f>
        <v>1</v>
      </c>
      <c r="F7" s="93">
        <f>IF(LEFT(C7,3)="Oui",1,0)</f>
        <v>1</v>
      </c>
      <c r="G7" s="164" t="s">
        <v>954</v>
      </c>
      <c r="H7" s="171"/>
      <c r="I7" s="171"/>
      <c r="J7" s="171"/>
      <c r="K7" s="172"/>
      <c r="L7" s="172"/>
    </row>
    <row r="8" spans="1:12">
      <c r="B8" s="6" t="str">
        <f>IF(C7="Oui, inclut dans CBS","",IF(C7="Oui","COTS ou Développement interne? (Commercial Off-The-Shelf solution)",IF(C7="Non mais il est prévu","Vous prévoyez quel type de solution?: COTS ou Développement interne? (Commercial Off-The-Shelf solution)","")))</f>
        <v/>
      </c>
      <c r="C8" s="20"/>
      <c r="D8" s="20"/>
      <c r="E8" s="12" t="str">
        <f t="shared" ref="E8:E16" si="0">IF(TRIM(B8)="","",IF(TRIM(C8)="",0,1))</f>
        <v/>
      </c>
      <c r="G8" s="164"/>
      <c r="H8" s="172"/>
      <c r="I8" s="171"/>
      <c r="J8" s="171"/>
      <c r="K8" s="172"/>
      <c r="L8" s="172"/>
    </row>
    <row r="9" spans="1:12">
      <c r="B9" s="6" t="str">
        <f>IF(C7="Oui, inclut dans CBS","",IF(C8="COTS","Nom de l'éditeur et de la solution",""))</f>
        <v/>
      </c>
      <c r="C9" s="20"/>
      <c r="D9" s="20"/>
      <c r="E9" s="12" t="str">
        <f t="shared" si="0"/>
        <v/>
      </c>
      <c r="G9" s="164"/>
      <c r="H9" s="172"/>
      <c r="I9" s="171"/>
      <c r="J9" s="171"/>
      <c r="K9" s="172"/>
      <c r="L9" s="172"/>
    </row>
    <row r="10" spans="1:12">
      <c r="B10" s="6" t="str">
        <f>IF(C7="Oui, inclut dans CBS","",IF(C8="COTS",IF(C7="Oui","L'application est-elle installée sur site ou utilisée sur le Cloud (SaaS) ?","La nouvelle solution sera-t-elle installée sur site ou utilisée sur le Cloud (SaaS) ?"),""))</f>
        <v/>
      </c>
      <c r="C10" s="20"/>
      <c r="D10" s="20"/>
      <c r="E10" s="12" t="str">
        <f t="shared" si="0"/>
        <v/>
      </c>
      <c r="G10" s="164"/>
      <c r="H10" s="172"/>
      <c r="I10" s="173"/>
      <c r="J10" s="173"/>
      <c r="K10" s="172"/>
      <c r="L10" s="172"/>
    </row>
    <row r="11" spans="1:12" s="9" customFormat="1">
      <c r="B11" s="6" t="str">
        <f>IF(C7="Oui, inclut dans CBS","",IF(C7="Oui","Quelle est la criticité de cette application ? combien de temps peut-on supporter son indisponibilité (colonne détail) ?","Quelle est la criticité de ce besoin ?"))</f>
        <v/>
      </c>
      <c r="C11" s="22"/>
      <c r="D11" s="20"/>
      <c r="E11" s="12" t="str">
        <f t="shared" si="0"/>
        <v/>
      </c>
      <c r="G11" s="164"/>
      <c r="H11" s="181"/>
      <c r="I11" s="171"/>
      <c r="J11" s="171"/>
      <c r="K11" s="172"/>
      <c r="L11" s="172"/>
    </row>
    <row r="12" spans="1:12">
      <c r="B12" s="6" t="str">
        <f>IF(C7="Oui, inclut dans CBS","",IF(C7="Oui","Y a-t-il des utilisateurs du Groupe sur les activités de la filiale ?",""))</f>
        <v/>
      </c>
      <c r="C12" s="20"/>
      <c r="D12" s="20"/>
      <c r="E12" s="12" t="str">
        <f t="shared" si="0"/>
        <v/>
      </c>
      <c r="G12" s="164"/>
      <c r="H12" s="172"/>
      <c r="I12" s="171"/>
      <c r="J12" s="171"/>
      <c r="K12" s="172"/>
      <c r="L12" s="172"/>
    </row>
    <row r="13" spans="1:12">
      <c r="B13" s="6" t="str">
        <f>IF(C7="Oui, inclut dans CBS","",IF(C8="COTS",IF(C7="Oui","Quel est le nombre actuel de licences détenues par la filiale?",IF(C7="Non","","Combien de licences projettez-vous d'acquérir ?")),""))</f>
        <v/>
      </c>
      <c r="C13" s="20"/>
      <c r="D13" s="20"/>
      <c r="E13" s="12" t="str">
        <f t="shared" si="0"/>
        <v/>
      </c>
      <c r="G13" s="164"/>
      <c r="H13" s="172"/>
      <c r="I13" s="171"/>
      <c r="J13" s="171"/>
      <c r="K13" s="172"/>
      <c r="L13" s="172"/>
    </row>
    <row r="14" spans="1:12">
      <c r="B14" s="6" t="str">
        <f>IF(C7="Oui, inclut dans CBS","",IF(C8="COTS",IF(C7="Oui","Quel est le coût du support éditeur/partenaire ?",IF(C7&lt;&gt;"Non","Quel sera le coût du support éditeur/partenaire ?","")),""))</f>
        <v/>
      </c>
      <c r="C14" s="20"/>
      <c r="D14" s="20"/>
      <c r="E14" s="12" t="str">
        <f t="shared" si="0"/>
        <v/>
      </c>
      <c r="G14" s="164"/>
      <c r="H14" s="172"/>
      <c r="I14" s="172"/>
      <c r="J14" s="172"/>
      <c r="K14" s="172"/>
      <c r="L14" s="172"/>
    </row>
    <row r="15" spans="1:12">
      <c r="B15" s="6" t="str">
        <f>IF(C7="Oui, inclut dans CBS","",IF(C8="COTS",IF(C7="Oui","Le contrat est-il global couvrant plusieurs filiales ou dédié à la filiale ?",IF(C7&lt;&gt;"Non","Projettez-vous une acquisition individuelle ou groupe ?","")),""))</f>
        <v/>
      </c>
      <c r="C15" s="20"/>
      <c r="D15" s="20"/>
      <c r="E15" s="12" t="str">
        <f t="shared" si="0"/>
        <v/>
      </c>
      <c r="G15" s="164"/>
      <c r="H15" s="172"/>
      <c r="I15" s="172"/>
      <c r="J15" s="172"/>
      <c r="K15" s="172"/>
      <c r="L15" s="172"/>
    </row>
    <row r="16" spans="1:12" ht="15.95" customHeight="1" thickBot="1">
      <c r="B16" s="78" t="str">
        <f>IF(C7="Oui, inclut dans CBS","",IF(AND(C8="COTS",C7="Oui"),"Le contrat comprend-il un SLA formel ? Cela inclut-il un engagement de performance ?",""))</f>
        <v/>
      </c>
      <c r="C16" s="20"/>
      <c r="D16" s="79"/>
      <c r="E16" s="92" t="str">
        <f t="shared" si="0"/>
        <v/>
      </c>
      <c r="G16" s="164"/>
      <c r="H16" s="172"/>
      <c r="I16" s="171"/>
      <c r="J16" s="171"/>
      <c r="K16" s="172"/>
      <c r="L16" s="172"/>
    </row>
    <row r="17" spans="2:12" ht="15.75">
      <c r="B17" s="91" t="s">
        <v>955</v>
      </c>
      <c r="C17" s="84" t="s">
        <v>54</v>
      </c>
      <c r="D17" s="85"/>
      <c r="E17" s="12">
        <f>IF(TRIM(B17)="","",IF(TRIM(C17)="",0,1))</f>
        <v>1</v>
      </c>
      <c r="F17" s="96">
        <f>IF(LEFT(C17,3)="Oui",1,0)</f>
        <v>0</v>
      </c>
      <c r="G17" s="174"/>
      <c r="H17" s="183"/>
      <c r="I17" s="171"/>
      <c r="J17" s="171"/>
      <c r="K17" s="172"/>
      <c r="L17" s="172"/>
    </row>
    <row r="18" spans="2:12">
      <c r="B18" s="6" t="str">
        <f>IF(C17="Oui","COTS ou Développement interne? (Commercial Off-The-Shelf solution)","")</f>
        <v/>
      </c>
      <c r="C18" s="20"/>
      <c r="D18" s="20"/>
      <c r="E18" s="12" t="str">
        <f t="shared" ref="E18:E27" si="1">IF(TRIM(B18)="","",IF(TRIM(C18)="",0,1))</f>
        <v/>
      </c>
      <c r="G18" s="164"/>
      <c r="H18" s="172"/>
      <c r="I18" s="171"/>
      <c r="J18" s="171"/>
      <c r="K18" s="172"/>
      <c r="L18" s="172"/>
    </row>
    <row r="19" spans="2:12">
      <c r="B19" s="6" t="str">
        <f>IF(C17="Oui","Nom de l'éditeur et de la solution","")</f>
        <v/>
      </c>
      <c r="C19" s="20"/>
      <c r="D19" s="20"/>
      <c r="E19" s="12" t="str">
        <f t="shared" si="1"/>
        <v/>
      </c>
      <c r="G19" s="164"/>
      <c r="H19" s="172"/>
      <c r="I19" s="171"/>
      <c r="J19" s="171"/>
      <c r="K19" s="172"/>
      <c r="L19" s="172"/>
    </row>
    <row r="20" spans="2:12">
      <c r="B20" s="6" t="str">
        <f>IF(C17="Oui","Quelle est la version/release de l'application ?","")</f>
        <v/>
      </c>
      <c r="C20" s="20"/>
      <c r="D20" s="20"/>
      <c r="E20" s="12" t="str">
        <f>IF(TRIM(B20)="","",IF(TRIM(C20)="",0,1))</f>
        <v/>
      </c>
      <c r="G20" s="164"/>
      <c r="H20" s="172"/>
      <c r="I20" s="171"/>
      <c r="J20" s="172"/>
      <c r="K20" s="172"/>
      <c r="L20" s="172"/>
    </row>
    <row r="21" spans="2:12">
      <c r="B21" s="6" t="str">
        <f>IF(C17="Oui","L'application est-elle installée sur site ou utilisée sur le Cloud (SaaS) ?","")</f>
        <v/>
      </c>
      <c r="C21" s="20"/>
      <c r="D21" s="20"/>
      <c r="E21" s="12" t="str">
        <f t="shared" si="1"/>
        <v/>
      </c>
      <c r="G21" s="164"/>
      <c r="H21" s="172"/>
      <c r="I21" s="173"/>
      <c r="J21" s="173"/>
      <c r="K21" s="172"/>
      <c r="L21" s="172"/>
    </row>
    <row r="22" spans="2:12" s="9" customFormat="1">
      <c r="B22" s="6" t="str">
        <f>IF(C17="Oui","Quand est-ce que la solution a été déployée ?","")</f>
        <v/>
      </c>
      <c r="C22" s="20"/>
      <c r="D22" s="20"/>
      <c r="E22" s="12" t="str">
        <f t="shared" si="1"/>
        <v/>
      </c>
      <c r="G22" s="164"/>
      <c r="H22" s="181"/>
      <c r="I22" s="173"/>
      <c r="J22" s="173"/>
      <c r="K22" s="172"/>
      <c r="L22" s="172"/>
    </row>
    <row r="23" spans="2:12">
      <c r="B23" s="6" t="str">
        <f>IF(C17="Oui","Y a-t-il des utilisateurs du Groupe sur les activités de la filiale ?","")</f>
        <v/>
      </c>
      <c r="C23" s="20"/>
      <c r="D23" s="20"/>
      <c r="E23" s="12" t="str">
        <f t="shared" si="1"/>
        <v/>
      </c>
      <c r="G23" s="164"/>
      <c r="H23" s="172"/>
      <c r="I23" s="171"/>
      <c r="J23" s="171"/>
      <c r="K23" s="172"/>
      <c r="L23" s="172"/>
    </row>
    <row r="24" spans="2:12">
      <c r="B24" s="6" t="str">
        <f>IF(C17="Oui","Quel est le nombre actuel de licences détenues par la filiale?","")</f>
        <v/>
      </c>
      <c r="C24" s="20"/>
      <c r="D24" s="20"/>
      <c r="E24" s="12" t="str">
        <f t="shared" si="1"/>
        <v/>
      </c>
      <c r="G24" s="164"/>
      <c r="H24" s="172"/>
      <c r="I24" s="171"/>
      <c r="J24" s="172"/>
      <c r="K24" s="172"/>
      <c r="L24" s="172"/>
    </row>
    <row r="25" spans="2:12">
      <c r="B25" s="6" t="str">
        <f>IF(C17="Oui","Quel est le coût du support éditeur/partenaire ?","")</f>
        <v/>
      </c>
      <c r="C25" s="59"/>
      <c r="D25" s="20"/>
      <c r="E25" s="12" t="str">
        <f t="shared" si="1"/>
        <v/>
      </c>
      <c r="G25" s="164"/>
      <c r="H25" s="172"/>
      <c r="I25" s="171"/>
      <c r="J25" s="172"/>
      <c r="K25" s="172"/>
      <c r="L25" s="172"/>
    </row>
    <row r="26" spans="2:12">
      <c r="B26" s="6" t="str">
        <f>IF(C17="Oui","Le contrat est-il global couvrant plusieurs filiales ou dédié à la filiale ?","")</f>
        <v/>
      </c>
      <c r="C26" s="20"/>
      <c r="D26" s="20"/>
      <c r="E26" s="12" t="str">
        <f t="shared" si="1"/>
        <v/>
      </c>
      <c r="G26" s="164"/>
      <c r="H26" s="172"/>
      <c r="I26" s="171"/>
      <c r="J26" s="172"/>
      <c r="K26" s="172"/>
      <c r="L26" s="172"/>
    </row>
    <row r="27" spans="2:12" ht="15.95" customHeight="1">
      <c r="B27" s="81" t="str">
        <f>IF(C17="Oui","Le contrat comprend-il un SLA formel ? Cela inclut-il un engagement de performance ?","")</f>
        <v/>
      </c>
      <c r="C27" s="20"/>
      <c r="D27" s="82"/>
      <c r="E27" s="12" t="str">
        <f t="shared" si="1"/>
        <v/>
      </c>
      <c r="G27" s="164"/>
      <c r="H27" s="172"/>
      <c r="I27" s="171"/>
      <c r="J27" s="171"/>
      <c r="K27" s="172"/>
      <c r="L27" s="172"/>
    </row>
    <row r="28" spans="2:12" ht="29.45" customHeight="1">
      <c r="B28" s="81" t="str">
        <f>IF(C17="Oui","Combien de ETP internes sont dédiés aux changements opérés sur cette solution (incluant Dev, Config, Mise en prod) ?
Veuillez décrire dans la colonne détail la répartition des principales activités, les compétences et les rôles","")</f>
        <v/>
      </c>
      <c r="C28" s="59"/>
      <c r="D28" s="20"/>
      <c r="E28" s="12" t="str">
        <f>IF(TRIM(B28)="","",IF(TRIM(C28)="",0,1))</f>
        <v/>
      </c>
      <c r="G28" s="164"/>
      <c r="H28" s="172"/>
      <c r="I28" s="171"/>
      <c r="J28" s="172"/>
      <c r="K28" s="172"/>
      <c r="L28" s="172"/>
    </row>
    <row r="29" spans="2:12" ht="15" thickBot="1">
      <c r="B29" s="78" t="str">
        <f>IF(C17="Oui","Quels sont les principaux processus qui ont été automatisés avec cet outil ?","")</f>
        <v/>
      </c>
      <c r="C29" s="20"/>
      <c r="D29" s="82"/>
      <c r="E29" s="92" t="str">
        <f>IF(TRIM(B29)="","",IF(TRIM(C29)="",0,1))</f>
        <v/>
      </c>
      <c r="G29" s="175"/>
      <c r="H29" s="172"/>
      <c r="I29" s="171"/>
      <c r="J29" s="171"/>
      <c r="K29" s="172"/>
      <c r="L29" s="172"/>
    </row>
    <row r="30" spans="2:12" ht="15.75">
      <c r="B30" s="91" t="s">
        <v>956</v>
      </c>
      <c r="C30" s="84" t="s">
        <v>54</v>
      </c>
      <c r="D30" s="85"/>
      <c r="E30" s="12">
        <f>IF(TRIM(B30)="","",IF(TRIM(C30)="",0,1))</f>
        <v>1</v>
      </c>
      <c r="F30" s="96">
        <f>IF(LEFT(C30,3)="Oui",1,0)</f>
        <v>0</v>
      </c>
      <c r="G30" s="174"/>
      <c r="H30" s="183"/>
      <c r="I30" s="171"/>
      <c r="J30" s="171"/>
      <c r="K30" s="172"/>
      <c r="L30" s="172"/>
    </row>
    <row r="31" spans="2:12">
      <c r="B31" s="6" t="str">
        <f>IF(C30="Oui, inclut dans CBS","",IF(C30="Oui","COTS ou Développement interne? (Commercial Off-The-Shelf solution)",IF(C30="Non mais il est prévu","Vous prévoyez quel type de solution?: COTS ou Développement interne? (Commercial Off-The-Shelf solution)","")))</f>
        <v/>
      </c>
      <c r="C31" s="20"/>
      <c r="D31" s="20"/>
      <c r="E31" s="12" t="str">
        <f t="shared" ref="E31:E39" si="2">IF(TRIM(B31)="","",IF(TRIM(C31)="",0,1))</f>
        <v/>
      </c>
      <c r="G31" s="164"/>
      <c r="H31" s="172"/>
      <c r="I31" s="171"/>
      <c r="J31" s="171"/>
      <c r="K31" s="172"/>
      <c r="L31" s="172"/>
    </row>
    <row r="32" spans="2:12">
      <c r="B32" s="6" t="str">
        <f>IF(C30="Oui, inclut dans CBS","",IF(AND(C30="Oui",C31="COTS"),"Nom de l'éditeur et de la solution",""))</f>
        <v/>
      </c>
      <c r="C32" s="20"/>
      <c r="D32" s="20"/>
      <c r="E32" s="12" t="str">
        <f t="shared" si="2"/>
        <v/>
      </c>
      <c r="G32" s="164"/>
      <c r="H32" s="172"/>
      <c r="I32" s="171"/>
      <c r="J32" s="171"/>
      <c r="K32" s="172"/>
      <c r="L32" s="172"/>
    </row>
    <row r="33" spans="2:12">
      <c r="B33" s="6" t="str">
        <f>IF(OR(C30="Oui, inclut dans CBS",C30="Non",C30=""),"",IF(C31="COTS",IF(C30="Oui","L'application est-elle installée sur site ou utilisée sur le Cloud (SaaS) ?","La nouvelle solution sera-t-elle installée sur site ou utilisée sur le Cloud (SaaS) ?"),""))</f>
        <v/>
      </c>
      <c r="C33" s="20"/>
      <c r="D33" s="20"/>
      <c r="E33" s="12" t="str">
        <f t="shared" si="2"/>
        <v/>
      </c>
      <c r="G33" s="164"/>
      <c r="H33" s="172"/>
      <c r="I33" s="171"/>
      <c r="J33" s="171"/>
      <c r="K33" s="172"/>
      <c r="L33" s="172"/>
    </row>
    <row r="34" spans="2:12" s="9" customFormat="1">
      <c r="B34" s="6" t="str">
        <f>IF(C30="Oui, inclut dans CBS","",IF(C30="Oui","Quelle est la criticité de cette application ? combien de temps peut-on supporter son indisponibilité (colonne détail) ?","Quelle est la criticité de ce besoin ?"))</f>
        <v>Quelle est la criticité de ce besoin ?</v>
      </c>
      <c r="C34" s="22" t="s">
        <v>719</v>
      </c>
      <c r="D34" s="20"/>
      <c r="E34" s="12">
        <f t="shared" si="2"/>
        <v>1</v>
      </c>
      <c r="G34" s="164"/>
      <c r="H34" s="181"/>
      <c r="I34" s="171"/>
      <c r="J34" s="171"/>
      <c r="K34" s="172"/>
      <c r="L34" s="172"/>
    </row>
    <row r="35" spans="2:12">
      <c r="B35" s="6" t="str">
        <f>IF(C30="Oui, inclut dans CBS","",IF(C30="Oui","Y a-t-il des utilisateurs du Groupe sur les activités de la filiale ?",""))</f>
        <v/>
      </c>
      <c r="C35" s="20"/>
      <c r="D35" s="20"/>
      <c r="E35" s="12" t="str">
        <f t="shared" si="2"/>
        <v/>
      </c>
      <c r="G35" s="164"/>
      <c r="H35" s="172"/>
      <c r="I35" s="171"/>
      <c r="J35" s="171"/>
      <c r="K35" s="172"/>
      <c r="L35" s="172"/>
    </row>
    <row r="36" spans="2:12">
      <c r="B36" s="6" t="str">
        <f>IF(OR(C30="Oui, inclut dans CBS",C30="Non",C30=""),"",IF(C31="COTS",IF(C30="Oui","Quel est le nombre actuel de licences détenues par la filiale?",IF(C30="Non","","Combien de licences projettez-vous d'acquérir ?")),""))</f>
        <v/>
      </c>
      <c r="C36" s="20"/>
      <c r="D36" s="20"/>
      <c r="E36" s="12" t="str">
        <f t="shared" si="2"/>
        <v/>
      </c>
      <c r="G36" s="164"/>
      <c r="H36" s="172"/>
      <c r="I36" s="171"/>
      <c r="J36" s="171"/>
      <c r="K36" s="172"/>
      <c r="L36" s="172"/>
    </row>
    <row r="37" spans="2:12">
      <c r="B37" s="6" t="str">
        <f>IF(OR(C30="Oui, inclut dans CBS",C30="Non",C30=""),"",IF(C31="COTS",IF(C30="Oui","Quel est le coût du support éditeur/partenaire ?",IF(C30&lt;&gt;"Non","Quel sera le coût du support éditeur/partenaire ?","")),""))</f>
        <v/>
      </c>
      <c r="C37" s="59"/>
      <c r="D37" s="20"/>
      <c r="E37" s="12" t="str">
        <f t="shared" si="2"/>
        <v/>
      </c>
      <c r="G37" s="164"/>
      <c r="H37" s="172"/>
      <c r="I37" s="172"/>
      <c r="J37" s="172"/>
      <c r="K37" s="172"/>
      <c r="L37" s="172"/>
    </row>
    <row r="38" spans="2:12">
      <c r="B38" s="6" t="str">
        <f>IF(OR(C30="Oui, inclut dans CBS",C30="Non",C30=""),"",IF(C31="COTS",IF(C30="Oui","Le contrat est-il global couvrant plusieurs filiales ou dédié à la filiale ?",IF(C30&lt;&gt;"Non","Projettez-vous une acquisition individuelle ou groupe ?","")),""))</f>
        <v/>
      </c>
      <c r="C38" s="20"/>
      <c r="D38" s="20"/>
      <c r="E38" s="12" t="str">
        <f t="shared" si="2"/>
        <v/>
      </c>
      <c r="G38" s="164"/>
      <c r="H38" s="172"/>
      <c r="I38" s="172"/>
      <c r="J38" s="172"/>
      <c r="K38" s="172"/>
      <c r="L38" s="172"/>
    </row>
    <row r="39" spans="2:12" ht="15.95" customHeight="1" thickBot="1">
      <c r="B39" s="78" t="str">
        <f>IF(C30="Oui, inclut dans CBS","",IF(AND(C31="COTS",C30="Oui"),"Le contrat comprend-il un SLA formel ? Cela inclut-il un engagement de performance ?",""))</f>
        <v/>
      </c>
      <c r="C39" s="20"/>
      <c r="D39" s="79"/>
      <c r="E39" s="92" t="str">
        <f t="shared" si="2"/>
        <v/>
      </c>
      <c r="G39" s="79"/>
      <c r="H39" s="172"/>
      <c r="I39" s="171"/>
      <c r="J39" s="171"/>
      <c r="K39" s="172"/>
      <c r="L39" s="172"/>
    </row>
    <row r="40" spans="2:12" ht="15.75">
      <c r="B40" s="91" t="s">
        <v>957</v>
      </c>
      <c r="C40" s="84" t="s">
        <v>54</v>
      </c>
      <c r="D40" s="85"/>
      <c r="E40" s="12">
        <f>IF(TRIM(B40)="","",IF(TRIM(C40)="",0,1))</f>
        <v>1</v>
      </c>
      <c r="F40" s="96">
        <f>IF(LEFT(C40,3)="Oui",1,0)</f>
        <v>0</v>
      </c>
      <c r="G40" s="174"/>
      <c r="H40" s="183"/>
      <c r="I40" s="171"/>
      <c r="J40" s="171"/>
      <c r="K40" s="172"/>
      <c r="L40" s="172"/>
    </row>
    <row r="41" spans="2:12">
      <c r="B41" s="6" t="str">
        <f>IF(C40="Oui","COTS ou Développement interne? (Commercial Off-The-Shelf solution)","")</f>
        <v/>
      </c>
      <c r="C41" s="20"/>
      <c r="D41" s="20"/>
      <c r="E41" s="12" t="str">
        <f t="shared" ref="E41:E52" si="3">IF(TRIM(B41)="","",IF(TRIM(C41)="",0,1))</f>
        <v/>
      </c>
      <c r="G41" s="164"/>
      <c r="H41" s="172"/>
      <c r="I41" s="171"/>
      <c r="J41" s="171"/>
      <c r="K41" s="172"/>
      <c r="L41" s="172"/>
    </row>
    <row r="42" spans="2:12">
      <c r="B42" s="6" t="str">
        <f>IF(C40="Oui","Nom de l'éditeur et de la solution","")</f>
        <v/>
      </c>
      <c r="C42" s="20"/>
      <c r="D42" s="20"/>
      <c r="E42" s="12" t="str">
        <f t="shared" si="3"/>
        <v/>
      </c>
      <c r="G42" s="164"/>
      <c r="H42" s="172"/>
      <c r="I42" s="171"/>
      <c r="J42" s="171"/>
      <c r="K42" s="172"/>
      <c r="L42" s="172"/>
    </row>
    <row r="43" spans="2:12">
      <c r="B43" s="6" t="str">
        <f>IF(C40="Oui","Quelle est la version/release de l'application ?","")</f>
        <v/>
      </c>
      <c r="C43" s="20"/>
      <c r="D43" s="20"/>
      <c r="E43" s="12"/>
      <c r="G43" s="164"/>
      <c r="H43" s="172"/>
      <c r="I43" s="171"/>
      <c r="J43" s="172"/>
      <c r="K43" s="172"/>
      <c r="L43" s="172"/>
    </row>
    <row r="44" spans="2:12">
      <c r="B44" s="6" t="str">
        <f>IF(C40="Oui","L'application est-elle installée sur site ou utilisée sur le Cloud (SaaS) ?","")</f>
        <v/>
      </c>
      <c r="C44" s="20"/>
      <c r="D44" s="20"/>
      <c r="E44" s="12"/>
      <c r="G44" s="164"/>
      <c r="H44" s="172"/>
      <c r="I44" s="173"/>
      <c r="J44" s="173"/>
      <c r="K44" s="172"/>
      <c r="L44" s="172"/>
    </row>
    <row r="45" spans="2:12">
      <c r="B45" s="6" t="str">
        <f>IF(C40="Oui","Quand est-ce que la solution a été déployée ?","")</f>
        <v/>
      </c>
      <c r="C45" s="20"/>
      <c r="D45" s="20"/>
      <c r="E45" s="12"/>
      <c r="G45" s="164"/>
      <c r="H45" s="172"/>
      <c r="I45" s="173"/>
      <c r="J45" s="173"/>
      <c r="K45" s="172"/>
      <c r="L45" s="172"/>
    </row>
    <row r="46" spans="2:12">
      <c r="B46" s="6" t="str">
        <f>IF(C40="Oui","Y a-t-il des utilisateurs du Groupe sur les activités de la filiale ?","")</f>
        <v/>
      </c>
      <c r="C46" s="20"/>
      <c r="D46" s="20"/>
      <c r="E46" s="12"/>
      <c r="G46" s="164"/>
      <c r="H46" s="172"/>
      <c r="I46" s="171"/>
      <c r="J46" s="171"/>
      <c r="K46" s="172"/>
      <c r="L46" s="172"/>
    </row>
    <row r="47" spans="2:12">
      <c r="B47" s="6" t="str">
        <f>IF(C40="Oui","Quel est le nombre actuel de licences détenues par la filiale?","")</f>
        <v/>
      </c>
      <c r="C47" s="20"/>
      <c r="D47" s="20"/>
      <c r="E47" s="12"/>
      <c r="G47" s="164"/>
      <c r="H47" s="172"/>
      <c r="I47" s="171"/>
      <c r="J47" s="172"/>
      <c r="K47" s="172"/>
      <c r="L47" s="172"/>
    </row>
    <row r="48" spans="2:12">
      <c r="B48" s="6" t="str">
        <f>IF(C40="Oui","Quel est le coût du support éditeur/partenaire ?","")</f>
        <v/>
      </c>
      <c r="C48" s="20"/>
      <c r="D48" s="20"/>
      <c r="E48" s="12" t="str">
        <f t="shared" si="3"/>
        <v/>
      </c>
      <c r="G48" s="164"/>
      <c r="H48" s="172"/>
      <c r="I48" s="171"/>
      <c r="J48" s="172"/>
      <c r="K48" s="172"/>
      <c r="L48" s="172"/>
    </row>
    <row r="49" spans="2:12">
      <c r="B49" s="6" t="str">
        <f>IF(C40="Oui","Le contrat est-il global couvrant plusieurs filiales ou dédié à la filiale ?","")</f>
        <v/>
      </c>
      <c r="C49" s="20"/>
      <c r="D49" s="20"/>
      <c r="E49" s="12" t="str">
        <f t="shared" si="3"/>
        <v/>
      </c>
      <c r="G49" s="164"/>
      <c r="H49" s="172"/>
      <c r="I49" s="171"/>
      <c r="J49" s="172"/>
      <c r="K49" s="172"/>
      <c r="L49" s="172"/>
    </row>
    <row r="50" spans="2:12">
      <c r="B50" s="81" t="str">
        <f>IF(C40="Oui","Le contrat comprend-il un SLA formel ? Cela inclut-il un engagement de performance ?","")</f>
        <v/>
      </c>
      <c r="C50" s="20"/>
      <c r="D50" s="20"/>
      <c r="E50" s="12" t="str">
        <f t="shared" si="3"/>
        <v/>
      </c>
      <c r="G50" s="164"/>
      <c r="H50" s="172"/>
      <c r="I50" s="171"/>
      <c r="J50" s="171"/>
      <c r="K50" s="172"/>
      <c r="L50" s="172"/>
    </row>
    <row r="51" spans="2:12" ht="28.5" customHeight="1">
      <c r="B51" s="81" t="str">
        <f>IF(C40="Oui","Combien de ETP internes sont dédiés aux changements opérés sur cette solution (incluant Dev, Config, Mise en prod) ?
Veuillez décrire dans la colonne détail la répartition des principales activités, les compétences et les rôles","")</f>
        <v/>
      </c>
      <c r="C51" s="20"/>
      <c r="D51" s="20"/>
      <c r="E51" s="12" t="str">
        <f t="shared" si="3"/>
        <v/>
      </c>
      <c r="G51" s="164"/>
      <c r="H51" s="172"/>
      <c r="I51" s="171"/>
      <c r="J51" s="172"/>
      <c r="K51" s="172"/>
      <c r="L51" s="172"/>
    </row>
    <row r="52" spans="2:12" ht="15" thickBot="1">
      <c r="B52" s="78" t="str">
        <f>IF(C40="Oui","Quels sont les processus ITIL qui ont été implémentés sur outil ?","")</f>
        <v/>
      </c>
      <c r="C52" s="20"/>
      <c r="D52" s="20"/>
      <c r="E52" s="92" t="str">
        <f t="shared" si="3"/>
        <v/>
      </c>
      <c r="G52" s="175"/>
      <c r="H52" s="172"/>
      <c r="I52" s="171"/>
      <c r="J52" s="171"/>
      <c r="K52" s="172"/>
      <c r="L52" s="172"/>
    </row>
    <row r="53" spans="2:12" ht="15.75">
      <c r="B53" s="91" t="s">
        <v>958</v>
      </c>
      <c r="C53" s="84" t="s">
        <v>39</v>
      </c>
      <c r="D53" s="85"/>
      <c r="E53" s="12">
        <f>IF(TRIM(B53)="","",IF(TRIM(C53)="",0,1))</f>
        <v>1</v>
      </c>
      <c r="F53" s="96">
        <f>IF(LEFT(C53,3)="Oui",1,0)</f>
        <v>1</v>
      </c>
      <c r="G53" s="174" t="s">
        <v>39</v>
      </c>
      <c r="H53" s="183"/>
      <c r="I53" s="171"/>
      <c r="J53" s="171"/>
      <c r="K53" s="172"/>
      <c r="L53" s="172"/>
    </row>
    <row r="54" spans="2:12" ht="38.25">
      <c r="B54" s="6" t="str">
        <f>IF(C53="Oui","Pouvez-vous les lister et décrires brièvement leurs fonctionnalités dans la colonne détails ?","")</f>
        <v>Pouvez-vous les lister et décrires brièvement leurs fonctionnalités dans la colonne détails ?</v>
      </c>
      <c r="C54" s="20" t="s">
        <v>959</v>
      </c>
      <c r="D54" s="20"/>
      <c r="E54" s="12">
        <f t="shared" ref="E54:E60" si="4">IF(TRIM(B54)="","",IF(TRIM(C54)="",0,1))</f>
        <v>1</v>
      </c>
      <c r="G54" s="164"/>
      <c r="H54" s="172"/>
      <c r="I54" s="171"/>
      <c r="J54" s="171"/>
      <c r="K54" s="172"/>
      <c r="L54" s="172"/>
    </row>
    <row r="55" spans="2:12">
      <c r="B55" s="6" t="str">
        <f>IF(C53="Oui","Veuillez préciser pour chaque outil si il est installé sur site ou utilisé à partir du Cloud (SaaS) ?","")</f>
        <v>Veuillez préciser pour chaque outil si il est installé sur site ou utilisé à partir du Cloud (SaaS) ?</v>
      </c>
      <c r="C55" s="20" t="s">
        <v>960</v>
      </c>
      <c r="D55" s="20"/>
      <c r="E55" s="12">
        <f t="shared" si="4"/>
        <v>1</v>
      </c>
      <c r="G55" s="164" t="s">
        <v>118</v>
      </c>
      <c r="H55" s="172"/>
      <c r="I55" s="171"/>
      <c r="J55" s="171"/>
      <c r="K55" s="172"/>
      <c r="L55" s="172"/>
    </row>
    <row r="56" spans="2:12">
      <c r="B56" s="6" t="str">
        <f>IF(C53="Oui","Quelle est la criticité de chaque outil ?","")</f>
        <v>Quelle est la criticité de chaque outil ?</v>
      </c>
      <c r="C56" s="20" t="s">
        <v>961</v>
      </c>
      <c r="D56" s="20"/>
      <c r="E56" s="12">
        <f t="shared" si="4"/>
        <v>1</v>
      </c>
      <c r="G56" s="164" t="s">
        <v>54</v>
      </c>
      <c r="H56" s="172"/>
      <c r="I56" s="171"/>
      <c r="J56" s="171"/>
      <c r="K56" s="172"/>
      <c r="L56" s="172"/>
    </row>
    <row r="57" spans="2:12">
      <c r="B57" s="6" t="str">
        <f>IF(C53="Oui","Y a-t-il des utilisateurs du Groupe sur les activités de la filiale ?","")</f>
        <v>Y a-t-il des utilisateurs du Groupe sur les activités de la filiale ?</v>
      </c>
      <c r="C57" s="20" t="s">
        <v>39</v>
      </c>
      <c r="D57" s="20"/>
      <c r="E57" s="12">
        <f t="shared" si="4"/>
        <v>1</v>
      </c>
      <c r="G57" s="164" t="s">
        <v>54</v>
      </c>
      <c r="H57" s="172"/>
      <c r="I57" s="171"/>
      <c r="J57" s="171"/>
      <c r="K57" s="172"/>
      <c r="L57" s="172"/>
    </row>
    <row r="58" spans="2:12">
      <c r="B58" s="6" t="str">
        <f>IF(C53="Oui","Quel est le nombre actuel de licences détenues par la filiale pour chaque outil ?","")</f>
        <v>Quel est le nombre actuel de licences détenues par la filiale pour chaque outil ?</v>
      </c>
      <c r="C58" s="20" t="s">
        <v>962</v>
      </c>
      <c r="D58" s="20"/>
      <c r="E58" s="12">
        <f t="shared" si="4"/>
        <v>1</v>
      </c>
      <c r="G58" s="164" t="s">
        <v>54</v>
      </c>
      <c r="H58" s="172"/>
      <c r="I58" s="171"/>
      <c r="J58" s="171"/>
      <c r="K58" s="172"/>
      <c r="L58" s="172"/>
    </row>
    <row r="59" spans="2:12">
      <c r="B59" s="6" t="str">
        <f>IF(C53="Oui","Quel est le coût du support éditeur/partenaire pour chaque outil ?","")</f>
        <v>Quel est le coût du support éditeur/partenaire pour chaque outil ?</v>
      </c>
      <c r="C59" s="20" t="s">
        <v>368</v>
      </c>
      <c r="D59" s="20"/>
      <c r="E59" s="12">
        <f t="shared" si="4"/>
        <v>1</v>
      </c>
      <c r="G59" s="164" t="s">
        <v>63</v>
      </c>
      <c r="H59" s="172"/>
      <c r="I59" s="171"/>
      <c r="J59" s="171"/>
      <c r="K59" s="172"/>
      <c r="L59" s="172"/>
    </row>
    <row r="60" spans="2:12" ht="15" thickBot="1">
      <c r="B60" s="6" t="str">
        <f>IF(C53="Oui","Quel type de contrat pour chaque outil: global couvrant plusieurs filiales ou dédié à la filiale ?","")</f>
        <v>Quel type de contrat pour chaque outil: global couvrant plusieurs filiales ou dédié à la filiale ?</v>
      </c>
      <c r="C60" s="20" t="s">
        <v>368</v>
      </c>
      <c r="D60" s="20"/>
      <c r="E60" s="92">
        <f t="shared" si="4"/>
        <v>1</v>
      </c>
      <c r="G60" s="175" t="s">
        <v>54</v>
      </c>
      <c r="H60" s="172"/>
      <c r="I60" s="172"/>
      <c r="J60" s="172"/>
      <c r="K60" s="172"/>
      <c r="L60" s="172"/>
    </row>
    <row r="61" spans="2:12" ht="15.75">
      <c r="B61" s="91" t="s">
        <v>963</v>
      </c>
      <c r="C61" s="84" t="s">
        <v>54</v>
      </c>
      <c r="D61" s="85"/>
      <c r="E61" s="12">
        <f>IF(TRIM(B61)="","",IF(TRIM(C61)="",0,1))</f>
        <v>1</v>
      </c>
      <c r="F61" s="96">
        <f>IF(LEFT(C61,3)="Oui",1,0)</f>
        <v>0</v>
      </c>
      <c r="G61" s="174"/>
      <c r="H61" s="183"/>
      <c r="I61" s="171"/>
      <c r="J61" s="171"/>
      <c r="K61" s="172"/>
      <c r="L61" s="172"/>
    </row>
    <row r="62" spans="2:12">
      <c r="B62" s="6" t="str">
        <f>IF(C61="Oui","Pouvez-vous les lister et décrires brièvement leurs fonctionnalités dans la colonne détails ?","")</f>
        <v/>
      </c>
      <c r="C62" s="20"/>
      <c r="D62" s="20"/>
      <c r="E62" s="12" t="str">
        <f t="shared" ref="E62:E68" si="5">IF(TRIM(B62)="","",IF(TRIM(C62)="",0,1))</f>
        <v/>
      </c>
      <c r="G62" s="164"/>
      <c r="H62" s="172"/>
      <c r="I62" s="171"/>
      <c r="J62" s="171"/>
      <c r="K62" s="172"/>
      <c r="L62" s="172"/>
    </row>
    <row r="63" spans="2:12">
      <c r="B63" s="6" t="str">
        <f>IF(C61="Oui","Veuillez préciser pour chaque outil si il est installé sur site ou utilisé à partir du Cloud (SaaS) ?","")</f>
        <v/>
      </c>
      <c r="C63" s="20"/>
      <c r="D63" s="20"/>
      <c r="E63" s="12" t="str">
        <f t="shared" si="5"/>
        <v/>
      </c>
      <c r="G63" s="164"/>
      <c r="H63" s="172"/>
      <c r="I63" s="171"/>
      <c r="J63" s="171"/>
      <c r="K63" s="172"/>
      <c r="L63" s="172"/>
    </row>
    <row r="64" spans="2:12">
      <c r="B64" s="6" t="str">
        <f>IF(C61="Oui","Quelle est la criticité de chaque outil ?","")</f>
        <v/>
      </c>
      <c r="C64" s="20"/>
      <c r="D64" s="20"/>
      <c r="E64" s="12" t="str">
        <f t="shared" si="5"/>
        <v/>
      </c>
      <c r="G64" s="164"/>
      <c r="H64" s="172"/>
      <c r="I64" s="171"/>
      <c r="J64" s="171"/>
      <c r="K64" s="172"/>
      <c r="L64" s="172"/>
    </row>
    <row r="65" spans="2:12">
      <c r="B65" s="6" t="str">
        <f>IF(C61="Oui","Y a-t-il des utilisateurs du Groupe sur les activités de la filiale ?","")</f>
        <v/>
      </c>
      <c r="C65" s="20"/>
      <c r="D65" s="20"/>
      <c r="E65" s="12" t="str">
        <f t="shared" si="5"/>
        <v/>
      </c>
      <c r="G65" s="164"/>
      <c r="H65" s="172"/>
      <c r="I65" s="171"/>
      <c r="J65" s="171"/>
      <c r="K65" s="172"/>
      <c r="L65" s="172"/>
    </row>
    <row r="66" spans="2:12">
      <c r="B66" s="6" t="str">
        <f>IF(C61="Oui","Quel est le nombre actuel de licences détenues par la filiale pour chaque outil ?","")</f>
        <v/>
      </c>
      <c r="C66" s="20"/>
      <c r="D66" s="20"/>
      <c r="E66" s="12" t="str">
        <f t="shared" si="5"/>
        <v/>
      </c>
      <c r="G66" s="164"/>
      <c r="H66" s="172"/>
      <c r="I66" s="171"/>
      <c r="J66" s="171"/>
      <c r="K66" s="172"/>
      <c r="L66" s="172"/>
    </row>
    <row r="67" spans="2:12">
      <c r="B67" s="6" t="str">
        <f>IF(C61="Oui","Quel est le coût du support éditeur/partenaire pour chaque outil ?","")</f>
        <v/>
      </c>
      <c r="C67" s="20"/>
      <c r="D67" s="20"/>
      <c r="E67" s="12" t="str">
        <f t="shared" si="5"/>
        <v/>
      </c>
      <c r="G67" s="164"/>
      <c r="H67" s="172"/>
      <c r="I67" s="171"/>
      <c r="J67" s="171"/>
      <c r="K67" s="172"/>
      <c r="L67" s="172"/>
    </row>
    <row r="68" spans="2:12" ht="15" thickBot="1">
      <c r="B68" s="6" t="str">
        <f>IF(C61="Oui","Quel type de contrat pour chaque outil: global couvrant plusieurs filiales ou dédié à la filiale ?","")</f>
        <v/>
      </c>
      <c r="C68" s="20"/>
      <c r="D68" s="20"/>
      <c r="E68" s="92" t="str">
        <f t="shared" si="5"/>
        <v/>
      </c>
      <c r="G68" s="175"/>
      <c r="H68" s="172"/>
      <c r="I68" s="172"/>
      <c r="J68" s="171"/>
      <c r="K68" s="172"/>
      <c r="L68" s="172"/>
    </row>
    <row r="69" spans="2:12" ht="15.75">
      <c r="B69" s="91" t="s">
        <v>964</v>
      </c>
      <c r="C69" s="84" t="s">
        <v>54</v>
      </c>
      <c r="D69" s="85"/>
      <c r="E69" s="12">
        <f>IF(TRIM(B69)="","",IF(TRIM(C69)="",0,1))</f>
        <v>1</v>
      </c>
      <c r="F69" s="96">
        <f>IF(LEFT(C69,3)="Oui",1,0)</f>
        <v>0</v>
      </c>
      <c r="G69" s="174"/>
      <c r="H69" s="183"/>
      <c r="I69" s="171"/>
      <c r="J69" s="171"/>
      <c r="K69" s="172"/>
      <c r="L69" s="172"/>
    </row>
    <row r="70" spans="2:12">
      <c r="B70" s="6" t="str">
        <f>IF(C69="Oui","Pouvez-vous les lister et décrires brièvement leurs fonctionnalités dans la colonne détails (CI/CD, repository, test automation, …) ?","")</f>
        <v/>
      </c>
      <c r="C70" s="20"/>
      <c r="D70" s="20"/>
      <c r="E70" s="12" t="str">
        <f t="shared" ref="E70:E76" si="6">IF(TRIM(B70)="","",IF(TRIM(C70)="",0,1))</f>
        <v/>
      </c>
      <c r="G70" s="164"/>
      <c r="H70" s="172"/>
      <c r="I70" s="171"/>
      <c r="J70" s="171"/>
      <c r="K70" s="172"/>
      <c r="L70" s="172"/>
    </row>
    <row r="71" spans="2:12">
      <c r="B71" s="6" t="str">
        <f>IF(C69="Oui","Veuillez préciser pour chaque outil si il est installé sur site ou utilisé à partir du Cloud (SaaS) ?","")</f>
        <v/>
      </c>
      <c r="C71" s="20"/>
      <c r="D71" s="20"/>
      <c r="E71" s="12" t="str">
        <f t="shared" si="6"/>
        <v/>
      </c>
      <c r="G71" s="164"/>
      <c r="H71" s="172"/>
      <c r="I71" s="171"/>
      <c r="J71" s="171"/>
      <c r="K71" s="172"/>
      <c r="L71" s="172"/>
    </row>
    <row r="72" spans="2:12">
      <c r="B72" s="6" t="str">
        <f>IF(C69="Oui","Quelle est la criticité de chaque outil ?","")</f>
        <v/>
      </c>
      <c r="C72" s="20"/>
      <c r="D72" s="20"/>
      <c r="E72" s="12" t="str">
        <f t="shared" si="6"/>
        <v/>
      </c>
      <c r="G72" s="164"/>
      <c r="H72" s="172"/>
      <c r="I72" s="171"/>
      <c r="J72" s="171"/>
      <c r="K72" s="172"/>
      <c r="L72" s="172"/>
    </row>
    <row r="73" spans="2:12">
      <c r="B73" s="6" t="str">
        <f>IF(C69="Oui","Y a-t-il des utilisateurs du Groupe sur les activités de la filiale ?","")</f>
        <v/>
      </c>
      <c r="C73" s="20"/>
      <c r="D73" s="20"/>
      <c r="E73" s="12" t="str">
        <f t="shared" si="6"/>
        <v/>
      </c>
      <c r="G73" s="164"/>
      <c r="H73" s="172"/>
      <c r="I73" s="171"/>
      <c r="J73" s="171"/>
      <c r="K73" s="172"/>
      <c r="L73" s="172"/>
    </row>
    <row r="74" spans="2:12">
      <c r="B74" s="6" t="str">
        <f>IF(C69="Oui","Quel est le nombre actuel de licences détenues par la filiale pour chaque outil ?","")</f>
        <v/>
      </c>
      <c r="C74" s="20"/>
      <c r="D74" s="20"/>
      <c r="E74" s="12" t="str">
        <f t="shared" si="6"/>
        <v/>
      </c>
      <c r="G74" s="164"/>
      <c r="H74" s="172"/>
      <c r="I74" s="171"/>
      <c r="J74" s="171"/>
      <c r="K74" s="172"/>
      <c r="L74" s="172"/>
    </row>
    <row r="75" spans="2:12">
      <c r="B75" s="6" t="str">
        <f>IF(C69="Oui","Quel est le coût du support éditeur/partenaire pour chaque outil ?","")</f>
        <v/>
      </c>
      <c r="C75" s="20"/>
      <c r="D75" s="20"/>
      <c r="E75" s="12" t="str">
        <f t="shared" si="6"/>
        <v/>
      </c>
      <c r="G75" s="164"/>
      <c r="H75" s="172"/>
      <c r="I75" s="171"/>
      <c r="J75" s="171"/>
      <c r="K75" s="172"/>
      <c r="L75" s="172"/>
    </row>
    <row r="76" spans="2:12" ht="15" thickBot="1">
      <c r="B76" s="6" t="str">
        <f>IF(C69="Oui","Quel type de contrat pour chaque outil: global couvrant plusieurs filiales ou dédié à la filiale ?","")</f>
        <v/>
      </c>
      <c r="C76" s="20"/>
      <c r="D76" s="20"/>
      <c r="E76" s="92" t="str">
        <f t="shared" si="6"/>
        <v/>
      </c>
      <c r="G76" s="175"/>
      <c r="H76" s="172"/>
      <c r="I76" s="172"/>
      <c r="J76" s="172"/>
      <c r="K76" s="171"/>
      <c r="L76" s="172"/>
    </row>
    <row r="77" spans="2:12" ht="15.75">
      <c r="B77" s="91" t="s">
        <v>965</v>
      </c>
      <c r="C77" s="84" t="s">
        <v>54</v>
      </c>
      <c r="D77" s="85"/>
      <c r="E77" s="12">
        <f>IF(TRIM(B77)="","",IF(TRIM(C77)="",0,1))</f>
        <v>1</v>
      </c>
      <c r="F77" s="96">
        <f>IF(LEFT(C77,3)="Oui",1,0)</f>
        <v>0</v>
      </c>
      <c r="G77" s="164"/>
      <c r="H77" s="183"/>
      <c r="I77" s="171"/>
      <c r="J77" s="171"/>
      <c r="K77" s="172"/>
      <c r="L77" s="172"/>
    </row>
    <row r="78" spans="2:12">
      <c r="B78" s="6" t="str">
        <f>IF(C77="Oui","Pouvez-vous les lister et décrires brièvement leurs fonctionnalités dans la colonne détails ?","")</f>
        <v/>
      </c>
      <c r="C78" s="20"/>
      <c r="D78" s="20"/>
      <c r="E78" s="12" t="str">
        <f t="shared" ref="E78:E84" si="7">IF(TRIM(B78)="","",IF(TRIM(C78)="",0,1))</f>
        <v/>
      </c>
      <c r="G78" s="164"/>
      <c r="H78" s="172"/>
      <c r="I78" s="171"/>
      <c r="J78" s="171"/>
      <c r="K78" s="172"/>
      <c r="L78" s="172"/>
    </row>
    <row r="79" spans="2:12">
      <c r="B79" s="6" t="str">
        <f>IF(C77="Oui","Veuillez préciser pour chaque outil si il est installé sur site ou utilisé à partir du Cloud (SaaS) ?","")</f>
        <v/>
      </c>
      <c r="C79" s="20"/>
      <c r="D79" s="20"/>
      <c r="E79" s="12" t="str">
        <f t="shared" si="7"/>
        <v/>
      </c>
      <c r="G79" s="164"/>
      <c r="H79" s="172"/>
      <c r="I79" s="171"/>
      <c r="J79" s="171"/>
      <c r="K79" s="172"/>
      <c r="L79" s="172"/>
    </row>
    <row r="80" spans="2:12">
      <c r="B80" s="6" t="str">
        <f>IF(C77="Oui","Quelle est la criticité de chaque outil ?","")</f>
        <v/>
      </c>
      <c r="C80" s="20"/>
      <c r="D80" s="20"/>
      <c r="E80" s="12" t="str">
        <f t="shared" si="7"/>
        <v/>
      </c>
      <c r="G80" s="164"/>
      <c r="H80" s="172"/>
      <c r="I80" s="171"/>
      <c r="J80" s="171"/>
      <c r="K80" s="172"/>
      <c r="L80" s="172"/>
    </row>
    <row r="81" spans="2:12">
      <c r="B81" s="6" t="str">
        <f>IF(C77="Oui","Y a-t-il des utilisateurs du Groupe sur les activités de la filiale ?","")</f>
        <v/>
      </c>
      <c r="C81" s="20"/>
      <c r="D81" s="20"/>
      <c r="E81" s="12" t="str">
        <f t="shared" si="7"/>
        <v/>
      </c>
      <c r="G81" s="164"/>
      <c r="H81" s="172"/>
      <c r="I81" s="171"/>
      <c r="J81" s="171"/>
      <c r="K81" s="172"/>
      <c r="L81" s="172"/>
    </row>
    <row r="82" spans="2:12">
      <c r="B82" s="6" t="str">
        <f>IF(C77="Oui","Quel est le nombre actuel de licences détenues par la filiale pour chaque outil ?","")</f>
        <v/>
      </c>
      <c r="C82" s="20"/>
      <c r="D82" s="20"/>
      <c r="E82" s="12" t="str">
        <f t="shared" si="7"/>
        <v/>
      </c>
      <c r="G82" s="164"/>
      <c r="H82" s="172"/>
      <c r="I82" s="171"/>
      <c r="J82" s="171"/>
      <c r="K82" s="172"/>
      <c r="L82" s="172"/>
    </row>
    <row r="83" spans="2:12">
      <c r="B83" s="6" t="str">
        <f>IF(C77="Oui","Quel est le coût du support éditeur/partenaire pour chaque outil ?","")</f>
        <v/>
      </c>
      <c r="C83" s="20"/>
      <c r="D83" s="20"/>
      <c r="E83" s="12" t="str">
        <f t="shared" si="7"/>
        <v/>
      </c>
      <c r="G83" s="164"/>
      <c r="H83" s="172"/>
      <c r="I83" s="171"/>
      <c r="J83" s="171"/>
      <c r="K83" s="172"/>
      <c r="L83" s="172"/>
    </row>
    <row r="84" spans="2:12" ht="15" thickBot="1">
      <c r="B84" s="6" t="str">
        <f>IF(C77="Oui","Quel type de contrat pour chaque outil: global couvrant plusieurs filiales ou dédié à la filiale ?","")</f>
        <v/>
      </c>
      <c r="C84" s="20"/>
      <c r="D84" s="20"/>
      <c r="E84" s="92" t="str">
        <f t="shared" si="7"/>
        <v/>
      </c>
      <c r="G84" s="176"/>
      <c r="H84" s="172"/>
      <c r="I84" s="172"/>
      <c r="J84" s="172"/>
      <c r="K84" s="172"/>
      <c r="L84" s="172"/>
    </row>
    <row r="85" spans="2:12" ht="15.75">
      <c r="B85" s="91" t="s">
        <v>966</v>
      </c>
      <c r="C85" s="84" t="s">
        <v>54</v>
      </c>
      <c r="D85" s="85" t="s">
        <v>60</v>
      </c>
      <c r="E85" s="12">
        <f>IF(TRIM(B85)="","",IF(TRIM(C85)="",0,1))</f>
        <v>1</v>
      </c>
      <c r="F85" s="96">
        <f>IF(LEFT(C85,3)="Oui",1,0)</f>
        <v>0</v>
      </c>
      <c r="G85" s="174"/>
      <c r="H85" s="183"/>
      <c r="I85" s="171"/>
      <c r="J85" s="171"/>
      <c r="K85" s="172"/>
      <c r="L85" s="172"/>
    </row>
    <row r="86" spans="2:12">
      <c r="B86" s="6" t="str">
        <f>IF(C85="Oui","Pouvez-vous les lister et décrires brièvement leurs fonctionnalités dans la colonne détails ?","")</f>
        <v/>
      </c>
      <c r="C86" s="20"/>
      <c r="D86" s="20"/>
      <c r="E86" s="12" t="str">
        <f t="shared" ref="E86:E92" si="8">IF(TRIM(B86)="","",IF(TRIM(C86)="",0,1))</f>
        <v/>
      </c>
      <c r="G86" s="164"/>
      <c r="H86" s="172"/>
      <c r="I86" s="171"/>
      <c r="J86" s="171"/>
      <c r="K86" s="172"/>
      <c r="L86" s="172"/>
    </row>
    <row r="87" spans="2:12">
      <c r="B87" s="6" t="str">
        <f>IF(C85="Oui","Veuillez préciser pour chaque outil s'il est installé sur site ou utilisé à partir du Cloud (SaaS) ?","")</f>
        <v/>
      </c>
      <c r="C87" s="20"/>
      <c r="D87" s="20"/>
      <c r="E87" s="12" t="str">
        <f t="shared" si="8"/>
        <v/>
      </c>
      <c r="G87" s="164"/>
      <c r="H87" s="172"/>
      <c r="I87" s="171"/>
      <c r="J87" s="171"/>
      <c r="K87" s="172"/>
      <c r="L87" s="172"/>
    </row>
    <row r="88" spans="2:12">
      <c r="B88" s="6" t="str">
        <f>IF(C85="Oui","Quelle est la criticité de chaque outil ?","")</f>
        <v/>
      </c>
      <c r="C88" s="20"/>
      <c r="D88" s="20"/>
      <c r="E88" s="12" t="str">
        <f t="shared" si="8"/>
        <v/>
      </c>
      <c r="G88" s="164"/>
      <c r="H88" s="172"/>
      <c r="I88" s="171"/>
      <c r="J88" s="171"/>
      <c r="K88" s="172"/>
      <c r="L88" s="172"/>
    </row>
    <row r="89" spans="2:12">
      <c r="B89" s="6" t="str">
        <f>IF(C85="Oui","Y a-t-il des utilisateurs du Groupe sur les activités de la filiale ? Si oui, veuillez décrire","")</f>
        <v/>
      </c>
      <c r="C89" s="20"/>
      <c r="D89" s="20"/>
      <c r="E89" s="12" t="str">
        <f t="shared" si="8"/>
        <v/>
      </c>
      <c r="G89" s="164"/>
      <c r="H89" s="172"/>
      <c r="I89" s="171"/>
      <c r="J89" s="171"/>
      <c r="K89" s="172"/>
      <c r="L89" s="172"/>
    </row>
    <row r="90" spans="2:12">
      <c r="B90" s="6" t="str">
        <f>IF(C85="Oui","Quel est le nombre actuel de licences détenues par la filiale pour chaque outil ?","")</f>
        <v/>
      </c>
      <c r="C90" s="20"/>
      <c r="D90" s="20"/>
      <c r="E90" s="12" t="str">
        <f t="shared" si="8"/>
        <v/>
      </c>
      <c r="G90" s="164"/>
      <c r="H90" s="172"/>
      <c r="I90" s="171"/>
      <c r="J90" s="171"/>
      <c r="K90" s="172"/>
      <c r="L90" s="172"/>
    </row>
    <row r="91" spans="2:12">
      <c r="B91" s="6" t="str">
        <f>IF(C85="Oui","Quel est le coût du support éditeur/partenaire pour chaque outil ?","")</f>
        <v/>
      </c>
      <c r="C91" s="20"/>
      <c r="D91" s="20"/>
      <c r="E91" s="12" t="str">
        <f t="shared" si="8"/>
        <v/>
      </c>
      <c r="G91" s="164"/>
      <c r="H91" s="172"/>
      <c r="I91" s="171"/>
      <c r="J91" s="171"/>
      <c r="K91" s="172"/>
      <c r="L91" s="172"/>
    </row>
    <row r="92" spans="2:12" ht="15" thickBot="1">
      <c r="B92" s="78" t="str">
        <f>IF(C85="Oui","Quel type de contrat pour chaque outil: global couvrant plusieurs filiales ou dédié à la filiale ?","")</f>
        <v/>
      </c>
      <c r="C92" s="79"/>
      <c r="D92" s="79"/>
      <c r="E92" s="92" t="str">
        <f t="shared" si="8"/>
        <v/>
      </c>
      <c r="G92" s="175"/>
      <c r="H92" s="172"/>
      <c r="I92" s="172"/>
      <c r="J92" s="172"/>
      <c r="K92" s="172"/>
      <c r="L92" s="172"/>
    </row>
    <row r="93" spans="2:12">
      <c r="E93" s="95">
        <f>SUM(E8:E92)/COUNT(E8:E92)</f>
        <v>1</v>
      </c>
      <c r="F93" s="12">
        <f>SUM(F7:F92)</f>
        <v>2</v>
      </c>
      <c r="H93" s="15"/>
      <c r="I93" s="15"/>
      <c r="J93" s="15"/>
    </row>
    <row r="123" spans="1:1">
      <c r="A123" t="s">
        <v>223</v>
      </c>
    </row>
  </sheetData>
  <sheetProtection formatRows="0"/>
  <mergeCells count="1">
    <mergeCell ref="A1:B1"/>
  </mergeCells>
  <conditionalFormatting sqref="B8:B29">
    <cfRule type="containsBlanks" dxfId="60" priority="47">
      <formula>LEN(TRIM(B8))=0</formula>
    </cfRule>
  </conditionalFormatting>
  <conditionalFormatting sqref="B31:B52">
    <cfRule type="containsBlanks" dxfId="59" priority="42">
      <formula>LEN(TRIM(B31))=0</formula>
    </cfRule>
  </conditionalFormatting>
  <conditionalFormatting sqref="B54:B60 B70:B76 B78:B84 B86:B92">
    <cfRule type="containsBlanks" dxfId="58" priority="131">
      <formula>LEN(TRIM(B54))=0</formula>
    </cfRule>
  </conditionalFormatting>
  <conditionalFormatting sqref="B62:B68">
    <cfRule type="containsBlanks" dxfId="57" priority="78">
      <formula>LEN(TRIM(B62))=0</formula>
    </cfRule>
  </conditionalFormatting>
  <conditionalFormatting sqref="C1">
    <cfRule type="containsBlanks" dxfId="56" priority="5">
      <formula>LEN(TRIM(C1))=0</formula>
    </cfRule>
  </conditionalFormatting>
  <conditionalFormatting sqref="C7 C17">
    <cfRule type="expression" dxfId="55" priority="124">
      <formula>AND($B7&lt;&gt;"",$C7="")</formula>
    </cfRule>
    <cfRule type="expression" dxfId="54" priority="125">
      <formula>$B7=""</formula>
    </cfRule>
  </conditionalFormatting>
  <conditionalFormatting sqref="C18:C29 C8:C16 C54:C60 C62:C68 C70:C76 C78:C84 C86:C92">
    <cfRule type="expression" dxfId="53" priority="130">
      <formula>AND($B8&lt;&gt;"",$C8="")</formula>
    </cfRule>
  </conditionalFormatting>
  <conditionalFormatting sqref="C27">
    <cfRule type="expression" dxfId="52" priority="36">
      <formula>$B27=""</formula>
    </cfRule>
  </conditionalFormatting>
  <conditionalFormatting sqref="C29:C30">
    <cfRule type="expression" dxfId="51" priority="41">
      <formula>$B29=""</formula>
    </cfRule>
  </conditionalFormatting>
  <conditionalFormatting sqref="C30:C39">
    <cfRule type="expression" dxfId="50" priority="40">
      <formula>AND($B30&lt;&gt;"",$C30="")</formula>
    </cfRule>
  </conditionalFormatting>
  <conditionalFormatting sqref="C40">
    <cfRule type="expression" dxfId="49" priority="1">
      <formula>AND($B40&lt;&gt;"",$C40="")</formula>
    </cfRule>
  </conditionalFormatting>
  <conditionalFormatting sqref="C40:C52">
    <cfRule type="expression" dxfId="48" priority="2">
      <formula>$B40=""</formula>
    </cfRule>
  </conditionalFormatting>
  <conditionalFormatting sqref="C53">
    <cfRule type="expression" dxfId="47" priority="118">
      <formula>AND($B53&lt;&gt;"",$C53="")</formula>
    </cfRule>
  </conditionalFormatting>
  <conditionalFormatting sqref="C53:C57">
    <cfRule type="expression" dxfId="46" priority="119">
      <formula>$B53=""</formula>
    </cfRule>
  </conditionalFormatting>
  <conditionalFormatting sqref="C61">
    <cfRule type="expression" dxfId="45" priority="69">
      <formula>AND($B61&lt;&gt;"",$C61="")</formula>
    </cfRule>
  </conditionalFormatting>
  <conditionalFormatting sqref="C61:C65">
    <cfRule type="expression" dxfId="44" priority="70">
      <formula>$B61=""</formula>
    </cfRule>
  </conditionalFormatting>
  <conditionalFormatting sqref="C68">
    <cfRule type="expression" dxfId="43" priority="35">
      <formula>$B68=""</formula>
    </cfRule>
  </conditionalFormatting>
  <conditionalFormatting sqref="C69">
    <cfRule type="expression" dxfId="42" priority="65">
      <formula>AND($B69&lt;&gt;"",$C69="")</formula>
    </cfRule>
  </conditionalFormatting>
  <conditionalFormatting sqref="C69:C73">
    <cfRule type="expression" dxfId="41" priority="66">
      <formula>$B69=""</formula>
    </cfRule>
  </conditionalFormatting>
  <conditionalFormatting sqref="C76">
    <cfRule type="expression" dxfId="40" priority="34">
      <formula>$B76=""</formula>
    </cfRule>
  </conditionalFormatting>
  <conditionalFormatting sqref="C77">
    <cfRule type="expression" dxfId="39" priority="63">
      <formula>AND($B77&lt;&gt;"",$C77="")</formula>
    </cfRule>
  </conditionalFormatting>
  <conditionalFormatting sqref="C77:C81">
    <cfRule type="expression" dxfId="38" priority="64">
      <formula>$B77=""</formula>
    </cfRule>
  </conditionalFormatting>
  <conditionalFormatting sqref="C84">
    <cfRule type="expression" dxfId="37" priority="33">
      <formula>$B84=""</formula>
    </cfRule>
  </conditionalFormatting>
  <conditionalFormatting sqref="C85">
    <cfRule type="expression" dxfId="36" priority="59">
      <formula>AND($B85&lt;&gt;"",$C85="")</formula>
    </cfRule>
  </conditionalFormatting>
  <conditionalFormatting sqref="C85:C89">
    <cfRule type="expression" dxfId="35" priority="60">
      <formula>$B85=""</formula>
    </cfRule>
  </conditionalFormatting>
  <conditionalFormatting sqref="C92">
    <cfRule type="expression" dxfId="34" priority="32">
      <formula>$B92=""</formula>
    </cfRule>
  </conditionalFormatting>
  <conditionalFormatting sqref="C8:D16">
    <cfRule type="expression" dxfId="33" priority="126">
      <formula>$B8=""</formula>
    </cfRule>
  </conditionalFormatting>
  <conditionalFormatting sqref="C18:D29 D41:D52">
    <cfRule type="expression" dxfId="32" priority="127">
      <formula>$B18=""</formula>
    </cfRule>
  </conditionalFormatting>
  <conditionalFormatting sqref="C31:D39">
    <cfRule type="expression" dxfId="31" priority="38">
      <formula>$B31=""</formula>
    </cfRule>
  </conditionalFormatting>
  <conditionalFormatting sqref="C54:D60">
    <cfRule type="expression" dxfId="30" priority="120">
      <formula>$B54=""</formula>
    </cfRule>
  </conditionalFormatting>
  <conditionalFormatting sqref="C62:D68">
    <cfRule type="expression" dxfId="29" priority="77">
      <formula>$B62=""</formula>
    </cfRule>
  </conditionalFormatting>
  <conditionalFormatting sqref="C70:D76">
    <cfRule type="expression" dxfId="28" priority="74">
      <formula>$B70=""</formula>
    </cfRule>
  </conditionalFormatting>
  <conditionalFormatting sqref="C78:D84">
    <cfRule type="expression" dxfId="27" priority="73">
      <formula>$B78=""</formula>
    </cfRule>
  </conditionalFormatting>
  <conditionalFormatting sqref="C86:D92">
    <cfRule type="expression" dxfId="26" priority="71">
      <formula>$B86=""</formula>
    </cfRule>
  </conditionalFormatting>
  <conditionalFormatting sqref="G7 G81:G92 G12 G14:G15 G17:G23 G53:G77">
    <cfRule type="expression" dxfId="25" priority="31">
      <formula>AND($B7&lt;&gt;"",#REF!="")</formula>
    </cfRule>
  </conditionalFormatting>
  <conditionalFormatting sqref="G7 G81:G92">
    <cfRule type="expression" dxfId="24" priority="30">
      <formula>$B7=""</formula>
    </cfRule>
  </conditionalFormatting>
  <conditionalFormatting sqref="G8:G9">
    <cfRule type="expression" dxfId="23" priority="28">
      <formula>$B12=""</formula>
    </cfRule>
    <cfRule type="expression" dxfId="22" priority="29">
      <formula>AND($B12&lt;&gt;"",#REF!="")</formula>
    </cfRule>
  </conditionalFormatting>
  <conditionalFormatting sqref="G10:G11">
    <cfRule type="expression" dxfId="21" priority="6">
      <formula>$B10=""</formula>
    </cfRule>
    <cfRule type="expression" dxfId="20" priority="7">
      <formula>AND($B10&lt;&gt;"",#REF!="")</formula>
    </cfRule>
  </conditionalFormatting>
  <conditionalFormatting sqref="G12:G15">
    <cfRule type="expression" dxfId="19" priority="26">
      <formula>$B12=""</formula>
    </cfRule>
  </conditionalFormatting>
  <conditionalFormatting sqref="G13">
    <cfRule type="expression" dxfId="18" priority="25">
      <formula>AND($B13&lt;&gt;"",#REF!="")</formula>
    </cfRule>
    <cfRule type="expression" dxfId="17" priority="27">
      <formula>AND($B13&lt;&gt;"",#REF!="")</formula>
    </cfRule>
  </conditionalFormatting>
  <conditionalFormatting sqref="G16">
    <cfRule type="expression" dxfId="16" priority="24">
      <formula>AND($B16&lt;&gt;"",#REF!="")</formula>
    </cfRule>
  </conditionalFormatting>
  <conditionalFormatting sqref="G16:G23">
    <cfRule type="expression" dxfId="15" priority="23">
      <formula>$B16=""</formula>
    </cfRule>
  </conditionalFormatting>
  <conditionalFormatting sqref="G24:G29">
    <cfRule type="expression" dxfId="14" priority="21">
      <formula>$B19=""</formula>
    </cfRule>
    <cfRule type="expression" dxfId="13" priority="22">
      <formula>AND($B19&lt;&gt;"",#REF!="")</formula>
    </cfRule>
  </conditionalFormatting>
  <conditionalFormatting sqref="G30:G36">
    <cfRule type="expression" dxfId="12" priority="17">
      <formula>$B30=""</formula>
    </cfRule>
    <cfRule type="expression" dxfId="11" priority="18">
      <formula>AND($B30&lt;&gt;"",#REF!="")</formula>
    </cfRule>
  </conditionalFormatting>
  <conditionalFormatting sqref="G37:G38">
    <cfRule type="expression" dxfId="10" priority="15">
      <formula>$B32=""</formula>
    </cfRule>
    <cfRule type="expression" dxfId="9" priority="16">
      <formula>AND($B32&lt;&gt;"",#REF!="")</formula>
    </cfRule>
  </conditionalFormatting>
  <conditionalFormatting sqref="G39:G46">
    <cfRule type="expression" dxfId="8" priority="13">
      <formula>$B39=""</formula>
    </cfRule>
  </conditionalFormatting>
  <conditionalFormatting sqref="G40:G46">
    <cfRule type="expression" dxfId="7" priority="14">
      <formula>AND($B40&lt;&gt;"",#REF!="")</formula>
    </cfRule>
  </conditionalFormatting>
  <conditionalFormatting sqref="G47:G52">
    <cfRule type="expression" dxfId="6" priority="11">
      <formula>$B42=""</formula>
    </cfRule>
    <cfRule type="expression" dxfId="5" priority="12">
      <formula>AND($B42&lt;&gt;"",#REF!="")</formula>
    </cfRule>
  </conditionalFormatting>
  <conditionalFormatting sqref="G53:G78">
    <cfRule type="expression" dxfId="4" priority="9">
      <formula>$B53=""</formula>
    </cfRule>
  </conditionalFormatting>
  <conditionalFormatting sqref="G78">
    <cfRule type="expression" dxfId="3" priority="8">
      <formula>AND($B78&lt;&gt;"",#REF!="")</formula>
    </cfRule>
    <cfRule type="expression" dxfId="2" priority="10">
      <formula>AND($B78&lt;&gt;"",#REF!="")</formula>
    </cfRule>
  </conditionalFormatting>
  <conditionalFormatting sqref="G79:G80">
    <cfRule type="expression" dxfId="1" priority="19">
      <formula>$B83=""</formula>
    </cfRule>
    <cfRule type="expression" dxfId="0" priority="20">
      <formula>AND($B83&lt;&gt;"",#REF!="")</formula>
    </cfRule>
  </conditionalFormatting>
  <dataValidations count="9">
    <dataValidation type="list" allowBlank="1" showInputMessage="1" showErrorMessage="1" sqref="C8 C31 C18" xr:uid="{00000000-0002-0000-1900-000000000000}">
      <formula1>"COTS,Développement interne"</formula1>
    </dataValidation>
    <dataValidation type="list" allowBlank="1" showInputMessage="1" showErrorMessage="1" sqref="C11 C34" xr:uid="{00000000-0002-0000-1900-000001000000}">
      <formula1>"Primoridal,Critique,Moyen,Faible"</formula1>
    </dataValidation>
    <dataValidation type="list" allowBlank="1" showInputMessage="1" showErrorMessage="1" sqref="C12 C53 C61 C17 C69 C77 C85 C35 C89 C23 C40" xr:uid="{00000000-0002-0000-1900-000002000000}">
      <formula1>"Oui,Non"</formula1>
    </dataValidation>
    <dataValidation type="list" allowBlank="1" showInputMessage="1" showErrorMessage="1" sqref="C26 C15 C84 C38 C92 C17:C18 C68 C76" xr:uid="{00000000-0002-0000-1900-000003000000}">
      <formula1>"Global,Dédié"</formula1>
    </dataValidation>
    <dataValidation type="list" allowBlank="1" showInputMessage="1" showErrorMessage="1" sqref="C10 C33 C21" xr:uid="{00000000-0002-0000-1900-000004000000}">
      <formula1>"On-site,Cloud"</formula1>
    </dataValidation>
    <dataValidation type="list" allowBlank="1" showInputMessage="1" showErrorMessage="1" sqref="C26:C27 C84 C92 C16:C18 C29 C68 C76 C39" xr:uid="{00000000-0002-0000-1900-000005000000}">
      <formula1>"Oui et oui,Oui et non,Non pour les 2"</formula1>
    </dataValidation>
    <dataValidation type="list" allowBlank="1" showInputMessage="1" showErrorMessage="1" sqref="C7 C30" xr:uid="{00000000-0002-0000-1900-000006000000}">
      <formula1>"Oui,Oui, inclut dans CBS,Non,Non mais il est prévu"</formula1>
    </dataValidation>
    <dataValidation type="list" allowBlank="1" showInputMessage="1" showErrorMessage="1" sqref="G79:G92 G14:G15 G17:G38 G8:G9 G12 G56:G77 G40:G54" xr:uid="{00000000-0002-0000-1900-000007000000}">
      <formula1>"Oui,Non,Pourquoi?"</formula1>
    </dataValidation>
    <dataValidation type="list" allowBlank="1" showInputMessage="1" showErrorMessage="1" sqref="G13 G78" xr:uid="{00000000-0002-0000-1900-000008000000}">
      <formula1>"Oui,Non,Détails"</formula1>
    </dataValidation>
  </dataValidations>
  <hyperlinks>
    <hyperlink ref="A1" location="Sommaire!A1" display="Retour à la page d'accueil" xr:uid="{00000000-0004-0000-1900-000000000000}"/>
    <hyperlink ref="A1:B1" location="Accueil!A1" display="Retour à la page d'accueil" xr:uid="{00000000-0004-0000-1900-000001000000}"/>
  </hyperlinks>
  <pageMargins left="0.7" right="0.7" top="0.75" bottom="0.75" header="0.3" footer="0.3"/>
  <pageSetup paperSize="9"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0323DE079DA0469D16767F4726A612" ma:contentTypeVersion="4" ma:contentTypeDescription="Crée un document." ma:contentTypeScope="" ma:versionID="6609da79e70465f5c39a22a20fca3451">
  <xsd:schema xmlns:xsd="http://www.w3.org/2001/XMLSchema" xmlns:xs="http://www.w3.org/2001/XMLSchema" xmlns:p="http://schemas.microsoft.com/office/2006/metadata/properties" xmlns:ns2="f083fd28-3005-4bb4-a997-ff8ba28454dc" targetNamespace="http://schemas.microsoft.com/office/2006/metadata/properties" ma:root="true" ma:fieldsID="9489606afa71627d1606701ea1d35f8c" ns2:_="">
    <xsd:import namespace="f083fd28-3005-4bb4-a997-ff8ba28454d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83fd28-3005-4bb4-a997-ff8ba28454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B67827C-C86B-4796-90BD-2A5B8E3A232F}"/>
</file>

<file path=customXml/itemProps2.xml><?xml version="1.0" encoding="utf-8"?>
<ds:datastoreItem xmlns:ds="http://schemas.openxmlformats.org/officeDocument/2006/customXml" ds:itemID="{E1A00BBB-D277-4AF3-B7F9-71A8892B21BE}"/>
</file>

<file path=customXml/itemProps3.xml><?xml version="1.0" encoding="utf-8"?>
<ds:datastoreItem xmlns:ds="http://schemas.openxmlformats.org/officeDocument/2006/customXml" ds:itemID="{8AF56FCB-356D-46EE-9454-5A8192FE37A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Salim Azedine</dc:creator>
  <cp:keywords/>
  <dc:description/>
  <cp:lastModifiedBy/>
  <cp:revision/>
  <dcterms:created xsi:type="dcterms:W3CDTF">2024-05-09T14:08:49Z</dcterms:created>
  <dcterms:modified xsi:type="dcterms:W3CDTF">2026-09-15T22:42:17Z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0x010100190323DE079DA0469D16767F4726A612</vt:lpwstr>
  </property>
  <property fmtid="{D5CDD505-2E9C-101B-9397-08002B2CF9AE}" pid="3" name="MediaServiceImageTags">
    <vt:lpwstr/>
  </property>
</Properties>
</file>